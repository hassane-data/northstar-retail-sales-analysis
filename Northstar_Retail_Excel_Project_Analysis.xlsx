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LL\Desktop\ExcelBeginner\Data\Northstar_Retail_Sales_Analysis_V2\"/>
    </mc:Choice>
  </mc:AlternateContent>
  <bookViews>
    <workbookView xWindow="0" yWindow="0" windowWidth="23040" windowHeight="9384" activeTab="6"/>
  </bookViews>
  <sheets>
    <sheet name="Project_Brief" sheetId="1" r:id="rId1"/>
    <sheet name="Raw_Sales" sheetId="2" r:id="rId2"/>
    <sheet name="Products" sheetId="3" r:id="rId3"/>
    <sheet name="Customers" sheetId="4" r:id="rId4"/>
    <sheet name="Monthly_Targets" sheetId="5" r:id="rId5"/>
    <sheet name="Analysis" sheetId="7" r:id="rId6"/>
    <sheet name="Dashboard" sheetId="8" r:id="rId7"/>
    <sheet name="Data_Dictionary" sheetId="6" r:id="rId8"/>
  </sheets>
  <definedNames>
    <definedName name="Segment_Category">#N/A</definedName>
    <definedName name="Segment_Channel_clean">#N/A</definedName>
    <definedName name="Segment_Region">#N/A</definedName>
  </definedNames>
  <calcPr calcId="152511"/>
  <pivotCaches>
    <pivotCache cacheId="1" r:id="rId9"/>
  </pivotCaches>
  <fileRecoveryPr repairLoad="1"/>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G3" i="8" l="1"/>
  <c r="E3" i="8"/>
  <c r="C3" i="8"/>
  <c r="A3" i="8"/>
  <c r="AK2" i="2" l="1"/>
  <c r="AK3" i="2"/>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K508" i="2"/>
  <c r="AK509" i="2"/>
  <c r="AK510" i="2"/>
  <c r="AK511" i="2"/>
  <c r="AK512" i="2"/>
  <c r="AK513" i="2"/>
  <c r="AK514" i="2"/>
  <c r="AK515" i="2"/>
  <c r="AK516" i="2"/>
  <c r="AK517" i="2"/>
  <c r="AK518" i="2"/>
  <c r="AK519" i="2"/>
  <c r="AK520" i="2"/>
  <c r="AK521" i="2"/>
  <c r="AK522" i="2"/>
  <c r="AK523" i="2"/>
  <c r="AK524" i="2"/>
  <c r="AK525" i="2"/>
  <c r="AK526" i="2"/>
  <c r="AK527" i="2"/>
  <c r="AK528" i="2"/>
  <c r="AK529" i="2"/>
  <c r="AK530" i="2"/>
  <c r="AK531" i="2"/>
  <c r="AK532" i="2"/>
  <c r="AK533" i="2"/>
  <c r="AK534" i="2"/>
  <c r="AK535" i="2"/>
  <c r="AK536" i="2"/>
  <c r="AK537" i="2"/>
  <c r="AK538" i="2"/>
  <c r="AK539" i="2"/>
  <c r="AK540" i="2"/>
  <c r="AK541" i="2"/>
  <c r="AK542" i="2"/>
  <c r="AK543" i="2"/>
  <c r="AK544" i="2"/>
  <c r="AK545" i="2"/>
  <c r="AK546" i="2"/>
  <c r="AK547" i="2"/>
  <c r="AK548" i="2"/>
  <c r="AK549" i="2"/>
  <c r="AK550" i="2"/>
  <c r="AK551" i="2"/>
  <c r="AK552" i="2"/>
  <c r="AK553" i="2"/>
  <c r="AK554" i="2"/>
  <c r="AK555" i="2"/>
  <c r="AK556" i="2"/>
  <c r="AK557" i="2"/>
  <c r="AK558" i="2"/>
  <c r="AK559" i="2"/>
  <c r="AK560" i="2"/>
  <c r="AK561" i="2"/>
  <c r="AK562" i="2"/>
  <c r="AK563" i="2"/>
  <c r="AK564" i="2"/>
  <c r="AK565" i="2"/>
  <c r="AK566" i="2"/>
  <c r="AK567" i="2"/>
  <c r="AK568" i="2"/>
  <c r="AK569" i="2"/>
  <c r="AK570" i="2"/>
  <c r="AK571" i="2"/>
  <c r="AK572" i="2"/>
  <c r="AK573" i="2"/>
  <c r="AK574" i="2"/>
  <c r="AK575" i="2"/>
  <c r="AK576" i="2"/>
  <c r="AK577" i="2"/>
  <c r="AK578" i="2"/>
  <c r="AK579" i="2"/>
  <c r="AK580" i="2"/>
  <c r="AK581" i="2"/>
  <c r="AK582" i="2"/>
  <c r="AK583" i="2"/>
  <c r="AK584" i="2"/>
  <c r="AK585" i="2"/>
  <c r="AK586" i="2"/>
  <c r="AK587" i="2"/>
  <c r="AK588" i="2"/>
  <c r="AK589" i="2"/>
  <c r="AK590" i="2"/>
  <c r="AK591" i="2"/>
  <c r="AK592" i="2"/>
  <c r="AK593" i="2"/>
  <c r="AK594" i="2"/>
  <c r="AK595" i="2"/>
  <c r="AK596" i="2"/>
  <c r="AK597" i="2"/>
  <c r="AK598" i="2"/>
  <c r="AK599" i="2"/>
  <c r="AK600" i="2"/>
  <c r="AK601" i="2"/>
  <c r="AK602" i="2"/>
  <c r="AK603" i="2"/>
  <c r="AK604" i="2"/>
  <c r="AK605" i="2"/>
  <c r="AK606" i="2"/>
  <c r="AK607" i="2"/>
  <c r="AK608" i="2"/>
  <c r="AK609" i="2"/>
  <c r="AK610" i="2"/>
  <c r="AK611" i="2"/>
  <c r="AK612" i="2"/>
  <c r="AK613" i="2"/>
  <c r="AK614" i="2"/>
  <c r="AK615" i="2"/>
  <c r="AK616" i="2"/>
  <c r="AK617" i="2"/>
  <c r="AK618" i="2"/>
  <c r="AK619" i="2"/>
  <c r="AK620" i="2"/>
  <c r="AK621" i="2"/>
  <c r="AK622" i="2"/>
  <c r="AK623" i="2"/>
  <c r="AK624" i="2"/>
  <c r="AK625" i="2"/>
  <c r="AK626" i="2"/>
  <c r="AK627" i="2"/>
  <c r="AK628" i="2"/>
  <c r="AK629" i="2"/>
  <c r="AK630" i="2"/>
  <c r="AK631" i="2"/>
  <c r="AK632" i="2"/>
  <c r="AK633" i="2"/>
  <c r="AK634" i="2"/>
  <c r="AK635" i="2"/>
  <c r="AK636" i="2"/>
  <c r="AK637" i="2"/>
  <c r="AK638" i="2"/>
  <c r="AK639" i="2"/>
  <c r="AK640" i="2"/>
  <c r="AK641" i="2"/>
  <c r="AK642" i="2"/>
  <c r="AK643" i="2"/>
  <c r="AK644" i="2"/>
  <c r="AK645" i="2"/>
  <c r="AK646" i="2"/>
  <c r="AK647" i="2"/>
  <c r="AK648" i="2"/>
  <c r="AK649" i="2"/>
  <c r="AK650" i="2"/>
  <c r="AK651" i="2"/>
  <c r="AK652" i="2"/>
  <c r="AK653" i="2"/>
  <c r="AK654" i="2"/>
  <c r="AK655" i="2"/>
  <c r="AK656" i="2"/>
  <c r="AK657" i="2"/>
  <c r="AK658" i="2"/>
  <c r="AK659" i="2"/>
  <c r="AK660" i="2"/>
  <c r="AK661" i="2"/>
  <c r="AK662" i="2"/>
  <c r="AK663" i="2"/>
  <c r="AK664" i="2"/>
  <c r="AK665" i="2"/>
  <c r="AK666" i="2"/>
  <c r="AK667" i="2"/>
  <c r="AK668" i="2"/>
  <c r="AK669" i="2"/>
  <c r="AK670" i="2"/>
  <c r="AK671" i="2"/>
  <c r="AK672" i="2"/>
  <c r="AK673" i="2"/>
  <c r="AK674" i="2"/>
  <c r="AK675" i="2"/>
  <c r="AK676" i="2"/>
  <c r="AK677" i="2"/>
  <c r="AK678" i="2"/>
  <c r="AK679" i="2"/>
  <c r="AK680" i="2"/>
  <c r="AK681" i="2"/>
  <c r="AK682" i="2"/>
  <c r="AK683" i="2"/>
  <c r="AK684" i="2"/>
  <c r="AK685" i="2"/>
  <c r="AK686" i="2"/>
  <c r="AK687" i="2"/>
  <c r="AK688" i="2"/>
  <c r="AK689" i="2"/>
  <c r="AK690" i="2"/>
  <c r="AK691" i="2"/>
  <c r="AK692" i="2"/>
  <c r="AK693" i="2"/>
  <c r="AK694" i="2"/>
  <c r="AK695" i="2"/>
  <c r="AK696" i="2"/>
  <c r="AK697" i="2"/>
  <c r="AK698" i="2"/>
  <c r="AK699" i="2"/>
  <c r="AK700" i="2"/>
  <c r="AK701" i="2"/>
  <c r="AK702" i="2"/>
  <c r="AK703" i="2"/>
  <c r="AK704" i="2"/>
  <c r="AK705" i="2"/>
  <c r="AK706" i="2"/>
  <c r="AK707" i="2"/>
  <c r="AK708" i="2"/>
  <c r="AK709" i="2"/>
  <c r="AK710" i="2"/>
  <c r="AK711" i="2"/>
  <c r="AK712" i="2"/>
  <c r="AK713" i="2"/>
  <c r="AK714" i="2"/>
  <c r="AK715" i="2"/>
  <c r="AK716" i="2"/>
  <c r="AK717" i="2"/>
  <c r="AK718" i="2"/>
  <c r="AK719" i="2"/>
  <c r="AK720" i="2"/>
  <c r="AK72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C3" i="7"/>
  <c r="C4" i="7"/>
  <c r="C5" i="7"/>
  <c r="C6" i="7"/>
  <c r="C7" i="7"/>
  <c r="C8" i="7"/>
  <c r="C9" i="7"/>
  <c r="C10" i="7"/>
  <c r="C11" i="7"/>
  <c r="C12" i="7"/>
  <c r="C13" i="7"/>
  <c r="C2" i="7"/>
  <c r="AJ2" i="2"/>
  <c r="AJ3" i="2"/>
  <c r="AJ4" i="2"/>
  <c r="AJ5" i="2"/>
  <c r="AJ6" i="2"/>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J106" i="2"/>
  <c r="AJ107" i="2"/>
  <c r="AJ108" i="2"/>
  <c r="AJ109" i="2"/>
  <c r="AJ110" i="2"/>
  <c r="AJ111" i="2"/>
  <c r="AJ112" i="2"/>
  <c r="AJ113" i="2"/>
  <c r="AJ114" i="2"/>
  <c r="AJ115" i="2"/>
  <c r="AJ116" i="2"/>
  <c r="AJ117" i="2"/>
  <c r="AJ118" i="2"/>
  <c r="AJ119" i="2"/>
  <c r="AJ120" i="2"/>
  <c r="AJ121" i="2"/>
  <c r="AJ122" i="2"/>
  <c r="AJ123" i="2"/>
  <c r="AJ124" i="2"/>
  <c r="AJ125" i="2"/>
  <c r="AJ126" i="2"/>
  <c r="AJ127" i="2"/>
  <c r="AJ128" i="2"/>
  <c r="AJ129" i="2"/>
  <c r="AJ130" i="2"/>
  <c r="AJ131" i="2"/>
  <c r="AJ132" i="2"/>
  <c r="AJ133" i="2"/>
  <c r="AJ134" i="2"/>
  <c r="AJ135" i="2"/>
  <c r="AJ136" i="2"/>
  <c r="AJ137" i="2"/>
  <c r="AJ138" i="2"/>
  <c r="AJ139" i="2"/>
  <c r="AJ140" i="2"/>
  <c r="AJ141" i="2"/>
  <c r="AJ142" i="2"/>
  <c r="AJ143" i="2"/>
  <c r="AJ144" i="2"/>
  <c r="AJ145" i="2"/>
  <c r="AJ146" i="2"/>
  <c r="AJ147" i="2"/>
  <c r="AJ148" i="2"/>
  <c r="AJ149" i="2"/>
  <c r="AJ150" i="2"/>
  <c r="AJ151" i="2"/>
  <c r="AJ152" i="2"/>
  <c r="AJ153" i="2"/>
  <c r="AJ154" i="2"/>
  <c r="AJ155" i="2"/>
  <c r="AJ156" i="2"/>
  <c r="AJ157" i="2"/>
  <c r="AJ158" i="2"/>
  <c r="AJ159" i="2"/>
  <c r="AJ160" i="2"/>
  <c r="AJ161" i="2"/>
  <c r="AJ162" i="2"/>
  <c r="AJ163" i="2"/>
  <c r="AJ164" i="2"/>
  <c r="AJ165" i="2"/>
  <c r="AJ166" i="2"/>
  <c r="AJ167" i="2"/>
  <c r="AJ168" i="2"/>
  <c r="AJ169" i="2"/>
  <c r="AJ170" i="2"/>
  <c r="AJ171" i="2"/>
  <c r="AJ172" i="2"/>
  <c r="AJ173" i="2"/>
  <c r="AJ174" i="2"/>
  <c r="AJ175" i="2"/>
  <c r="AJ176" i="2"/>
  <c r="AJ177" i="2"/>
  <c r="AJ178" i="2"/>
  <c r="AJ179" i="2"/>
  <c r="AJ180" i="2"/>
  <c r="AJ181" i="2"/>
  <c r="AJ182" i="2"/>
  <c r="AJ183" i="2"/>
  <c r="AJ184" i="2"/>
  <c r="AJ185" i="2"/>
  <c r="AJ186" i="2"/>
  <c r="AJ187" i="2"/>
  <c r="AJ188" i="2"/>
  <c r="AJ189" i="2"/>
  <c r="AJ190" i="2"/>
  <c r="AJ191" i="2"/>
  <c r="AJ192" i="2"/>
  <c r="AJ193" i="2"/>
  <c r="AJ194" i="2"/>
  <c r="AJ195" i="2"/>
  <c r="AJ196" i="2"/>
  <c r="AJ197" i="2"/>
  <c r="AJ198" i="2"/>
  <c r="AJ199" i="2"/>
  <c r="AJ200" i="2"/>
  <c r="AJ201" i="2"/>
  <c r="AJ202" i="2"/>
  <c r="AJ203" i="2"/>
  <c r="AJ204" i="2"/>
  <c r="AJ205" i="2"/>
  <c r="AJ206" i="2"/>
  <c r="AJ207" i="2"/>
  <c r="AJ208" i="2"/>
  <c r="AJ209" i="2"/>
  <c r="AJ210" i="2"/>
  <c r="AJ211" i="2"/>
  <c r="AJ212" i="2"/>
  <c r="AJ213" i="2"/>
  <c r="AJ214" i="2"/>
  <c r="AJ215" i="2"/>
  <c r="AJ216" i="2"/>
  <c r="AJ217" i="2"/>
  <c r="AJ218" i="2"/>
  <c r="AJ219" i="2"/>
  <c r="AJ220" i="2"/>
  <c r="AJ221" i="2"/>
  <c r="AJ222" i="2"/>
  <c r="AJ223" i="2"/>
  <c r="AJ224" i="2"/>
  <c r="AJ225" i="2"/>
  <c r="AJ226" i="2"/>
  <c r="AJ227" i="2"/>
  <c r="AJ228" i="2"/>
  <c r="AJ229" i="2"/>
  <c r="AJ230" i="2"/>
  <c r="AJ231" i="2"/>
  <c r="AJ232" i="2"/>
  <c r="AJ233" i="2"/>
  <c r="AJ234" i="2"/>
  <c r="AJ235" i="2"/>
  <c r="AJ236" i="2"/>
  <c r="AJ237" i="2"/>
  <c r="AJ238" i="2"/>
  <c r="AJ239" i="2"/>
  <c r="AJ240" i="2"/>
  <c r="AJ241" i="2"/>
  <c r="AJ242" i="2"/>
  <c r="AJ243" i="2"/>
  <c r="AJ244" i="2"/>
  <c r="AJ245" i="2"/>
  <c r="AJ246" i="2"/>
  <c r="AJ247" i="2"/>
  <c r="AJ248" i="2"/>
  <c r="AJ249" i="2"/>
  <c r="AJ250" i="2"/>
  <c r="AJ251" i="2"/>
  <c r="AJ252" i="2"/>
  <c r="AJ253" i="2"/>
  <c r="AJ254" i="2"/>
  <c r="AJ255" i="2"/>
  <c r="AJ256" i="2"/>
  <c r="AJ257" i="2"/>
  <c r="AJ258" i="2"/>
  <c r="AJ259" i="2"/>
  <c r="AJ260" i="2"/>
  <c r="AJ261" i="2"/>
  <c r="AJ262" i="2"/>
  <c r="AJ263" i="2"/>
  <c r="AJ264" i="2"/>
  <c r="AJ265" i="2"/>
  <c r="AJ266" i="2"/>
  <c r="AJ267" i="2"/>
  <c r="AJ268" i="2"/>
  <c r="AJ269" i="2"/>
  <c r="AJ270" i="2"/>
  <c r="AJ271" i="2"/>
  <c r="AJ272" i="2"/>
  <c r="AJ273" i="2"/>
  <c r="AJ274" i="2"/>
  <c r="AJ275" i="2"/>
  <c r="AJ276" i="2"/>
  <c r="AJ277" i="2"/>
  <c r="AJ278" i="2"/>
  <c r="AJ279" i="2"/>
  <c r="AJ280" i="2"/>
  <c r="AJ281" i="2"/>
  <c r="AJ282" i="2"/>
  <c r="AJ283" i="2"/>
  <c r="AJ284" i="2"/>
  <c r="AJ285" i="2"/>
  <c r="AJ286" i="2"/>
  <c r="AJ287" i="2"/>
  <c r="AJ288" i="2"/>
  <c r="AJ289" i="2"/>
  <c r="AJ290" i="2"/>
  <c r="AJ291" i="2"/>
  <c r="AJ292" i="2"/>
  <c r="AJ293" i="2"/>
  <c r="AJ294" i="2"/>
  <c r="AJ295" i="2"/>
  <c r="AJ296" i="2"/>
  <c r="AJ297" i="2"/>
  <c r="AJ298" i="2"/>
  <c r="AJ299" i="2"/>
  <c r="AJ300" i="2"/>
  <c r="AJ301" i="2"/>
  <c r="AJ302" i="2"/>
  <c r="AJ303" i="2"/>
  <c r="AJ304" i="2"/>
  <c r="AJ305" i="2"/>
  <c r="AJ306" i="2"/>
  <c r="AJ307" i="2"/>
  <c r="AJ308" i="2"/>
  <c r="AJ309" i="2"/>
  <c r="AJ310" i="2"/>
  <c r="AJ311" i="2"/>
  <c r="AJ312" i="2"/>
  <c r="AJ313" i="2"/>
  <c r="AJ314" i="2"/>
  <c r="AJ315" i="2"/>
  <c r="AJ316" i="2"/>
  <c r="AJ317" i="2"/>
  <c r="AJ318" i="2"/>
  <c r="AJ319" i="2"/>
  <c r="AJ320" i="2"/>
  <c r="AJ321"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351" i="2"/>
  <c r="AJ352" i="2"/>
  <c r="AJ353" i="2"/>
  <c r="AJ354" i="2"/>
  <c r="AJ355" i="2"/>
  <c r="AJ356" i="2"/>
  <c r="AJ357" i="2"/>
  <c r="AJ358" i="2"/>
  <c r="AJ359" i="2"/>
  <c r="AJ360" i="2"/>
  <c r="AJ361" i="2"/>
  <c r="AJ362" i="2"/>
  <c r="AJ363" i="2"/>
  <c r="AJ364" i="2"/>
  <c r="AJ365" i="2"/>
  <c r="AJ366" i="2"/>
  <c r="AJ367" i="2"/>
  <c r="AJ368" i="2"/>
  <c r="AJ369" i="2"/>
  <c r="AJ370" i="2"/>
  <c r="AJ371" i="2"/>
  <c r="AJ372" i="2"/>
  <c r="AJ373" i="2"/>
  <c r="AJ374" i="2"/>
  <c r="AJ375" i="2"/>
  <c r="AJ376" i="2"/>
  <c r="AJ377" i="2"/>
  <c r="AJ378" i="2"/>
  <c r="AJ379" i="2"/>
  <c r="AJ380" i="2"/>
  <c r="AJ381" i="2"/>
  <c r="AJ382" i="2"/>
  <c r="AJ383" i="2"/>
  <c r="AJ384" i="2"/>
  <c r="AJ385" i="2"/>
  <c r="AJ386" i="2"/>
  <c r="AJ387" i="2"/>
  <c r="AJ388" i="2"/>
  <c r="AJ389" i="2"/>
  <c r="AJ390" i="2"/>
  <c r="AJ391" i="2"/>
  <c r="AJ392" i="2"/>
  <c r="AJ393" i="2"/>
  <c r="AJ394" i="2"/>
  <c r="AJ395" i="2"/>
  <c r="AJ396" i="2"/>
  <c r="AJ397" i="2"/>
  <c r="AJ398" i="2"/>
  <c r="AJ399" i="2"/>
  <c r="AJ400" i="2"/>
  <c r="AJ401" i="2"/>
  <c r="AJ402" i="2"/>
  <c r="AJ403" i="2"/>
  <c r="AJ404" i="2"/>
  <c r="AJ405" i="2"/>
  <c r="AJ406" i="2"/>
  <c r="AJ407" i="2"/>
  <c r="AJ408" i="2"/>
  <c r="AJ409" i="2"/>
  <c r="AJ410" i="2"/>
  <c r="AJ411" i="2"/>
  <c r="AJ412" i="2"/>
  <c r="AJ413" i="2"/>
  <c r="AJ414" i="2"/>
  <c r="AJ415" i="2"/>
  <c r="AJ416" i="2"/>
  <c r="AJ417" i="2"/>
  <c r="AJ418" i="2"/>
  <c r="AJ419" i="2"/>
  <c r="AJ420" i="2"/>
  <c r="AJ421" i="2"/>
  <c r="AJ422" i="2"/>
  <c r="AJ423" i="2"/>
  <c r="AJ424" i="2"/>
  <c r="AJ425" i="2"/>
  <c r="AJ426" i="2"/>
  <c r="AJ427" i="2"/>
  <c r="AJ428" i="2"/>
  <c r="AJ429" i="2"/>
  <c r="AJ430" i="2"/>
  <c r="AJ431" i="2"/>
  <c r="AJ432" i="2"/>
  <c r="AJ433" i="2"/>
  <c r="AJ434" i="2"/>
  <c r="AJ435" i="2"/>
  <c r="AJ436" i="2"/>
  <c r="AJ437" i="2"/>
  <c r="AJ438" i="2"/>
  <c r="AJ439" i="2"/>
  <c r="AJ440" i="2"/>
  <c r="AJ441" i="2"/>
  <c r="AJ442" i="2"/>
  <c r="AJ443" i="2"/>
  <c r="AJ444" i="2"/>
  <c r="AJ445" i="2"/>
  <c r="AJ446" i="2"/>
  <c r="AJ447" i="2"/>
  <c r="AJ448" i="2"/>
  <c r="AJ449" i="2"/>
  <c r="AJ450" i="2"/>
  <c r="AJ451" i="2"/>
  <c r="AJ452" i="2"/>
  <c r="AJ453" i="2"/>
  <c r="AJ454" i="2"/>
  <c r="AJ455" i="2"/>
  <c r="AJ456" i="2"/>
  <c r="AJ457" i="2"/>
  <c r="AJ458" i="2"/>
  <c r="AJ459" i="2"/>
  <c r="AJ460" i="2"/>
  <c r="AJ461" i="2"/>
  <c r="AJ462" i="2"/>
  <c r="AJ463" i="2"/>
  <c r="AJ464" i="2"/>
  <c r="AJ465" i="2"/>
  <c r="AJ466" i="2"/>
  <c r="AJ467" i="2"/>
  <c r="AJ468" i="2"/>
  <c r="AJ469" i="2"/>
  <c r="AJ470" i="2"/>
  <c r="AJ471" i="2"/>
  <c r="AJ472" i="2"/>
  <c r="AJ473" i="2"/>
  <c r="AJ474" i="2"/>
  <c r="AJ475" i="2"/>
  <c r="AJ476" i="2"/>
  <c r="AJ477" i="2"/>
  <c r="AJ478" i="2"/>
  <c r="AJ479" i="2"/>
  <c r="AJ480" i="2"/>
  <c r="AJ481" i="2"/>
  <c r="AJ482" i="2"/>
  <c r="AJ483" i="2"/>
  <c r="AJ484" i="2"/>
  <c r="AJ485" i="2"/>
  <c r="AJ486" i="2"/>
  <c r="AJ487" i="2"/>
  <c r="AJ488" i="2"/>
  <c r="AJ489" i="2"/>
  <c r="AJ490" i="2"/>
  <c r="AJ491" i="2"/>
  <c r="AJ492" i="2"/>
  <c r="AJ493" i="2"/>
  <c r="AJ494" i="2"/>
  <c r="AJ495" i="2"/>
  <c r="AJ496" i="2"/>
  <c r="AJ497" i="2"/>
  <c r="AJ498" i="2"/>
  <c r="AJ499" i="2"/>
  <c r="AJ500" i="2"/>
  <c r="AJ501" i="2"/>
  <c r="AJ502" i="2"/>
  <c r="AJ503" i="2"/>
  <c r="AJ504" i="2"/>
  <c r="AJ505" i="2"/>
  <c r="AJ506" i="2"/>
  <c r="AJ507" i="2"/>
  <c r="AJ508" i="2"/>
  <c r="AJ509" i="2"/>
  <c r="AJ510" i="2"/>
  <c r="AJ511" i="2"/>
  <c r="AJ512" i="2"/>
  <c r="AJ513" i="2"/>
  <c r="AJ514" i="2"/>
  <c r="AJ515" i="2"/>
  <c r="AJ516" i="2"/>
  <c r="AJ517" i="2"/>
  <c r="AJ518" i="2"/>
  <c r="AJ519" i="2"/>
  <c r="AJ520" i="2"/>
  <c r="AJ521" i="2"/>
  <c r="AJ522" i="2"/>
  <c r="AJ523" i="2"/>
  <c r="AJ524" i="2"/>
  <c r="AJ525" i="2"/>
  <c r="AJ526" i="2"/>
  <c r="AJ527" i="2"/>
  <c r="AJ528" i="2"/>
  <c r="AJ529" i="2"/>
  <c r="AJ530" i="2"/>
  <c r="AJ531" i="2"/>
  <c r="AJ532" i="2"/>
  <c r="AJ533" i="2"/>
  <c r="AJ534" i="2"/>
  <c r="AJ535" i="2"/>
  <c r="AJ536" i="2"/>
  <c r="AJ537" i="2"/>
  <c r="AJ538" i="2"/>
  <c r="AJ539" i="2"/>
  <c r="AJ540" i="2"/>
  <c r="AJ541" i="2"/>
  <c r="AJ542" i="2"/>
  <c r="AJ543" i="2"/>
  <c r="AJ544" i="2"/>
  <c r="AJ545" i="2"/>
  <c r="AJ546" i="2"/>
  <c r="AJ547" i="2"/>
  <c r="AJ548" i="2"/>
  <c r="AJ549" i="2"/>
  <c r="AJ550" i="2"/>
  <c r="AJ551" i="2"/>
  <c r="AJ552" i="2"/>
  <c r="AJ553" i="2"/>
  <c r="AJ554" i="2"/>
  <c r="AJ555" i="2"/>
  <c r="AJ556" i="2"/>
  <c r="AJ557" i="2"/>
  <c r="AJ558" i="2"/>
  <c r="AJ559" i="2"/>
  <c r="AJ560" i="2"/>
  <c r="AJ561" i="2"/>
  <c r="AJ562" i="2"/>
  <c r="AJ563" i="2"/>
  <c r="AJ564" i="2"/>
  <c r="AJ565" i="2"/>
  <c r="AJ566" i="2"/>
  <c r="AJ567" i="2"/>
  <c r="AJ568" i="2"/>
  <c r="AJ569" i="2"/>
  <c r="AJ570" i="2"/>
  <c r="AJ571" i="2"/>
  <c r="AJ572" i="2"/>
  <c r="AJ573" i="2"/>
  <c r="AJ574" i="2"/>
  <c r="AJ575" i="2"/>
  <c r="AJ576" i="2"/>
  <c r="AJ577" i="2"/>
  <c r="AJ578" i="2"/>
  <c r="AJ579" i="2"/>
  <c r="AJ580" i="2"/>
  <c r="AJ581" i="2"/>
  <c r="AJ582" i="2"/>
  <c r="AJ583" i="2"/>
  <c r="AJ584" i="2"/>
  <c r="AJ585" i="2"/>
  <c r="AJ586" i="2"/>
  <c r="AJ587" i="2"/>
  <c r="AJ588" i="2"/>
  <c r="AJ589" i="2"/>
  <c r="AJ590" i="2"/>
  <c r="AJ591" i="2"/>
  <c r="AJ592" i="2"/>
  <c r="AJ593" i="2"/>
  <c r="AJ594" i="2"/>
  <c r="AJ595" i="2"/>
  <c r="AJ596" i="2"/>
  <c r="AJ597" i="2"/>
  <c r="AJ598" i="2"/>
  <c r="AJ599" i="2"/>
  <c r="AJ600" i="2"/>
  <c r="AJ601" i="2"/>
  <c r="AJ602" i="2"/>
  <c r="AJ603" i="2"/>
  <c r="AJ604" i="2"/>
  <c r="AJ605" i="2"/>
  <c r="AJ606" i="2"/>
  <c r="AJ607" i="2"/>
  <c r="AJ608" i="2"/>
  <c r="AJ609" i="2"/>
  <c r="AJ610" i="2"/>
  <c r="AJ611" i="2"/>
  <c r="AJ612" i="2"/>
  <c r="AJ613" i="2"/>
  <c r="AJ614" i="2"/>
  <c r="AJ615" i="2"/>
  <c r="AJ616" i="2"/>
  <c r="AJ617" i="2"/>
  <c r="AJ618" i="2"/>
  <c r="AJ619" i="2"/>
  <c r="AJ620" i="2"/>
  <c r="AJ621" i="2"/>
  <c r="AJ622" i="2"/>
  <c r="AJ623" i="2"/>
  <c r="AJ624" i="2"/>
  <c r="AJ625" i="2"/>
  <c r="AJ626" i="2"/>
  <c r="AJ627" i="2"/>
  <c r="AJ628" i="2"/>
  <c r="AJ629" i="2"/>
  <c r="AJ630" i="2"/>
  <c r="AJ631" i="2"/>
  <c r="AJ632" i="2"/>
  <c r="AJ633" i="2"/>
  <c r="AJ634" i="2"/>
  <c r="AJ635" i="2"/>
  <c r="AJ636" i="2"/>
  <c r="AJ637" i="2"/>
  <c r="AJ638" i="2"/>
  <c r="AJ639" i="2"/>
  <c r="AJ640" i="2"/>
  <c r="AJ641" i="2"/>
  <c r="AJ642" i="2"/>
  <c r="AJ643" i="2"/>
  <c r="AJ644" i="2"/>
  <c r="AJ645" i="2"/>
  <c r="AJ646" i="2"/>
  <c r="AJ647" i="2"/>
  <c r="AJ648" i="2"/>
  <c r="AJ649" i="2"/>
  <c r="AJ650" i="2"/>
  <c r="AJ651" i="2"/>
  <c r="AJ652" i="2"/>
  <c r="AJ653" i="2"/>
  <c r="AJ654" i="2"/>
  <c r="AJ655" i="2"/>
  <c r="AJ656" i="2"/>
  <c r="AJ657" i="2"/>
  <c r="AJ658" i="2"/>
  <c r="AJ659" i="2"/>
  <c r="AJ660" i="2"/>
  <c r="AJ661" i="2"/>
  <c r="AJ662" i="2"/>
  <c r="AJ663" i="2"/>
  <c r="AJ664" i="2"/>
  <c r="AJ665" i="2"/>
  <c r="AJ666" i="2"/>
  <c r="AJ667" i="2"/>
  <c r="AJ668" i="2"/>
  <c r="AJ669" i="2"/>
  <c r="AJ670" i="2"/>
  <c r="AJ671" i="2"/>
  <c r="AJ672" i="2"/>
  <c r="AJ673" i="2"/>
  <c r="AJ674" i="2"/>
  <c r="AJ675" i="2"/>
  <c r="AJ676" i="2"/>
  <c r="AJ677" i="2"/>
  <c r="AJ678" i="2"/>
  <c r="AJ679" i="2"/>
  <c r="AJ680" i="2"/>
  <c r="AJ681" i="2"/>
  <c r="AJ682" i="2"/>
  <c r="AJ683" i="2"/>
  <c r="AJ684" i="2"/>
  <c r="AJ685" i="2"/>
  <c r="AJ686" i="2"/>
  <c r="AJ687" i="2"/>
  <c r="AJ688" i="2"/>
  <c r="AJ689" i="2"/>
  <c r="AJ690" i="2"/>
  <c r="AJ691" i="2"/>
  <c r="AJ692" i="2"/>
  <c r="AJ693" i="2"/>
  <c r="AJ694" i="2"/>
  <c r="AJ695" i="2"/>
  <c r="AJ696" i="2"/>
  <c r="AJ697" i="2"/>
  <c r="AJ698" i="2"/>
  <c r="AJ699" i="2"/>
  <c r="AJ700" i="2"/>
  <c r="AJ701" i="2"/>
  <c r="AJ702" i="2"/>
  <c r="AJ703" i="2"/>
  <c r="AJ704" i="2"/>
  <c r="AJ705" i="2"/>
  <c r="AJ706" i="2"/>
  <c r="AJ707" i="2"/>
  <c r="AJ708" i="2"/>
  <c r="AJ709" i="2"/>
  <c r="AJ710" i="2"/>
  <c r="AJ711" i="2"/>
  <c r="AJ712" i="2"/>
  <c r="AJ713" i="2"/>
  <c r="AJ714" i="2"/>
  <c r="AJ715" i="2"/>
  <c r="AJ716" i="2"/>
  <c r="AJ717" i="2"/>
  <c r="AJ718" i="2"/>
  <c r="AJ719" i="2"/>
  <c r="AJ720" i="2"/>
  <c r="AJ721" i="2"/>
  <c r="C14" i="7" l="1"/>
  <c r="AH2" i="2"/>
  <c r="AH3" i="2"/>
  <c r="AH4" i="2"/>
  <c r="AH5" i="2"/>
  <c r="AH6" i="2"/>
  <c r="AH7" i="2"/>
  <c r="AH8" i="2"/>
  <c r="AH9" i="2"/>
  <c r="AH10" i="2"/>
  <c r="AH11" i="2"/>
  <c r="AH12" i="2"/>
  <c r="AH13" i="2"/>
  <c r="AH14" i="2"/>
  <c r="AH15" i="2"/>
  <c r="AH16" i="2"/>
  <c r="AH17" i="2"/>
  <c r="AH18" i="2"/>
  <c r="AH19" i="2"/>
  <c r="AH20" i="2"/>
  <c r="AH21" i="2"/>
  <c r="AH22" i="2"/>
  <c r="AH23" i="2"/>
  <c r="AH24" i="2"/>
  <c r="AH25" i="2"/>
  <c r="AH26" i="2"/>
  <c r="AH27" i="2"/>
  <c r="AH28" i="2"/>
  <c r="AH29" i="2"/>
  <c r="AH30" i="2"/>
  <c r="AH31" i="2"/>
  <c r="AH32" i="2"/>
  <c r="AH33" i="2"/>
  <c r="AH34" i="2"/>
  <c r="AH35" i="2"/>
  <c r="AH36" i="2"/>
  <c r="AH37" i="2"/>
  <c r="AH38" i="2"/>
  <c r="AH39" i="2"/>
  <c r="AH40" i="2"/>
  <c r="AH41" i="2"/>
  <c r="AH42" i="2"/>
  <c r="AH43" i="2"/>
  <c r="AH44" i="2"/>
  <c r="AH45" i="2"/>
  <c r="AH46" i="2"/>
  <c r="AH47" i="2"/>
  <c r="AH48" i="2"/>
  <c r="AH49" i="2"/>
  <c r="AH50" i="2"/>
  <c r="AH51" i="2"/>
  <c r="AH52" i="2"/>
  <c r="AH53" i="2"/>
  <c r="AH54" i="2"/>
  <c r="AH55" i="2"/>
  <c r="AH56" i="2"/>
  <c r="AH57" i="2"/>
  <c r="AH58" i="2"/>
  <c r="AH59" i="2"/>
  <c r="AH60" i="2"/>
  <c r="AH61" i="2"/>
  <c r="AH62" i="2"/>
  <c r="AH63" i="2"/>
  <c r="AH64" i="2"/>
  <c r="AH65" i="2"/>
  <c r="AH66" i="2"/>
  <c r="AH67" i="2"/>
  <c r="AH68" i="2"/>
  <c r="AH69" i="2"/>
  <c r="AH70" i="2"/>
  <c r="AH71" i="2"/>
  <c r="AH72" i="2"/>
  <c r="AH73" i="2"/>
  <c r="AH74" i="2"/>
  <c r="AH75" i="2"/>
  <c r="AH76" i="2"/>
  <c r="AH77" i="2"/>
  <c r="AH78" i="2"/>
  <c r="AH79" i="2"/>
  <c r="AH80" i="2"/>
  <c r="AH81" i="2"/>
  <c r="AH82" i="2"/>
  <c r="AH83" i="2"/>
  <c r="AH84" i="2"/>
  <c r="AH85" i="2"/>
  <c r="AH86" i="2"/>
  <c r="AH87" i="2"/>
  <c r="AH88" i="2"/>
  <c r="AH89" i="2"/>
  <c r="AH90" i="2"/>
  <c r="AH91" i="2"/>
  <c r="AH92" i="2"/>
  <c r="AH93" i="2"/>
  <c r="AH94" i="2"/>
  <c r="AH95" i="2"/>
  <c r="AH96" i="2"/>
  <c r="AH97" i="2"/>
  <c r="AH98" i="2"/>
  <c r="AH99" i="2"/>
  <c r="AH100" i="2"/>
  <c r="AH101" i="2"/>
  <c r="AH102" i="2"/>
  <c r="AH103" i="2"/>
  <c r="AH104" i="2"/>
  <c r="AH105" i="2"/>
  <c r="AH106" i="2"/>
  <c r="AH107" i="2"/>
  <c r="AH108" i="2"/>
  <c r="AH109" i="2"/>
  <c r="AH110" i="2"/>
  <c r="AH111" i="2"/>
  <c r="AH112" i="2"/>
  <c r="AH113" i="2"/>
  <c r="AH114" i="2"/>
  <c r="AH115" i="2"/>
  <c r="AH116" i="2"/>
  <c r="AH117" i="2"/>
  <c r="AH118" i="2"/>
  <c r="AH119" i="2"/>
  <c r="AH120" i="2"/>
  <c r="AH121" i="2"/>
  <c r="AH122" i="2"/>
  <c r="AH123" i="2"/>
  <c r="AH124" i="2"/>
  <c r="AH125" i="2"/>
  <c r="AH126" i="2"/>
  <c r="AH127" i="2"/>
  <c r="AH128" i="2"/>
  <c r="AH129" i="2"/>
  <c r="AH130" i="2"/>
  <c r="AH131" i="2"/>
  <c r="AH132" i="2"/>
  <c r="AH133" i="2"/>
  <c r="AH134" i="2"/>
  <c r="AH135" i="2"/>
  <c r="AH136" i="2"/>
  <c r="AH137" i="2"/>
  <c r="AH138" i="2"/>
  <c r="AH139" i="2"/>
  <c r="AH140" i="2"/>
  <c r="AH141" i="2"/>
  <c r="AH142" i="2"/>
  <c r="AH143" i="2"/>
  <c r="AH144" i="2"/>
  <c r="AH145" i="2"/>
  <c r="AH146" i="2"/>
  <c r="AH147" i="2"/>
  <c r="AH148" i="2"/>
  <c r="AH149" i="2"/>
  <c r="AH150" i="2"/>
  <c r="AH151" i="2"/>
  <c r="AH152" i="2"/>
  <c r="AH153" i="2"/>
  <c r="AH154" i="2"/>
  <c r="AH155" i="2"/>
  <c r="AH156" i="2"/>
  <c r="AH157" i="2"/>
  <c r="AH158" i="2"/>
  <c r="AH159" i="2"/>
  <c r="AH160" i="2"/>
  <c r="AH161" i="2"/>
  <c r="AH162" i="2"/>
  <c r="AH163" i="2"/>
  <c r="AH164" i="2"/>
  <c r="AH165" i="2"/>
  <c r="AH166" i="2"/>
  <c r="AH167" i="2"/>
  <c r="AH168" i="2"/>
  <c r="AH169" i="2"/>
  <c r="AH170" i="2"/>
  <c r="AH171" i="2"/>
  <c r="AH172" i="2"/>
  <c r="AH173" i="2"/>
  <c r="AH174" i="2"/>
  <c r="AH175" i="2"/>
  <c r="AH176" i="2"/>
  <c r="AH177" i="2"/>
  <c r="AH178" i="2"/>
  <c r="AH179" i="2"/>
  <c r="AH180" i="2"/>
  <c r="AH181" i="2"/>
  <c r="AH182" i="2"/>
  <c r="AH183" i="2"/>
  <c r="AH184" i="2"/>
  <c r="AH185" i="2"/>
  <c r="AH186" i="2"/>
  <c r="AH187" i="2"/>
  <c r="AH188" i="2"/>
  <c r="AH189" i="2"/>
  <c r="AH190" i="2"/>
  <c r="AH191" i="2"/>
  <c r="AH192" i="2"/>
  <c r="AH193" i="2"/>
  <c r="AH194" i="2"/>
  <c r="AH195" i="2"/>
  <c r="AH196" i="2"/>
  <c r="AH197" i="2"/>
  <c r="AH198" i="2"/>
  <c r="AH199" i="2"/>
  <c r="AH200" i="2"/>
  <c r="AH201" i="2"/>
  <c r="AH202" i="2"/>
  <c r="AH203" i="2"/>
  <c r="AH204" i="2"/>
  <c r="AH205" i="2"/>
  <c r="AH206" i="2"/>
  <c r="AH207" i="2"/>
  <c r="AH208" i="2"/>
  <c r="AH209" i="2"/>
  <c r="AH210" i="2"/>
  <c r="AH211"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H395" i="2"/>
  <c r="AH396" i="2"/>
  <c r="AH397" i="2"/>
  <c r="AH398" i="2"/>
  <c r="AH399" i="2"/>
  <c r="AH400" i="2"/>
  <c r="AH401" i="2"/>
  <c r="AH402" i="2"/>
  <c r="AH403" i="2"/>
  <c r="AH404" i="2"/>
  <c r="AH405" i="2"/>
  <c r="AH406" i="2"/>
  <c r="AH407" i="2"/>
  <c r="AH408" i="2"/>
  <c r="AH409" i="2"/>
  <c r="AH410" i="2"/>
  <c r="AH411" i="2"/>
  <c r="AH412" i="2"/>
  <c r="AH413" i="2"/>
  <c r="AH414" i="2"/>
  <c r="AH415" i="2"/>
  <c r="AH416" i="2"/>
  <c r="AH417" i="2"/>
  <c r="AH418" i="2"/>
  <c r="AH419" i="2"/>
  <c r="AH420" i="2"/>
  <c r="AH421" i="2"/>
  <c r="AH422" i="2"/>
  <c r="AH423" i="2"/>
  <c r="AH424" i="2"/>
  <c r="AH425" i="2"/>
  <c r="AH426" i="2"/>
  <c r="AH427" i="2"/>
  <c r="AH428" i="2"/>
  <c r="AH429" i="2"/>
  <c r="AH430" i="2"/>
  <c r="AH431" i="2"/>
  <c r="AH432" i="2"/>
  <c r="AH433" i="2"/>
  <c r="AH434" i="2"/>
  <c r="AH435" i="2"/>
  <c r="AH436" i="2"/>
  <c r="AH437" i="2"/>
  <c r="AH438" i="2"/>
  <c r="AH439" i="2"/>
  <c r="AH440" i="2"/>
  <c r="AH441" i="2"/>
  <c r="AH442" i="2"/>
  <c r="AH443" i="2"/>
  <c r="AH444" i="2"/>
  <c r="AH445" i="2"/>
  <c r="AH446" i="2"/>
  <c r="AH447" i="2"/>
  <c r="AH448" i="2"/>
  <c r="AH449" i="2"/>
  <c r="AH450" i="2"/>
  <c r="AH451" i="2"/>
  <c r="AH452" i="2"/>
  <c r="AH453" i="2"/>
  <c r="AH454" i="2"/>
  <c r="AH455" i="2"/>
  <c r="AH456" i="2"/>
  <c r="AH457" i="2"/>
  <c r="AH458" i="2"/>
  <c r="AH459" i="2"/>
  <c r="AH460" i="2"/>
  <c r="AH461" i="2"/>
  <c r="AH462" i="2"/>
  <c r="AH463" i="2"/>
  <c r="AH464" i="2"/>
  <c r="AH465" i="2"/>
  <c r="AH466" i="2"/>
  <c r="AH467" i="2"/>
  <c r="AH468" i="2"/>
  <c r="AH469" i="2"/>
  <c r="AH470" i="2"/>
  <c r="AH471" i="2"/>
  <c r="AH472" i="2"/>
  <c r="AH473" i="2"/>
  <c r="AH474" i="2"/>
  <c r="AH475" i="2"/>
  <c r="AH476" i="2"/>
  <c r="AH477" i="2"/>
  <c r="AH478" i="2"/>
  <c r="AH479" i="2"/>
  <c r="AH480" i="2"/>
  <c r="AH481" i="2"/>
  <c r="AH482" i="2"/>
  <c r="AH483" i="2"/>
  <c r="AH484" i="2"/>
  <c r="AH485" i="2"/>
  <c r="AH486" i="2"/>
  <c r="AH487" i="2"/>
  <c r="AH488" i="2"/>
  <c r="AH489" i="2"/>
  <c r="AH490" i="2"/>
  <c r="AH491" i="2"/>
  <c r="AH492" i="2"/>
  <c r="AH493" i="2"/>
  <c r="AH494" i="2"/>
  <c r="AH495" i="2"/>
  <c r="AH496" i="2"/>
  <c r="AH497" i="2"/>
  <c r="AH498" i="2"/>
  <c r="AH499" i="2"/>
  <c r="AH500" i="2"/>
  <c r="AH501" i="2"/>
  <c r="AH502" i="2"/>
  <c r="AH503" i="2"/>
  <c r="AH504" i="2"/>
  <c r="AH505" i="2"/>
  <c r="AH506" i="2"/>
  <c r="AH507" i="2"/>
  <c r="AH508" i="2"/>
  <c r="AH509" i="2"/>
  <c r="AH510" i="2"/>
  <c r="AH511" i="2"/>
  <c r="AH512" i="2"/>
  <c r="AH513" i="2"/>
  <c r="AH514" i="2"/>
  <c r="AH515" i="2"/>
  <c r="AH516" i="2"/>
  <c r="AH517" i="2"/>
  <c r="AH518" i="2"/>
  <c r="AH519" i="2"/>
  <c r="AH520" i="2"/>
  <c r="AH521" i="2"/>
  <c r="AH522" i="2"/>
  <c r="AH523" i="2"/>
  <c r="AH524" i="2"/>
  <c r="AH525" i="2"/>
  <c r="AH526" i="2"/>
  <c r="AH527" i="2"/>
  <c r="AH528" i="2"/>
  <c r="AH529" i="2"/>
  <c r="AH530" i="2"/>
  <c r="AH531" i="2"/>
  <c r="AH532" i="2"/>
  <c r="AH533" i="2"/>
  <c r="AH534" i="2"/>
  <c r="AH535" i="2"/>
  <c r="AH536" i="2"/>
  <c r="AH537" i="2"/>
  <c r="AH538" i="2"/>
  <c r="AH539" i="2"/>
  <c r="AH540" i="2"/>
  <c r="AH541" i="2"/>
  <c r="AH542" i="2"/>
  <c r="AH543" i="2"/>
  <c r="AH544" i="2"/>
  <c r="AH545" i="2"/>
  <c r="AH546" i="2"/>
  <c r="AH547" i="2"/>
  <c r="AH548" i="2"/>
  <c r="AH549" i="2"/>
  <c r="AH550" i="2"/>
  <c r="AH551" i="2"/>
  <c r="AH552" i="2"/>
  <c r="AH553" i="2"/>
  <c r="AH554" i="2"/>
  <c r="AH555" i="2"/>
  <c r="AH556" i="2"/>
  <c r="AH557" i="2"/>
  <c r="AH558" i="2"/>
  <c r="AH559" i="2"/>
  <c r="AH560" i="2"/>
  <c r="AH561" i="2"/>
  <c r="AH562" i="2"/>
  <c r="AH563" i="2"/>
  <c r="AH564" i="2"/>
  <c r="AH565" i="2"/>
  <c r="AH566" i="2"/>
  <c r="AH567" i="2"/>
  <c r="AH568" i="2"/>
  <c r="AH569" i="2"/>
  <c r="AH570" i="2"/>
  <c r="AH571" i="2"/>
  <c r="AH572" i="2"/>
  <c r="AH573" i="2"/>
  <c r="AH574" i="2"/>
  <c r="AH575" i="2"/>
  <c r="AH576" i="2"/>
  <c r="AH577" i="2"/>
  <c r="AH578" i="2"/>
  <c r="AH579" i="2"/>
  <c r="AH580" i="2"/>
  <c r="AH581" i="2"/>
  <c r="AH582" i="2"/>
  <c r="AH583" i="2"/>
  <c r="AH584" i="2"/>
  <c r="AH585" i="2"/>
  <c r="AH586" i="2"/>
  <c r="AH587" i="2"/>
  <c r="AH588" i="2"/>
  <c r="AH589" i="2"/>
  <c r="AH590" i="2"/>
  <c r="AH591" i="2"/>
  <c r="AH592" i="2"/>
  <c r="AH593" i="2"/>
  <c r="AH594" i="2"/>
  <c r="AH595" i="2"/>
  <c r="AH596" i="2"/>
  <c r="AH597" i="2"/>
  <c r="AH598" i="2"/>
  <c r="AH599" i="2"/>
  <c r="AH600" i="2"/>
  <c r="AH601" i="2"/>
  <c r="AH602" i="2"/>
  <c r="AH603" i="2"/>
  <c r="AH604" i="2"/>
  <c r="AH605" i="2"/>
  <c r="AH606" i="2"/>
  <c r="AH607" i="2"/>
  <c r="AH608" i="2"/>
  <c r="AH609" i="2"/>
  <c r="AH610" i="2"/>
  <c r="AH611" i="2"/>
  <c r="AH612" i="2"/>
  <c r="AH613" i="2"/>
  <c r="AH614" i="2"/>
  <c r="AH615" i="2"/>
  <c r="AH616" i="2"/>
  <c r="AH617" i="2"/>
  <c r="AH618" i="2"/>
  <c r="AH619" i="2"/>
  <c r="AH620" i="2"/>
  <c r="AH621" i="2"/>
  <c r="AH622" i="2"/>
  <c r="AH623" i="2"/>
  <c r="AH624" i="2"/>
  <c r="AH625" i="2"/>
  <c r="AH626" i="2"/>
  <c r="AH627" i="2"/>
  <c r="AH628" i="2"/>
  <c r="AH629" i="2"/>
  <c r="AH630" i="2"/>
  <c r="AH631" i="2"/>
  <c r="AH632" i="2"/>
  <c r="AH633" i="2"/>
  <c r="AH634" i="2"/>
  <c r="AH635" i="2"/>
  <c r="AH636" i="2"/>
  <c r="AH637" i="2"/>
  <c r="AH638" i="2"/>
  <c r="AH639" i="2"/>
  <c r="AH640" i="2"/>
  <c r="AH641" i="2"/>
  <c r="AH642" i="2"/>
  <c r="AH643" i="2"/>
  <c r="AH644" i="2"/>
  <c r="AH645" i="2"/>
  <c r="AH646" i="2"/>
  <c r="AH647" i="2"/>
  <c r="AH648" i="2"/>
  <c r="AH649" i="2"/>
  <c r="AH650" i="2"/>
  <c r="AH651" i="2"/>
  <c r="AH652" i="2"/>
  <c r="AH653" i="2"/>
  <c r="AH654" i="2"/>
  <c r="AH655" i="2"/>
  <c r="AH656" i="2"/>
  <c r="AH657" i="2"/>
  <c r="AH658" i="2"/>
  <c r="AH659" i="2"/>
  <c r="AH660" i="2"/>
  <c r="AH661" i="2"/>
  <c r="AH662" i="2"/>
  <c r="AH663" i="2"/>
  <c r="AH664" i="2"/>
  <c r="AH665" i="2"/>
  <c r="AH666" i="2"/>
  <c r="AH667" i="2"/>
  <c r="AH668" i="2"/>
  <c r="AH669" i="2"/>
  <c r="AH670" i="2"/>
  <c r="AH671" i="2"/>
  <c r="AH672" i="2"/>
  <c r="AH673" i="2"/>
  <c r="AH674" i="2"/>
  <c r="AH675" i="2"/>
  <c r="AH676" i="2"/>
  <c r="AH677" i="2"/>
  <c r="AH678" i="2"/>
  <c r="AH679" i="2"/>
  <c r="AH680" i="2"/>
  <c r="AH681" i="2"/>
  <c r="AH682" i="2"/>
  <c r="AH683" i="2"/>
  <c r="AH684" i="2"/>
  <c r="AH685" i="2"/>
  <c r="AH686" i="2"/>
  <c r="AH687" i="2"/>
  <c r="AH688" i="2"/>
  <c r="AH689" i="2"/>
  <c r="AH690" i="2"/>
  <c r="AH691" i="2"/>
  <c r="AH692" i="2"/>
  <c r="AH693" i="2"/>
  <c r="AH694" i="2"/>
  <c r="AH695" i="2"/>
  <c r="AH696" i="2"/>
  <c r="AH697" i="2"/>
  <c r="AH698" i="2"/>
  <c r="AH699" i="2"/>
  <c r="AH700" i="2"/>
  <c r="AH701" i="2"/>
  <c r="AH702" i="2"/>
  <c r="AH703" i="2"/>
  <c r="AH704" i="2"/>
  <c r="AH705" i="2"/>
  <c r="AH706" i="2"/>
  <c r="AH707" i="2"/>
  <c r="AH708" i="2"/>
  <c r="AH709" i="2"/>
  <c r="AH710" i="2"/>
  <c r="AH711" i="2"/>
  <c r="AH712" i="2"/>
  <c r="AH713" i="2"/>
  <c r="AH714" i="2"/>
  <c r="AH715" i="2"/>
  <c r="AH716" i="2"/>
  <c r="AH717" i="2"/>
  <c r="AH718" i="2"/>
  <c r="AH719" i="2"/>
  <c r="AH720" i="2"/>
  <c r="AH721" i="2"/>
  <c r="AG2" i="2"/>
  <c r="AI2" i="2" s="1"/>
  <c r="AG3" i="2"/>
  <c r="AI3" i="2" s="1"/>
  <c r="AG4" i="2"/>
  <c r="AI4" i="2" s="1"/>
  <c r="AG5" i="2"/>
  <c r="AI5" i="2" s="1"/>
  <c r="AG6" i="2"/>
  <c r="AI6" i="2" s="1"/>
  <c r="AG7" i="2"/>
  <c r="AI7" i="2" s="1"/>
  <c r="AG8" i="2"/>
  <c r="AI8" i="2" s="1"/>
  <c r="AG9" i="2"/>
  <c r="AI9" i="2" s="1"/>
  <c r="AG10" i="2"/>
  <c r="AI10" i="2" s="1"/>
  <c r="AG11" i="2"/>
  <c r="AI11" i="2" s="1"/>
  <c r="AG12" i="2"/>
  <c r="AI12" i="2" s="1"/>
  <c r="AG13" i="2"/>
  <c r="AI13" i="2" s="1"/>
  <c r="AG14" i="2"/>
  <c r="AI14" i="2" s="1"/>
  <c r="AG15" i="2"/>
  <c r="AI15" i="2" s="1"/>
  <c r="AG16" i="2"/>
  <c r="AI16" i="2" s="1"/>
  <c r="AG17" i="2"/>
  <c r="AI17" i="2" s="1"/>
  <c r="AG18" i="2"/>
  <c r="AI18" i="2" s="1"/>
  <c r="AG19" i="2"/>
  <c r="AI19" i="2" s="1"/>
  <c r="AG20" i="2"/>
  <c r="AI20" i="2" s="1"/>
  <c r="AG21" i="2"/>
  <c r="AI21" i="2" s="1"/>
  <c r="AG22" i="2"/>
  <c r="AI22" i="2" s="1"/>
  <c r="AG23" i="2"/>
  <c r="AI23" i="2" s="1"/>
  <c r="AG24" i="2"/>
  <c r="AI24" i="2" s="1"/>
  <c r="AG25" i="2"/>
  <c r="AI25" i="2" s="1"/>
  <c r="AG26" i="2"/>
  <c r="AI26" i="2" s="1"/>
  <c r="AG27" i="2"/>
  <c r="AI27" i="2" s="1"/>
  <c r="AG28" i="2"/>
  <c r="AI28" i="2" s="1"/>
  <c r="AG29" i="2"/>
  <c r="AI29" i="2" s="1"/>
  <c r="AG30" i="2"/>
  <c r="AI30" i="2" s="1"/>
  <c r="AG31" i="2"/>
  <c r="AI31" i="2" s="1"/>
  <c r="AG32" i="2"/>
  <c r="AI32" i="2" s="1"/>
  <c r="AG33" i="2"/>
  <c r="AI33" i="2" s="1"/>
  <c r="AG34" i="2"/>
  <c r="AI34" i="2" s="1"/>
  <c r="AG35" i="2"/>
  <c r="AI35" i="2" s="1"/>
  <c r="AG36" i="2"/>
  <c r="AI36" i="2" s="1"/>
  <c r="AG37" i="2"/>
  <c r="AI37" i="2" s="1"/>
  <c r="AG38" i="2"/>
  <c r="AI38" i="2" s="1"/>
  <c r="AG39" i="2"/>
  <c r="AI39" i="2" s="1"/>
  <c r="AG40" i="2"/>
  <c r="AI40" i="2" s="1"/>
  <c r="AG41" i="2"/>
  <c r="AI41" i="2" s="1"/>
  <c r="AG42" i="2"/>
  <c r="AI42" i="2" s="1"/>
  <c r="AG43" i="2"/>
  <c r="AI43" i="2" s="1"/>
  <c r="AG44" i="2"/>
  <c r="AI44" i="2" s="1"/>
  <c r="AG45" i="2"/>
  <c r="AI45" i="2" s="1"/>
  <c r="AG46" i="2"/>
  <c r="AI46" i="2" s="1"/>
  <c r="AG47" i="2"/>
  <c r="AI47" i="2" s="1"/>
  <c r="AG48" i="2"/>
  <c r="AI48" i="2" s="1"/>
  <c r="AG49" i="2"/>
  <c r="AI49" i="2" s="1"/>
  <c r="AG50" i="2"/>
  <c r="AI50" i="2" s="1"/>
  <c r="AG51" i="2"/>
  <c r="AI51" i="2" s="1"/>
  <c r="AG52" i="2"/>
  <c r="AI52" i="2" s="1"/>
  <c r="AG53" i="2"/>
  <c r="AI53" i="2" s="1"/>
  <c r="AG54" i="2"/>
  <c r="AI54" i="2" s="1"/>
  <c r="AG55" i="2"/>
  <c r="AI55" i="2" s="1"/>
  <c r="AG56" i="2"/>
  <c r="AI56" i="2" s="1"/>
  <c r="AG57" i="2"/>
  <c r="AI57" i="2" s="1"/>
  <c r="AG58" i="2"/>
  <c r="AI58" i="2" s="1"/>
  <c r="AG59" i="2"/>
  <c r="AI59" i="2" s="1"/>
  <c r="AG60" i="2"/>
  <c r="AI60" i="2" s="1"/>
  <c r="AG61" i="2"/>
  <c r="AI61" i="2" s="1"/>
  <c r="AG62" i="2"/>
  <c r="AI62" i="2" s="1"/>
  <c r="AG63" i="2"/>
  <c r="AI63" i="2" s="1"/>
  <c r="AG64" i="2"/>
  <c r="AI64" i="2" s="1"/>
  <c r="AG65" i="2"/>
  <c r="AI65" i="2" s="1"/>
  <c r="AG66" i="2"/>
  <c r="AI66" i="2" s="1"/>
  <c r="AG67" i="2"/>
  <c r="AI67" i="2" s="1"/>
  <c r="AG68" i="2"/>
  <c r="AI68" i="2" s="1"/>
  <c r="AG69" i="2"/>
  <c r="AI69" i="2" s="1"/>
  <c r="AG70" i="2"/>
  <c r="AI70" i="2" s="1"/>
  <c r="AG71" i="2"/>
  <c r="AI71" i="2" s="1"/>
  <c r="AG72" i="2"/>
  <c r="AI72" i="2" s="1"/>
  <c r="AG73" i="2"/>
  <c r="AI73" i="2" s="1"/>
  <c r="AG74" i="2"/>
  <c r="AI74" i="2" s="1"/>
  <c r="AG75" i="2"/>
  <c r="AI75" i="2" s="1"/>
  <c r="AG76" i="2"/>
  <c r="AI76" i="2" s="1"/>
  <c r="AG77" i="2"/>
  <c r="AI77" i="2" s="1"/>
  <c r="AG78" i="2"/>
  <c r="AI78" i="2" s="1"/>
  <c r="AG79" i="2"/>
  <c r="AI79" i="2" s="1"/>
  <c r="AG80" i="2"/>
  <c r="AI80" i="2" s="1"/>
  <c r="AG81" i="2"/>
  <c r="AI81" i="2" s="1"/>
  <c r="AG82" i="2"/>
  <c r="AI82" i="2" s="1"/>
  <c r="AG83" i="2"/>
  <c r="AI83" i="2" s="1"/>
  <c r="AG84" i="2"/>
  <c r="AI84" i="2" s="1"/>
  <c r="AG85" i="2"/>
  <c r="AI85" i="2" s="1"/>
  <c r="AG86" i="2"/>
  <c r="AI86" i="2" s="1"/>
  <c r="AG87" i="2"/>
  <c r="AI87" i="2" s="1"/>
  <c r="AG88" i="2"/>
  <c r="AI88" i="2" s="1"/>
  <c r="AG89" i="2"/>
  <c r="AI89" i="2" s="1"/>
  <c r="AG90" i="2"/>
  <c r="AI90" i="2" s="1"/>
  <c r="AG91" i="2"/>
  <c r="AI91" i="2" s="1"/>
  <c r="AG92" i="2"/>
  <c r="AI92" i="2" s="1"/>
  <c r="AG93" i="2"/>
  <c r="AI93" i="2" s="1"/>
  <c r="AG94" i="2"/>
  <c r="AI94" i="2" s="1"/>
  <c r="AG95" i="2"/>
  <c r="AI95" i="2" s="1"/>
  <c r="AG96" i="2"/>
  <c r="AI96" i="2" s="1"/>
  <c r="AG97" i="2"/>
  <c r="AI97" i="2" s="1"/>
  <c r="AG98" i="2"/>
  <c r="AI98" i="2" s="1"/>
  <c r="AG99" i="2"/>
  <c r="AI99" i="2" s="1"/>
  <c r="AG100" i="2"/>
  <c r="AI100" i="2" s="1"/>
  <c r="AG101" i="2"/>
  <c r="AI101" i="2" s="1"/>
  <c r="AG102" i="2"/>
  <c r="AI102" i="2" s="1"/>
  <c r="AG103" i="2"/>
  <c r="AI103" i="2" s="1"/>
  <c r="AG104" i="2"/>
  <c r="AI104" i="2" s="1"/>
  <c r="AG105" i="2"/>
  <c r="AI105" i="2" s="1"/>
  <c r="AG106" i="2"/>
  <c r="AI106" i="2" s="1"/>
  <c r="AG107" i="2"/>
  <c r="AI107" i="2" s="1"/>
  <c r="AG108" i="2"/>
  <c r="AI108" i="2" s="1"/>
  <c r="AG109" i="2"/>
  <c r="AI109" i="2" s="1"/>
  <c r="AG110" i="2"/>
  <c r="AI110" i="2" s="1"/>
  <c r="AG111" i="2"/>
  <c r="AI111" i="2" s="1"/>
  <c r="AG112" i="2"/>
  <c r="AI112" i="2" s="1"/>
  <c r="AG113" i="2"/>
  <c r="AI113" i="2" s="1"/>
  <c r="AG114" i="2"/>
  <c r="AI114" i="2" s="1"/>
  <c r="AG115" i="2"/>
  <c r="AI115" i="2" s="1"/>
  <c r="AG116" i="2"/>
  <c r="AI116" i="2" s="1"/>
  <c r="AG117" i="2"/>
  <c r="AI117" i="2" s="1"/>
  <c r="AG118" i="2"/>
  <c r="AI118" i="2" s="1"/>
  <c r="AG119" i="2"/>
  <c r="AI119" i="2" s="1"/>
  <c r="AG120" i="2"/>
  <c r="AI120" i="2" s="1"/>
  <c r="AG121" i="2"/>
  <c r="AI121" i="2" s="1"/>
  <c r="AG122" i="2"/>
  <c r="AI122" i="2" s="1"/>
  <c r="AG123" i="2"/>
  <c r="AI123" i="2" s="1"/>
  <c r="AG124" i="2"/>
  <c r="AI124" i="2" s="1"/>
  <c r="AG125" i="2"/>
  <c r="AI125" i="2" s="1"/>
  <c r="AG126" i="2"/>
  <c r="AI126" i="2" s="1"/>
  <c r="AG127" i="2"/>
  <c r="AI127" i="2" s="1"/>
  <c r="AG128" i="2"/>
  <c r="AI128" i="2" s="1"/>
  <c r="AG129" i="2"/>
  <c r="AI129" i="2" s="1"/>
  <c r="AG130" i="2"/>
  <c r="AI130" i="2" s="1"/>
  <c r="AG131" i="2"/>
  <c r="AI131" i="2" s="1"/>
  <c r="AG132" i="2"/>
  <c r="AI132" i="2" s="1"/>
  <c r="AG133" i="2"/>
  <c r="AI133" i="2" s="1"/>
  <c r="AG134" i="2"/>
  <c r="AI134" i="2" s="1"/>
  <c r="AG135" i="2"/>
  <c r="AI135" i="2" s="1"/>
  <c r="AG136" i="2"/>
  <c r="AI136" i="2" s="1"/>
  <c r="AG137" i="2"/>
  <c r="AI137" i="2" s="1"/>
  <c r="AG138" i="2"/>
  <c r="AI138" i="2" s="1"/>
  <c r="AG139" i="2"/>
  <c r="AI139" i="2" s="1"/>
  <c r="AG140" i="2"/>
  <c r="AI140" i="2" s="1"/>
  <c r="AG141" i="2"/>
  <c r="AI141" i="2" s="1"/>
  <c r="AG142" i="2"/>
  <c r="AI142" i="2" s="1"/>
  <c r="AG143" i="2"/>
  <c r="AI143" i="2" s="1"/>
  <c r="AG144" i="2"/>
  <c r="AI144" i="2" s="1"/>
  <c r="AG145" i="2"/>
  <c r="AI145" i="2" s="1"/>
  <c r="AG146" i="2"/>
  <c r="AI146" i="2" s="1"/>
  <c r="AG147" i="2"/>
  <c r="AI147" i="2" s="1"/>
  <c r="AG148" i="2"/>
  <c r="AI148" i="2" s="1"/>
  <c r="AG149" i="2"/>
  <c r="AI149" i="2" s="1"/>
  <c r="AG150" i="2"/>
  <c r="AI150" i="2" s="1"/>
  <c r="AG151" i="2"/>
  <c r="AI151" i="2" s="1"/>
  <c r="AG152" i="2"/>
  <c r="AI152" i="2" s="1"/>
  <c r="AG153" i="2"/>
  <c r="AI153" i="2" s="1"/>
  <c r="AG154" i="2"/>
  <c r="AI154" i="2" s="1"/>
  <c r="AG155" i="2"/>
  <c r="AI155" i="2" s="1"/>
  <c r="AG156" i="2"/>
  <c r="AI156" i="2" s="1"/>
  <c r="AG157" i="2"/>
  <c r="AI157" i="2" s="1"/>
  <c r="AG158" i="2"/>
  <c r="AI158" i="2" s="1"/>
  <c r="AG159" i="2"/>
  <c r="AI159" i="2" s="1"/>
  <c r="AG160" i="2"/>
  <c r="AI160" i="2" s="1"/>
  <c r="AG161" i="2"/>
  <c r="AI161" i="2" s="1"/>
  <c r="AG162" i="2"/>
  <c r="AI162" i="2" s="1"/>
  <c r="AG163" i="2"/>
  <c r="AI163" i="2" s="1"/>
  <c r="AG164" i="2"/>
  <c r="AI164" i="2" s="1"/>
  <c r="AG165" i="2"/>
  <c r="AI165" i="2" s="1"/>
  <c r="AG166" i="2"/>
  <c r="AI166" i="2" s="1"/>
  <c r="AG167" i="2"/>
  <c r="AI167" i="2" s="1"/>
  <c r="AG168" i="2"/>
  <c r="AI168" i="2" s="1"/>
  <c r="AG169" i="2"/>
  <c r="AI169" i="2" s="1"/>
  <c r="AG170" i="2"/>
  <c r="AI170" i="2" s="1"/>
  <c r="AG171" i="2"/>
  <c r="AI171" i="2" s="1"/>
  <c r="AG172" i="2"/>
  <c r="AI172" i="2" s="1"/>
  <c r="AG173" i="2"/>
  <c r="AI173" i="2" s="1"/>
  <c r="AG174" i="2"/>
  <c r="AI174" i="2" s="1"/>
  <c r="AG175" i="2"/>
  <c r="AI175" i="2" s="1"/>
  <c r="AG176" i="2"/>
  <c r="AI176" i="2" s="1"/>
  <c r="AG177" i="2"/>
  <c r="AI177" i="2" s="1"/>
  <c r="AG178" i="2"/>
  <c r="AI178" i="2" s="1"/>
  <c r="AG179" i="2"/>
  <c r="AI179" i="2" s="1"/>
  <c r="AG180" i="2"/>
  <c r="AI180" i="2" s="1"/>
  <c r="AG181" i="2"/>
  <c r="AI181" i="2" s="1"/>
  <c r="AG182" i="2"/>
  <c r="AI182" i="2" s="1"/>
  <c r="AG183" i="2"/>
  <c r="AI183" i="2" s="1"/>
  <c r="AG184" i="2"/>
  <c r="AI184" i="2" s="1"/>
  <c r="AG185" i="2"/>
  <c r="AI185" i="2" s="1"/>
  <c r="AG186" i="2"/>
  <c r="AI186" i="2" s="1"/>
  <c r="AG187" i="2"/>
  <c r="AI187" i="2" s="1"/>
  <c r="AG188" i="2"/>
  <c r="AI188" i="2" s="1"/>
  <c r="AG189" i="2"/>
  <c r="AI189" i="2" s="1"/>
  <c r="AG190" i="2"/>
  <c r="AI190" i="2" s="1"/>
  <c r="AG191" i="2"/>
  <c r="AI191" i="2" s="1"/>
  <c r="AG192" i="2"/>
  <c r="AI192" i="2" s="1"/>
  <c r="AG193" i="2"/>
  <c r="AI193" i="2" s="1"/>
  <c r="AG194" i="2"/>
  <c r="AI194" i="2" s="1"/>
  <c r="AG195" i="2"/>
  <c r="AI195" i="2" s="1"/>
  <c r="AG196" i="2"/>
  <c r="AI196" i="2" s="1"/>
  <c r="AG197" i="2"/>
  <c r="AI197" i="2" s="1"/>
  <c r="AG198" i="2"/>
  <c r="AI198" i="2" s="1"/>
  <c r="AG199" i="2"/>
  <c r="AI199" i="2" s="1"/>
  <c r="AG200" i="2"/>
  <c r="AI200" i="2" s="1"/>
  <c r="AG201" i="2"/>
  <c r="AI201" i="2" s="1"/>
  <c r="AG202" i="2"/>
  <c r="AI202" i="2" s="1"/>
  <c r="AG203" i="2"/>
  <c r="AI203" i="2" s="1"/>
  <c r="AG204" i="2"/>
  <c r="AI204" i="2" s="1"/>
  <c r="AG205" i="2"/>
  <c r="AI205" i="2" s="1"/>
  <c r="AG206" i="2"/>
  <c r="AI206" i="2" s="1"/>
  <c r="AG207" i="2"/>
  <c r="AI207" i="2" s="1"/>
  <c r="AG208" i="2"/>
  <c r="AI208" i="2" s="1"/>
  <c r="AG209" i="2"/>
  <c r="AI209" i="2" s="1"/>
  <c r="AG210" i="2"/>
  <c r="AI210" i="2" s="1"/>
  <c r="AG211" i="2"/>
  <c r="AI211" i="2" s="1"/>
  <c r="AG212" i="2"/>
  <c r="AI212" i="2" s="1"/>
  <c r="AG213" i="2"/>
  <c r="AI213" i="2" s="1"/>
  <c r="AG214" i="2"/>
  <c r="AI214" i="2" s="1"/>
  <c r="AG215" i="2"/>
  <c r="AI215" i="2" s="1"/>
  <c r="AG216" i="2"/>
  <c r="AI216" i="2" s="1"/>
  <c r="AG217" i="2"/>
  <c r="AI217" i="2" s="1"/>
  <c r="AG218" i="2"/>
  <c r="AI218" i="2" s="1"/>
  <c r="AG219" i="2"/>
  <c r="AI219" i="2" s="1"/>
  <c r="AG220" i="2"/>
  <c r="AI220" i="2" s="1"/>
  <c r="AG221" i="2"/>
  <c r="AI221" i="2" s="1"/>
  <c r="AG222" i="2"/>
  <c r="AI222" i="2" s="1"/>
  <c r="AG223" i="2"/>
  <c r="AI223" i="2" s="1"/>
  <c r="AG224" i="2"/>
  <c r="AI224" i="2" s="1"/>
  <c r="AG225" i="2"/>
  <c r="AI225" i="2" s="1"/>
  <c r="AG226" i="2"/>
  <c r="AI226" i="2" s="1"/>
  <c r="AG227" i="2"/>
  <c r="AI227" i="2" s="1"/>
  <c r="AG228" i="2"/>
  <c r="AI228" i="2" s="1"/>
  <c r="AG229" i="2"/>
  <c r="AI229" i="2" s="1"/>
  <c r="AG230" i="2"/>
  <c r="AI230" i="2" s="1"/>
  <c r="AG231" i="2"/>
  <c r="AI231" i="2" s="1"/>
  <c r="AG232" i="2"/>
  <c r="AI232" i="2" s="1"/>
  <c r="AG233" i="2"/>
  <c r="AI233" i="2" s="1"/>
  <c r="AG234" i="2"/>
  <c r="AI234" i="2" s="1"/>
  <c r="AG235" i="2"/>
  <c r="AI235" i="2" s="1"/>
  <c r="AG236" i="2"/>
  <c r="AI236" i="2" s="1"/>
  <c r="AG237" i="2"/>
  <c r="AI237" i="2" s="1"/>
  <c r="AG238" i="2"/>
  <c r="AI238" i="2" s="1"/>
  <c r="AG239" i="2"/>
  <c r="AI239" i="2" s="1"/>
  <c r="AG240" i="2"/>
  <c r="AI240" i="2" s="1"/>
  <c r="AG241" i="2"/>
  <c r="AI241" i="2" s="1"/>
  <c r="AG242" i="2"/>
  <c r="AI242" i="2" s="1"/>
  <c r="AG243" i="2"/>
  <c r="AI243" i="2" s="1"/>
  <c r="AG244" i="2"/>
  <c r="AI244" i="2" s="1"/>
  <c r="AG245" i="2"/>
  <c r="AI245" i="2" s="1"/>
  <c r="AG246" i="2"/>
  <c r="AI246" i="2" s="1"/>
  <c r="AG247" i="2"/>
  <c r="AI247" i="2" s="1"/>
  <c r="AG248" i="2"/>
  <c r="AI248" i="2" s="1"/>
  <c r="AG249" i="2"/>
  <c r="AI249" i="2" s="1"/>
  <c r="AG250" i="2"/>
  <c r="AI250" i="2" s="1"/>
  <c r="AG251" i="2"/>
  <c r="AI251" i="2" s="1"/>
  <c r="AG252" i="2"/>
  <c r="AI252" i="2" s="1"/>
  <c r="AG253" i="2"/>
  <c r="AI253" i="2" s="1"/>
  <c r="AG254" i="2"/>
  <c r="AI254" i="2" s="1"/>
  <c r="AG255" i="2"/>
  <c r="AI255" i="2" s="1"/>
  <c r="AG256" i="2"/>
  <c r="AI256" i="2" s="1"/>
  <c r="AG257" i="2"/>
  <c r="AI257" i="2" s="1"/>
  <c r="AG258" i="2"/>
  <c r="AI258" i="2" s="1"/>
  <c r="AG259" i="2"/>
  <c r="AI259" i="2" s="1"/>
  <c r="AG260" i="2"/>
  <c r="AI260" i="2" s="1"/>
  <c r="AG261" i="2"/>
  <c r="AI261" i="2" s="1"/>
  <c r="AG262" i="2"/>
  <c r="AI262" i="2" s="1"/>
  <c r="AG263" i="2"/>
  <c r="AI263" i="2" s="1"/>
  <c r="AG264" i="2"/>
  <c r="AI264" i="2" s="1"/>
  <c r="AG265" i="2"/>
  <c r="AI265" i="2" s="1"/>
  <c r="AG266" i="2"/>
  <c r="AI266" i="2" s="1"/>
  <c r="AG267" i="2"/>
  <c r="AI267" i="2" s="1"/>
  <c r="AG268" i="2"/>
  <c r="AI268" i="2" s="1"/>
  <c r="AG269" i="2"/>
  <c r="AI269" i="2" s="1"/>
  <c r="AG270" i="2"/>
  <c r="AI270" i="2" s="1"/>
  <c r="AG271" i="2"/>
  <c r="AI271" i="2" s="1"/>
  <c r="AG272" i="2"/>
  <c r="AI272" i="2" s="1"/>
  <c r="AG273" i="2"/>
  <c r="AI273" i="2" s="1"/>
  <c r="AG274" i="2"/>
  <c r="AI274" i="2" s="1"/>
  <c r="AG275" i="2"/>
  <c r="AI275" i="2" s="1"/>
  <c r="AG276" i="2"/>
  <c r="AI276" i="2" s="1"/>
  <c r="AG277" i="2"/>
  <c r="AI277" i="2" s="1"/>
  <c r="AG278" i="2"/>
  <c r="AI278" i="2" s="1"/>
  <c r="AG279" i="2"/>
  <c r="AI279" i="2" s="1"/>
  <c r="AG280" i="2"/>
  <c r="AI280" i="2" s="1"/>
  <c r="AG281" i="2"/>
  <c r="AI281" i="2" s="1"/>
  <c r="AG282" i="2"/>
  <c r="AI282" i="2" s="1"/>
  <c r="AG283" i="2"/>
  <c r="AI283" i="2" s="1"/>
  <c r="AG284" i="2"/>
  <c r="AI284" i="2" s="1"/>
  <c r="AG285" i="2"/>
  <c r="AI285" i="2" s="1"/>
  <c r="AG286" i="2"/>
  <c r="AI286" i="2" s="1"/>
  <c r="AG287" i="2"/>
  <c r="AI287" i="2" s="1"/>
  <c r="AG288" i="2"/>
  <c r="AI288" i="2" s="1"/>
  <c r="AG289" i="2"/>
  <c r="AI289" i="2" s="1"/>
  <c r="AG290" i="2"/>
  <c r="AI290" i="2" s="1"/>
  <c r="AG291" i="2"/>
  <c r="AI291" i="2" s="1"/>
  <c r="AG292" i="2"/>
  <c r="AI292" i="2" s="1"/>
  <c r="AG293" i="2"/>
  <c r="AI293" i="2" s="1"/>
  <c r="AG294" i="2"/>
  <c r="AI294" i="2" s="1"/>
  <c r="AG295" i="2"/>
  <c r="AI295" i="2" s="1"/>
  <c r="AG296" i="2"/>
  <c r="AI296" i="2" s="1"/>
  <c r="AG297" i="2"/>
  <c r="AI297" i="2" s="1"/>
  <c r="AG298" i="2"/>
  <c r="AI298" i="2" s="1"/>
  <c r="AG299" i="2"/>
  <c r="AI299" i="2" s="1"/>
  <c r="AG300" i="2"/>
  <c r="AI300" i="2" s="1"/>
  <c r="AG301" i="2"/>
  <c r="AI301" i="2" s="1"/>
  <c r="AG302" i="2"/>
  <c r="AI302" i="2" s="1"/>
  <c r="AG303" i="2"/>
  <c r="AI303" i="2" s="1"/>
  <c r="AG304" i="2"/>
  <c r="AI304" i="2" s="1"/>
  <c r="AG305" i="2"/>
  <c r="AI305" i="2" s="1"/>
  <c r="AG306" i="2"/>
  <c r="AI306" i="2" s="1"/>
  <c r="AG307" i="2"/>
  <c r="AI307" i="2" s="1"/>
  <c r="AG308" i="2"/>
  <c r="AI308" i="2" s="1"/>
  <c r="AG309" i="2"/>
  <c r="AI309" i="2" s="1"/>
  <c r="AG310" i="2"/>
  <c r="AI310" i="2" s="1"/>
  <c r="AG311" i="2"/>
  <c r="AI311" i="2" s="1"/>
  <c r="AG312" i="2"/>
  <c r="AI312" i="2" s="1"/>
  <c r="AG313" i="2"/>
  <c r="AI313" i="2" s="1"/>
  <c r="AG314" i="2"/>
  <c r="AI314" i="2" s="1"/>
  <c r="AG315" i="2"/>
  <c r="AI315" i="2" s="1"/>
  <c r="AG316" i="2"/>
  <c r="AI316" i="2" s="1"/>
  <c r="AG317" i="2"/>
  <c r="AI317" i="2" s="1"/>
  <c r="AG318" i="2"/>
  <c r="AI318" i="2" s="1"/>
  <c r="AG319" i="2"/>
  <c r="AI319" i="2" s="1"/>
  <c r="AG320" i="2"/>
  <c r="AI320" i="2" s="1"/>
  <c r="AG321" i="2"/>
  <c r="AI321" i="2" s="1"/>
  <c r="AG322" i="2"/>
  <c r="AI322" i="2" s="1"/>
  <c r="AG323" i="2"/>
  <c r="AI323" i="2" s="1"/>
  <c r="AG324" i="2"/>
  <c r="AI324" i="2" s="1"/>
  <c r="AG325" i="2"/>
  <c r="AI325" i="2" s="1"/>
  <c r="AG326" i="2"/>
  <c r="AI326" i="2" s="1"/>
  <c r="AG327" i="2"/>
  <c r="AI327" i="2" s="1"/>
  <c r="AG328" i="2"/>
  <c r="AI328" i="2" s="1"/>
  <c r="AG329" i="2"/>
  <c r="AI329" i="2" s="1"/>
  <c r="AG330" i="2"/>
  <c r="AI330" i="2" s="1"/>
  <c r="AG331" i="2"/>
  <c r="AI331" i="2" s="1"/>
  <c r="AG332" i="2"/>
  <c r="AI332" i="2" s="1"/>
  <c r="AG333" i="2"/>
  <c r="AI333" i="2" s="1"/>
  <c r="AG334" i="2"/>
  <c r="AI334" i="2" s="1"/>
  <c r="AG335" i="2"/>
  <c r="AI335" i="2" s="1"/>
  <c r="AG336" i="2"/>
  <c r="AI336" i="2" s="1"/>
  <c r="AG337" i="2"/>
  <c r="AI337" i="2" s="1"/>
  <c r="AG338" i="2"/>
  <c r="AI338" i="2" s="1"/>
  <c r="AG339" i="2"/>
  <c r="AI339" i="2" s="1"/>
  <c r="AG340" i="2"/>
  <c r="AI340" i="2" s="1"/>
  <c r="AG341" i="2"/>
  <c r="AI341" i="2" s="1"/>
  <c r="AG342" i="2"/>
  <c r="AI342" i="2" s="1"/>
  <c r="AG343" i="2"/>
  <c r="AI343" i="2" s="1"/>
  <c r="AG344" i="2"/>
  <c r="AI344" i="2" s="1"/>
  <c r="AG345" i="2"/>
  <c r="AI345" i="2" s="1"/>
  <c r="AG346" i="2"/>
  <c r="AI346" i="2" s="1"/>
  <c r="AG347" i="2"/>
  <c r="AI347" i="2" s="1"/>
  <c r="AG348" i="2"/>
  <c r="AI348" i="2" s="1"/>
  <c r="AG349" i="2"/>
  <c r="AI349" i="2" s="1"/>
  <c r="AG350" i="2"/>
  <c r="AI350" i="2" s="1"/>
  <c r="AG351" i="2"/>
  <c r="AI351" i="2" s="1"/>
  <c r="AG352" i="2"/>
  <c r="AI352" i="2" s="1"/>
  <c r="AG353" i="2"/>
  <c r="AI353" i="2" s="1"/>
  <c r="AG354" i="2"/>
  <c r="AI354" i="2" s="1"/>
  <c r="AG355" i="2"/>
  <c r="AI355" i="2" s="1"/>
  <c r="AG356" i="2"/>
  <c r="AI356" i="2" s="1"/>
  <c r="AG357" i="2"/>
  <c r="AI357" i="2" s="1"/>
  <c r="AG358" i="2"/>
  <c r="AI358" i="2" s="1"/>
  <c r="AG359" i="2"/>
  <c r="AI359" i="2" s="1"/>
  <c r="AG360" i="2"/>
  <c r="AI360" i="2" s="1"/>
  <c r="AG361" i="2"/>
  <c r="AI361" i="2" s="1"/>
  <c r="AG362" i="2"/>
  <c r="AI362" i="2" s="1"/>
  <c r="AG363" i="2"/>
  <c r="AI363" i="2" s="1"/>
  <c r="AG364" i="2"/>
  <c r="AI364" i="2" s="1"/>
  <c r="AG365" i="2"/>
  <c r="AI365" i="2" s="1"/>
  <c r="AG366" i="2"/>
  <c r="AI366" i="2" s="1"/>
  <c r="AG367" i="2"/>
  <c r="AI367" i="2" s="1"/>
  <c r="AG368" i="2"/>
  <c r="AI368" i="2" s="1"/>
  <c r="AG369" i="2"/>
  <c r="AI369" i="2" s="1"/>
  <c r="AG370" i="2"/>
  <c r="AI370" i="2" s="1"/>
  <c r="AG371" i="2"/>
  <c r="AI371" i="2" s="1"/>
  <c r="AG372" i="2"/>
  <c r="AI372" i="2" s="1"/>
  <c r="AG373" i="2"/>
  <c r="AI373" i="2" s="1"/>
  <c r="AG374" i="2"/>
  <c r="AI374" i="2" s="1"/>
  <c r="AG375" i="2"/>
  <c r="AI375" i="2" s="1"/>
  <c r="AG376" i="2"/>
  <c r="AI376" i="2" s="1"/>
  <c r="AG377" i="2"/>
  <c r="AI377" i="2" s="1"/>
  <c r="AG378" i="2"/>
  <c r="AI378" i="2" s="1"/>
  <c r="AG379" i="2"/>
  <c r="AI379" i="2" s="1"/>
  <c r="AG380" i="2"/>
  <c r="AI380" i="2" s="1"/>
  <c r="AG381" i="2"/>
  <c r="AI381" i="2" s="1"/>
  <c r="AG382" i="2"/>
  <c r="AI382" i="2" s="1"/>
  <c r="AG383" i="2"/>
  <c r="AI383" i="2" s="1"/>
  <c r="AG384" i="2"/>
  <c r="AI384" i="2" s="1"/>
  <c r="AG385" i="2"/>
  <c r="AI385" i="2" s="1"/>
  <c r="AG386" i="2"/>
  <c r="AI386" i="2" s="1"/>
  <c r="AG387" i="2"/>
  <c r="AI387" i="2" s="1"/>
  <c r="AG388" i="2"/>
  <c r="AI388" i="2" s="1"/>
  <c r="AG389" i="2"/>
  <c r="AI389" i="2" s="1"/>
  <c r="AG390" i="2"/>
  <c r="AI390" i="2" s="1"/>
  <c r="AG391" i="2"/>
  <c r="AI391" i="2" s="1"/>
  <c r="AG392" i="2"/>
  <c r="AI392" i="2" s="1"/>
  <c r="AG393" i="2"/>
  <c r="AI393" i="2" s="1"/>
  <c r="AG394" i="2"/>
  <c r="AI394" i="2" s="1"/>
  <c r="AG395" i="2"/>
  <c r="AI395" i="2" s="1"/>
  <c r="AG396" i="2"/>
  <c r="AI396" i="2" s="1"/>
  <c r="AG397" i="2"/>
  <c r="AI397" i="2" s="1"/>
  <c r="AG398" i="2"/>
  <c r="AI398" i="2" s="1"/>
  <c r="AG399" i="2"/>
  <c r="AI399" i="2" s="1"/>
  <c r="AG400" i="2"/>
  <c r="AI400" i="2" s="1"/>
  <c r="AG401" i="2"/>
  <c r="AI401" i="2" s="1"/>
  <c r="AG402" i="2"/>
  <c r="AI402" i="2" s="1"/>
  <c r="AG403" i="2"/>
  <c r="AI403" i="2" s="1"/>
  <c r="AG404" i="2"/>
  <c r="AI404" i="2" s="1"/>
  <c r="AG405" i="2"/>
  <c r="AI405" i="2" s="1"/>
  <c r="AG406" i="2"/>
  <c r="AI406" i="2" s="1"/>
  <c r="AG407" i="2"/>
  <c r="AI407" i="2" s="1"/>
  <c r="AG408" i="2"/>
  <c r="AI408" i="2" s="1"/>
  <c r="AG409" i="2"/>
  <c r="AI409" i="2" s="1"/>
  <c r="AG410" i="2"/>
  <c r="AI410" i="2" s="1"/>
  <c r="AG411" i="2"/>
  <c r="AI411" i="2" s="1"/>
  <c r="AG412" i="2"/>
  <c r="AI412" i="2" s="1"/>
  <c r="AG413" i="2"/>
  <c r="AI413" i="2" s="1"/>
  <c r="AG414" i="2"/>
  <c r="AI414" i="2" s="1"/>
  <c r="AG415" i="2"/>
  <c r="AI415" i="2" s="1"/>
  <c r="AG416" i="2"/>
  <c r="AI416" i="2" s="1"/>
  <c r="AG417" i="2"/>
  <c r="AI417" i="2" s="1"/>
  <c r="AG418" i="2"/>
  <c r="AI418" i="2" s="1"/>
  <c r="AG419" i="2"/>
  <c r="AI419" i="2" s="1"/>
  <c r="AG420" i="2"/>
  <c r="AI420" i="2" s="1"/>
  <c r="AG421" i="2"/>
  <c r="AI421" i="2" s="1"/>
  <c r="AG422" i="2"/>
  <c r="AI422" i="2" s="1"/>
  <c r="AG423" i="2"/>
  <c r="AI423" i="2" s="1"/>
  <c r="AG424" i="2"/>
  <c r="AI424" i="2" s="1"/>
  <c r="AG425" i="2"/>
  <c r="AI425" i="2" s="1"/>
  <c r="AG426" i="2"/>
  <c r="AI426" i="2" s="1"/>
  <c r="AG427" i="2"/>
  <c r="AI427" i="2" s="1"/>
  <c r="AG428" i="2"/>
  <c r="AI428" i="2" s="1"/>
  <c r="AG429" i="2"/>
  <c r="AI429" i="2" s="1"/>
  <c r="AG430" i="2"/>
  <c r="AI430" i="2" s="1"/>
  <c r="AG431" i="2"/>
  <c r="AI431" i="2" s="1"/>
  <c r="AG432" i="2"/>
  <c r="AI432" i="2" s="1"/>
  <c r="AG433" i="2"/>
  <c r="AI433" i="2" s="1"/>
  <c r="AG434" i="2"/>
  <c r="AI434" i="2" s="1"/>
  <c r="AG435" i="2"/>
  <c r="AI435" i="2" s="1"/>
  <c r="AG436" i="2"/>
  <c r="AI436" i="2" s="1"/>
  <c r="AG437" i="2"/>
  <c r="AI437" i="2" s="1"/>
  <c r="AG438" i="2"/>
  <c r="AI438" i="2" s="1"/>
  <c r="AG439" i="2"/>
  <c r="AI439" i="2" s="1"/>
  <c r="AG440" i="2"/>
  <c r="AI440" i="2" s="1"/>
  <c r="AG441" i="2"/>
  <c r="AI441" i="2" s="1"/>
  <c r="AG442" i="2"/>
  <c r="AI442" i="2" s="1"/>
  <c r="AG443" i="2"/>
  <c r="AI443" i="2" s="1"/>
  <c r="AG444" i="2"/>
  <c r="AI444" i="2" s="1"/>
  <c r="AG445" i="2"/>
  <c r="AI445" i="2" s="1"/>
  <c r="AG446" i="2"/>
  <c r="AI446" i="2" s="1"/>
  <c r="AG447" i="2"/>
  <c r="AI447" i="2" s="1"/>
  <c r="AG448" i="2"/>
  <c r="AI448" i="2" s="1"/>
  <c r="AG449" i="2"/>
  <c r="AI449" i="2" s="1"/>
  <c r="AG450" i="2"/>
  <c r="AI450" i="2" s="1"/>
  <c r="AG451" i="2"/>
  <c r="AI451" i="2" s="1"/>
  <c r="AG452" i="2"/>
  <c r="AI452" i="2" s="1"/>
  <c r="AG453" i="2"/>
  <c r="AI453" i="2" s="1"/>
  <c r="AG454" i="2"/>
  <c r="AI454" i="2" s="1"/>
  <c r="AG455" i="2"/>
  <c r="AI455" i="2" s="1"/>
  <c r="AG456" i="2"/>
  <c r="AI456" i="2" s="1"/>
  <c r="AG457" i="2"/>
  <c r="AI457" i="2" s="1"/>
  <c r="AG458" i="2"/>
  <c r="AI458" i="2" s="1"/>
  <c r="AG459" i="2"/>
  <c r="AI459" i="2" s="1"/>
  <c r="AG460" i="2"/>
  <c r="AI460" i="2" s="1"/>
  <c r="AG461" i="2"/>
  <c r="AI461" i="2" s="1"/>
  <c r="AG462" i="2"/>
  <c r="AI462" i="2" s="1"/>
  <c r="AG463" i="2"/>
  <c r="AI463" i="2" s="1"/>
  <c r="AG464" i="2"/>
  <c r="AI464" i="2" s="1"/>
  <c r="AG465" i="2"/>
  <c r="AI465" i="2" s="1"/>
  <c r="AG466" i="2"/>
  <c r="AI466" i="2" s="1"/>
  <c r="AG467" i="2"/>
  <c r="AI467" i="2" s="1"/>
  <c r="AG468" i="2"/>
  <c r="AI468" i="2" s="1"/>
  <c r="AG469" i="2"/>
  <c r="AI469" i="2" s="1"/>
  <c r="AG470" i="2"/>
  <c r="AI470" i="2" s="1"/>
  <c r="AG471" i="2"/>
  <c r="AI471" i="2" s="1"/>
  <c r="AG472" i="2"/>
  <c r="AI472" i="2" s="1"/>
  <c r="AG473" i="2"/>
  <c r="AI473" i="2" s="1"/>
  <c r="AG474" i="2"/>
  <c r="AI474" i="2" s="1"/>
  <c r="AG475" i="2"/>
  <c r="AI475" i="2" s="1"/>
  <c r="AG476" i="2"/>
  <c r="AI476" i="2" s="1"/>
  <c r="AG477" i="2"/>
  <c r="AI477" i="2" s="1"/>
  <c r="AG478" i="2"/>
  <c r="AI478" i="2" s="1"/>
  <c r="AG479" i="2"/>
  <c r="AI479" i="2" s="1"/>
  <c r="AG480" i="2"/>
  <c r="AI480" i="2" s="1"/>
  <c r="AG481" i="2"/>
  <c r="AI481" i="2" s="1"/>
  <c r="AG482" i="2"/>
  <c r="AI482" i="2" s="1"/>
  <c r="AG483" i="2"/>
  <c r="AI483" i="2" s="1"/>
  <c r="AG484" i="2"/>
  <c r="AI484" i="2" s="1"/>
  <c r="AG485" i="2"/>
  <c r="AI485" i="2" s="1"/>
  <c r="AG486" i="2"/>
  <c r="AI486" i="2" s="1"/>
  <c r="AG487" i="2"/>
  <c r="AI487" i="2" s="1"/>
  <c r="AG488" i="2"/>
  <c r="AI488" i="2" s="1"/>
  <c r="AG489" i="2"/>
  <c r="AI489" i="2" s="1"/>
  <c r="AG490" i="2"/>
  <c r="AI490" i="2" s="1"/>
  <c r="AG491" i="2"/>
  <c r="AI491" i="2" s="1"/>
  <c r="AG492" i="2"/>
  <c r="AI492" i="2" s="1"/>
  <c r="AG493" i="2"/>
  <c r="AI493" i="2" s="1"/>
  <c r="AG494" i="2"/>
  <c r="AI494" i="2" s="1"/>
  <c r="AG495" i="2"/>
  <c r="AI495" i="2" s="1"/>
  <c r="AG496" i="2"/>
  <c r="AI496" i="2" s="1"/>
  <c r="AG497" i="2"/>
  <c r="AI497" i="2" s="1"/>
  <c r="AG498" i="2"/>
  <c r="AI498" i="2" s="1"/>
  <c r="AG499" i="2"/>
  <c r="AI499" i="2" s="1"/>
  <c r="AG500" i="2"/>
  <c r="AI500" i="2" s="1"/>
  <c r="AG501" i="2"/>
  <c r="AI501" i="2" s="1"/>
  <c r="AG502" i="2"/>
  <c r="AI502" i="2" s="1"/>
  <c r="AG503" i="2"/>
  <c r="AI503" i="2" s="1"/>
  <c r="AG504" i="2"/>
  <c r="AI504" i="2" s="1"/>
  <c r="AG505" i="2"/>
  <c r="AI505" i="2" s="1"/>
  <c r="AG506" i="2"/>
  <c r="AI506" i="2" s="1"/>
  <c r="AG507" i="2"/>
  <c r="AI507" i="2" s="1"/>
  <c r="AG508" i="2"/>
  <c r="AI508" i="2" s="1"/>
  <c r="AG509" i="2"/>
  <c r="AI509" i="2" s="1"/>
  <c r="AG510" i="2"/>
  <c r="AI510" i="2" s="1"/>
  <c r="AG511" i="2"/>
  <c r="AI511" i="2" s="1"/>
  <c r="AG512" i="2"/>
  <c r="AI512" i="2" s="1"/>
  <c r="AG513" i="2"/>
  <c r="AI513" i="2" s="1"/>
  <c r="AG514" i="2"/>
  <c r="AI514" i="2" s="1"/>
  <c r="AG515" i="2"/>
  <c r="AI515" i="2" s="1"/>
  <c r="AG516" i="2"/>
  <c r="AI516" i="2" s="1"/>
  <c r="AG517" i="2"/>
  <c r="AI517" i="2" s="1"/>
  <c r="AG518" i="2"/>
  <c r="AI518" i="2" s="1"/>
  <c r="AG519" i="2"/>
  <c r="AI519" i="2" s="1"/>
  <c r="AG520" i="2"/>
  <c r="AI520" i="2" s="1"/>
  <c r="AG521" i="2"/>
  <c r="AI521" i="2" s="1"/>
  <c r="AG522" i="2"/>
  <c r="AI522" i="2" s="1"/>
  <c r="AG523" i="2"/>
  <c r="AI523" i="2" s="1"/>
  <c r="AG524" i="2"/>
  <c r="AI524" i="2" s="1"/>
  <c r="AG525" i="2"/>
  <c r="AI525" i="2" s="1"/>
  <c r="AG526" i="2"/>
  <c r="AI526" i="2" s="1"/>
  <c r="AG527" i="2"/>
  <c r="AI527" i="2" s="1"/>
  <c r="AG528" i="2"/>
  <c r="AI528" i="2" s="1"/>
  <c r="AG529" i="2"/>
  <c r="AI529" i="2" s="1"/>
  <c r="AG530" i="2"/>
  <c r="AI530" i="2" s="1"/>
  <c r="AG531" i="2"/>
  <c r="AI531" i="2" s="1"/>
  <c r="AG532" i="2"/>
  <c r="AI532" i="2" s="1"/>
  <c r="AG533" i="2"/>
  <c r="AI533" i="2" s="1"/>
  <c r="AG534" i="2"/>
  <c r="AI534" i="2" s="1"/>
  <c r="AG535" i="2"/>
  <c r="AI535" i="2" s="1"/>
  <c r="AG536" i="2"/>
  <c r="AI536" i="2" s="1"/>
  <c r="AG537" i="2"/>
  <c r="AI537" i="2" s="1"/>
  <c r="AG538" i="2"/>
  <c r="AI538" i="2" s="1"/>
  <c r="AG539" i="2"/>
  <c r="AI539" i="2" s="1"/>
  <c r="AG540" i="2"/>
  <c r="AI540" i="2" s="1"/>
  <c r="AG541" i="2"/>
  <c r="AI541" i="2" s="1"/>
  <c r="AG542" i="2"/>
  <c r="AI542" i="2" s="1"/>
  <c r="AG543" i="2"/>
  <c r="AI543" i="2" s="1"/>
  <c r="AG544" i="2"/>
  <c r="AI544" i="2" s="1"/>
  <c r="AG545" i="2"/>
  <c r="AI545" i="2" s="1"/>
  <c r="AG546" i="2"/>
  <c r="AI546" i="2" s="1"/>
  <c r="AG547" i="2"/>
  <c r="AI547" i="2" s="1"/>
  <c r="AG548" i="2"/>
  <c r="AI548" i="2" s="1"/>
  <c r="AG549" i="2"/>
  <c r="AI549" i="2" s="1"/>
  <c r="AG550" i="2"/>
  <c r="AI550" i="2" s="1"/>
  <c r="AG551" i="2"/>
  <c r="AI551" i="2" s="1"/>
  <c r="AG552" i="2"/>
  <c r="AI552" i="2" s="1"/>
  <c r="AG553" i="2"/>
  <c r="AI553" i="2" s="1"/>
  <c r="AG554" i="2"/>
  <c r="AI554" i="2" s="1"/>
  <c r="AG555" i="2"/>
  <c r="AI555" i="2" s="1"/>
  <c r="AG556" i="2"/>
  <c r="AI556" i="2" s="1"/>
  <c r="AG557" i="2"/>
  <c r="AI557" i="2" s="1"/>
  <c r="AG558" i="2"/>
  <c r="AI558" i="2" s="1"/>
  <c r="AG559" i="2"/>
  <c r="AI559" i="2" s="1"/>
  <c r="AG560" i="2"/>
  <c r="AI560" i="2" s="1"/>
  <c r="AG561" i="2"/>
  <c r="AI561" i="2" s="1"/>
  <c r="AG562" i="2"/>
  <c r="AI562" i="2" s="1"/>
  <c r="AG563" i="2"/>
  <c r="AI563" i="2" s="1"/>
  <c r="AG564" i="2"/>
  <c r="AI564" i="2" s="1"/>
  <c r="AG565" i="2"/>
  <c r="AI565" i="2" s="1"/>
  <c r="AG566" i="2"/>
  <c r="AI566" i="2" s="1"/>
  <c r="AG567" i="2"/>
  <c r="AI567" i="2" s="1"/>
  <c r="AG568" i="2"/>
  <c r="AI568" i="2" s="1"/>
  <c r="AG569" i="2"/>
  <c r="AI569" i="2" s="1"/>
  <c r="AG570" i="2"/>
  <c r="AI570" i="2" s="1"/>
  <c r="AG571" i="2"/>
  <c r="AI571" i="2" s="1"/>
  <c r="AG572" i="2"/>
  <c r="AI572" i="2" s="1"/>
  <c r="AG573" i="2"/>
  <c r="AI573" i="2" s="1"/>
  <c r="AG574" i="2"/>
  <c r="AI574" i="2" s="1"/>
  <c r="AG575" i="2"/>
  <c r="AI575" i="2" s="1"/>
  <c r="AG576" i="2"/>
  <c r="AI576" i="2" s="1"/>
  <c r="AG577" i="2"/>
  <c r="AI577" i="2" s="1"/>
  <c r="AG578" i="2"/>
  <c r="AI578" i="2" s="1"/>
  <c r="AG579" i="2"/>
  <c r="AI579" i="2" s="1"/>
  <c r="AG580" i="2"/>
  <c r="AI580" i="2" s="1"/>
  <c r="AG581" i="2"/>
  <c r="AI581" i="2" s="1"/>
  <c r="AG582" i="2"/>
  <c r="AI582" i="2" s="1"/>
  <c r="AG583" i="2"/>
  <c r="AI583" i="2" s="1"/>
  <c r="AG584" i="2"/>
  <c r="AI584" i="2" s="1"/>
  <c r="AG585" i="2"/>
  <c r="AI585" i="2" s="1"/>
  <c r="AG586" i="2"/>
  <c r="AI586" i="2" s="1"/>
  <c r="AG587" i="2"/>
  <c r="AI587" i="2" s="1"/>
  <c r="AG588" i="2"/>
  <c r="AI588" i="2" s="1"/>
  <c r="AG589" i="2"/>
  <c r="AI589" i="2" s="1"/>
  <c r="AG590" i="2"/>
  <c r="AI590" i="2" s="1"/>
  <c r="AG591" i="2"/>
  <c r="AI591" i="2" s="1"/>
  <c r="AG592" i="2"/>
  <c r="AI592" i="2" s="1"/>
  <c r="AG593" i="2"/>
  <c r="AI593" i="2" s="1"/>
  <c r="AG594" i="2"/>
  <c r="AI594" i="2" s="1"/>
  <c r="AG595" i="2"/>
  <c r="AI595" i="2" s="1"/>
  <c r="AG596" i="2"/>
  <c r="AI596" i="2" s="1"/>
  <c r="AG597" i="2"/>
  <c r="AI597" i="2" s="1"/>
  <c r="AG598" i="2"/>
  <c r="AI598" i="2" s="1"/>
  <c r="AG599" i="2"/>
  <c r="AI599" i="2" s="1"/>
  <c r="AG600" i="2"/>
  <c r="AI600" i="2" s="1"/>
  <c r="AG601" i="2"/>
  <c r="AI601" i="2" s="1"/>
  <c r="AG602" i="2"/>
  <c r="AI602" i="2" s="1"/>
  <c r="AG603" i="2"/>
  <c r="AI603" i="2" s="1"/>
  <c r="AG604" i="2"/>
  <c r="AI604" i="2" s="1"/>
  <c r="AG605" i="2"/>
  <c r="AI605" i="2" s="1"/>
  <c r="AG606" i="2"/>
  <c r="AI606" i="2" s="1"/>
  <c r="AG607" i="2"/>
  <c r="AI607" i="2" s="1"/>
  <c r="AG608" i="2"/>
  <c r="AI608" i="2" s="1"/>
  <c r="AG609" i="2"/>
  <c r="AI609" i="2" s="1"/>
  <c r="AG610" i="2"/>
  <c r="AI610" i="2" s="1"/>
  <c r="AG611" i="2"/>
  <c r="AI611" i="2" s="1"/>
  <c r="AG612" i="2"/>
  <c r="AI612" i="2" s="1"/>
  <c r="AG613" i="2"/>
  <c r="AI613" i="2" s="1"/>
  <c r="AG614" i="2"/>
  <c r="AI614" i="2" s="1"/>
  <c r="AG615" i="2"/>
  <c r="AI615" i="2" s="1"/>
  <c r="AG616" i="2"/>
  <c r="AI616" i="2" s="1"/>
  <c r="AG617" i="2"/>
  <c r="AI617" i="2" s="1"/>
  <c r="AG618" i="2"/>
  <c r="AI618" i="2" s="1"/>
  <c r="AG619" i="2"/>
  <c r="AI619" i="2" s="1"/>
  <c r="AG620" i="2"/>
  <c r="AI620" i="2" s="1"/>
  <c r="AG621" i="2"/>
  <c r="AI621" i="2" s="1"/>
  <c r="AG622" i="2"/>
  <c r="AI622" i="2" s="1"/>
  <c r="AG623" i="2"/>
  <c r="AI623" i="2" s="1"/>
  <c r="AG624" i="2"/>
  <c r="AI624" i="2" s="1"/>
  <c r="AG625" i="2"/>
  <c r="AI625" i="2" s="1"/>
  <c r="AG626" i="2"/>
  <c r="AI626" i="2" s="1"/>
  <c r="AG627" i="2"/>
  <c r="AI627" i="2" s="1"/>
  <c r="AG628" i="2"/>
  <c r="AI628" i="2" s="1"/>
  <c r="AG629" i="2"/>
  <c r="AI629" i="2" s="1"/>
  <c r="AG630" i="2"/>
  <c r="AI630" i="2" s="1"/>
  <c r="AG631" i="2"/>
  <c r="AI631" i="2" s="1"/>
  <c r="AG632" i="2"/>
  <c r="AI632" i="2" s="1"/>
  <c r="AG633" i="2"/>
  <c r="AI633" i="2" s="1"/>
  <c r="AG634" i="2"/>
  <c r="AI634" i="2" s="1"/>
  <c r="AG635" i="2"/>
  <c r="AI635" i="2" s="1"/>
  <c r="AG636" i="2"/>
  <c r="AI636" i="2" s="1"/>
  <c r="AG637" i="2"/>
  <c r="AI637" i="2" s="1"/>
  <c r="AG638" i="2"/>
  <c r="AI638" i="2" s="1"/>
  <c r="AG639" i="2"/>
  <c r="AI639" i="2" s="1"/>
  <c r="AG640" i="2"/>
  <c r="AI640" i="2" s="1"/>
  <c r="AG641" i="2"/>
  <c r="AI641" i="2" s="1"/>
  <c r="AG642" i="2"/>
  <c r="AI642" i="2" s="1"/>
  <c r="AG643" i="2"/>
  <c r="AI643" i="2" s="1"/>
  <c r="AG644" i="2"/>
  <c r="AI644" i="2" s="1"/>
  <c r="AG645" i="2"/>
  <c r="AI645" i="2" s="1"/>
  <c r="AG646" i="2"/>
  <c r="AI646" i="2" s="1"/>
  <c r="AG647" i="2"/>
  <c r="AI647" i="2" s="1"/>
  <c r="AG648" i="2"/>
  <c r="AI648" i="2" s="1"/>
  <c r="AG649" i="2"/>
  <c r="AI649" i="2" s="1"/>
  <c r="AG650" i="2"/>
  <c r="AI650" i="2" s="1"/>
  <c r="AG651" i="2"/>
  <c r="AI651" i="2" s="1"/>
  <c r="AG652" i="2"/>
  <c r="AI652" i="2" s="1"/>
  <c r="AG653" i="2"/>
  <c r="AI653" i="2" s="1"/>
  <c r="AG654" i="2"/>
  <c r="AI654" i="2" s="1"/>
  <c r="AG655" i="2"/>
  <c r="AI655" i="2" s="1"/>
  <c r="AG656" i="2"/>
  <c r="AI656" i="2" s="1"/>
  <c r="AG657" i="2"/>
  <c r="AI657" i="2" s="1"/>
  <c r="AG658" i="2"/>
  <c r="AI658" i="2" s="1"/>
  <c r="AG659" i="2"/>
  <c r="AI659" i="2" s="1"/>
  <c r="AG660" i="2"/>
  <c r="AI660" i="2" s="1"/>
  <c r="AG661" i="2"/>
  <c r="AI661" i="2" s="1"/>
  <c r="AG662" i="2"/>
  <c r="AI662" i="2" s="1"/>
  <c r="AG663" i="2"/>
  <c r="AI663" i="2" s="1"/>
  <c r="AG664" i="2"/>
  <c r="AI664" i="2" s="1"/>
  <c r="AG665" i="2"/>
  <c r="AI665" i="2" s="1"/>
  <c r="AG666" i="2"/>
  <c r="AI666" i="2" s="1"/>
  <c r="AG667" i="2"/>
  <c r="AI667" i="2" s="1"/>
  <c r="AG668" i="2"/>
  <c r="AI668" i="2" s="1"/>
  <c r="AG669" i="2"/>
  <c r="AI669" i="2" s="1"/>
  <c r="AG670" i="2"/>
  <c r="AI670" i="2" s="1"/>
  <c r="AG671" i="2"/>
  <c r="AI671" i="2" s="1"/>
  <c r="AG672" i="2"/>
  <c r="AI672" i="2" s="1"/>
  <c r="AG673" i="2"/>
  <c r="AI673" i="2" s="1"/>
  <c r="AG674" i="2"/>
  <c r="AI674" i="2" s="1"/>
  <c r="AG675" i="2"/>
  <c r="AI675" i="2" s="1"/>
  <c r="AG676" i="2"/>
  <c r="AI676" i="2" s="1"/>
  <c r="AG677" i="2"/>
  <c r="AI677" i="2" s="1"/>
  <c r="AG678" i="2"/>
  <c r="AI678" i="2" s="1"/>
  <c r="AG679" i="2"/>
  <c r="AI679" i="2" s="1"/>
  <c r="AG680" i="2"/>
  <c r="AI680" i="2" s="1"/>
  <c r="AG681" i="2"/>
  <c r="AI681" i="2" s="1"/>
  <c r="AG682" i="2"/>
  <c r="AI682" i="2" s="1"/>
  <c r="AG683" i="2"/>
  <c r="AI683" i="2" s="1"/>
  <c r="AG684" i="2"/>
  <c r="AI684" i="2" s="1"/>
  <c r="AG685" i="2"/>
  <c r="AI685" i="2" s="1"/>
  <c r="AG686" i="2"/>
  <c r="AI686" i="2" s="1"/>
  <c r="AG687" i="2"/>
  <c r="AI687" i="2" s="1"/>
  <c r="AG688" i="2"/>
  <c r="AI688" i="2" s="1"/>
  <c r="AG689" i="2"/>
  <c r="AI689" i="2" s="1"/>
  <c r="AG690" i="2"/>
  <c r="AI690" i="2" s="1"/>
  <c r="AG691" i="2"/>
  <c r="AI691" i="2" s="1"/>
  <c r="AG692" i="2"/>
  <c r="AI692" i="2" s="1"/>
  <c r="AG693" i="2"/>
  <c r="AI693" i="2" s="1"/>
  <c r="AG694" i="2"/>
  <c r="AI694" i="2" s="1"/>
  <c r="AG695" i="2"/>
  <c r="AI695" i="2" s="1"/>
  <c r="AG696" i="2"/>
  <c r="AI696" i="2" s="1"/>
  <c r="AG697" i="2"/>
  <c r="AI697" i="2" s="1"/>
  <c r="AG698" i="2"/>
  <c r="AI698" i="2" s="1"/>
  <c r="AG699" i="2"/>
  <c r="AI699" i="2" s="1"/>
  <c r="AG700" i="2"/>
  <c r="AI700" i="2" s="1"/>
  <c r="AG701" i="2"/>
  <c r="AI701" i="2" s="1"/>
  <c r="AG702" i="2"/>
  <c r="AI702" i="2" s="1"/>
  <c r="AG703" i="2"/>
  <c r="AI703" i="2" s="1"/>
  <c r="AG704" i="2"/>
  <c r="AI704" i="2" s="1"/>
  <c r="AG705" i="2"/>
  <c r="AI705" i="2" s="1"/>
  <c r="AG706" i="2"/>
  <c r="AI706" i="2" s="1"/>
  <c r="AG707" i="2"/>
  <c r="AI707" i="2" s="1"/>
  <c r="AG708" i="2"/>
  <c r="AI708" i="2" s="1"/>
  <c r="AG709" i="2"/>
  <c r="AI709" i="2" s="1"/>
  <c r="AG710" i="2"/>
  <c r="AI710" i="2" s="1"/>
  <c r="AG711" i="2"/>
  <c r="AI711" i="2" s="1"/>
  <c r="AG712" i="2"/>
  <c r="AI712" i="2" s="1"/>
  <c r="AG713" i="2"/>
  <c r="AI713" i="2" s="1"/>
  <c r="AG714" i="2"/>
  <c r="AI714" i="2" s="1"/>
  <c r="AG715" i="2"/>
  <c r="AI715" i="2" s="1"/>
  <c r="AG716" i="2"/>
  <c r="AI716" i="2" s="1"/>
  <c r="AG717" i="2"/>
  <c r="AI717" i="2" s="1"/>
  <c r="AG718" i="2"/>
  <c r="AI718" i="2" s="1"/>
  <c r="AG719" i="2"/>
  <c r="AI719" i="2" s="1"/>
  <c r="AG720" i="2"/>
  <c r="AI720" i="2" s="1"/>
  <c r="AG721" i="2"/>
  <c r="AI721" i="2" s="1"/>
  <c r="AF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351" i="2"/>
  <c r="AF352" i="2"/>
  <c r="AF353" i="2"/>
  <c r="AF354" i="2"/>
  <c r="AF355" i="2"/>
  <c r="AF356" i="2"/>
  <c r="AF357" i="2"/>
  <c r="AF358" i="2"/>
  <c r="AF359" i="2"/>
  <c r="AF360" i="2"/>
  <c r="AF361" i="2"/>
  <c r="AF362" i="2"/>
  <c r="AF363" i="2"/>
  <c r="AF364" i="2"/>
  <c r="AF365" i="2"/>
  <c r="AF366" i="2"/>
  <c r="AF367" i="2"/>
  <c r="AF368" i="2"/>
  <c r="AF369" i="2"/>
  <c r="AF370" i="2"/>
  <c r="AF371" i="2"/>
  <c r="AF372" i="2"/>
  <c r="AF373" i="2"/>
  <c r="AF374" i="2"/>
  <c r="AF375" i="2"/>
  <c r="AF376" i="2"/>
  <c r="AF377" i="2"/>
  <c r="AF378" i="2"/>
  <c r="AF379" i="2"/>
  <c r="AF380" i="2"/>
  <c r="AF381" i="2"/>
  <c r="AF382" i="2"/>
  <c r="AF383" i="2"/>
  <c r="AF384" i="2"/>
  <c r="AF385" i="2"/>
  <c r="AF386" i="2"/>
  <c r="AF387" i="2"/>
  <c r="AF388" i="2"/>
  <c r="AF389" i="2"/>
  <c r="AF390" i="2"/>
  <c r="AF391" i="2"/>
  <c r="AF392" i="2"/>
  <c r="AF393" i="2"/>
  <c r="AF394" i="2"/>
  <c r="AF395" i="2"/>
  <c r="AF396" i="2"/>
  <c r="AF397" i="2"/>
  <c r="AF398" i="2"/>
  <c r="AF399" i="2"/>
  <c r="AF400" i="2"/>
  <c r="AF401" i="2"/>
  <c r="AF402" i="2"/>
  <c r="AF403" i="2"/>
  <c r="AF404" i="2"/>
  <c r="AF405" i="2"/>
  <c r="AF406" i="2"/>
  <c r="AF407" i="2"/>
  <c r="AF408" i="2"/>
  <c r="AF409" i="2"/>
  <c r="AF410" i="2"/>
  <c r="AF411" i="2"/>
  <c r="AF412" i="2"/>
  <c r="AF413" i="2"/>
  <c r="AF414" i="2"/>
  <c r="AF415" i="2"/>
  <c r="AF416" i="2"/>
  <c r="AF417" i="2"/>
  <c r="AF418" i="2"/>
  <c r="AF419" i="2"/>
  <c r="AF420" i="2"/>
  <c r="AF421" i="2"/>
  <c r="AF422" i="2"/>
  <c r="AF423" i="2"/>
  <c r="AF424" i="2"/>
  <c r="AF425" i="2"/>
  <c r="AF426" i="2"/>
  <c r="AF427" i="2"/>
  <c r="AF428" i="2"/>
  <c r="AF429" i="2"/>
  <c r="AF430" i="2"/>
  <c r="AF431" i="2"/>
  <c r="AF432" i="2"/>
  <c r="AF433" i="2"/>
  <c r="AF434" i="2"/>
  <c r="AF435" i="2"/>
  <c r="AF436" i="2"/>
  <c r="AF437" i="2"/>
  <c r="AF438" i="2"/>
  <c r="AF439" i="2"/>
  <c r="AF440" i="2"/>
  <c r="AF441" i="2"/>
  <c r="AF442" i="2"/>
  <c r="AF443" i="2"/>
  <c r="AF444" i="2"/>
  <c r="AF445" i="2"/>
  <c r="AF446" i="2"/>
  <c r="AF447" i="2"/>
  <c r="AF448" i="2"/>
  <c r="AF449" i="2"/>
  <c r="AF450" i="2"/>
  <c r="AF451" i="2"/>
  <c r="AF452" i="2"/>
  <c r="AF453" i="2"/>
  <c r="AF454" i="2"/>
  <c r="AF455" i="2"/>
  <c r="AF456" i="2"/>
  <c r="AF457" i="2"/>
  <c r="AF458" i="2"/>
  <c r="AF459" i="2"/>
  <c r="AF460" i="2"/>
  <c r="AF461" i="2"/>
  <c r="AF462" i="2"/>
  <c r="AF463" i="2"/>
  <c r="AF464" i="2"/>
  <c r="AF465" i="2"/>
  <c r="AF466" i="2"/>
  <c r="AF467" i="2"/>
  <c r="AF468" i="2"/>
  <c r="AF469" i="2"/>
  <c r="AF470" i="2"/>
  <c r="AF471" i="2"/>
  <c r="AF472" i="2"/>
  <c r="AF473" i="2"/>
  <c r="AF474" i="2"/>
  <c r="AF475" i="2"/>
  <c r="AF476" i="2"/>
  <c r="AF477" i="2"/>
  <c r="AF478" i="2"/>
  <c r="AF479" i="2"/>
  <c r="AF480" i="2"/>
  <c r="AF481" i="2"/>
  <c r="AF482" i="2"/>
  <c r="AF483" i="2"/>
  <c r="AF484" i="2"/>
  <c r="AF485" i="2"/>
  <c r="AF486" i="2"/>
  <c r="AF487" i="2"/>
  <c r="AF488" i="2"/>
  <c r="AF489" i="2"/>
  <c r="AF490" i="2"/>
  <c r="AF491" i="2"/>
  <c r="AF492" i="2"/>
  <c r="AF493" i="2"/>
  <c r="AF494" i="2"/>
  <c r="AF495" i="2"/>
  <c r="AF496" i="2"/>
  <c r="AF497" i="2"/>
  <c r="AF498" i="2"/>
  <c r="AF499" i="2"/>
  <c r="AF500" i="2"/>
  <c r="AF501" i="2"/>
  <c r="AF502" i="2"/>
  <c r="AF503" i="2"/>
  <c r="AF504" i="2"/>
  <c r="AF505" i="2"/>
  <c r="AF506" i="2"/>
  <c r="AF507" i="2"/>
  <c r="AF508" i="2"/>
  <c r="AF509" i="2"/>
  <c r="AF510" i="2"/>
  <c r="AF511" i="2"/>
  <c r="AF512" i="2"/>
  <c r="AF513" i="2"/>
  <c r="AF514" i="2"/>
  <c r="AF515" i="2"/>
  <c r="AF516" i="2"/>
  <c r="AF517" i="2"/>
  <c r="AF518" i="2"/>
  <c r="AF519" i="2"/>
  <c r="AF520" i="2"/>
  <c r="AF521" i="2"/>
  <c r="AF522" i="2"/>
  <c r="AF523" i="2"/>
  <c r="AF524" i="2"/>
  <c r="AF525" i="2"/>
  <c r="AF526" i="2"/>
  <c r="AF527" i="2"/>
  <c r="AF528" i="2"/>
  <c r="AF529" i="2"/>
  <c r="AF530" i="2"/>
  <c r="AF531" i="2"/>
  <c r="AF532" i="2"/>
  <c r="AF533" i="2"/>
  <c r="AF534" i="2"/>
  <c r="AF535" i="2"/>
  <c r="AF536" i="2"/>
  <c r="AF537" i="2"/>
  <c r="AF538" i="2"/>
  <c r="AF539" i="2"/>
  <c r="AF540" i="2"/>
  <c r="AF541" i="2"/>
  <c r="AF542" i="2"/>
  <c r="AF543" i="2"/>
  <c r="AF544" i="2"/>
  <c r="AF545" i="2"/>
  <c r="AF546" i="2"/>
  <c r="AF547" i="2"/>
  <c r="AF548" i="2"/>
  <c r="AF549" i="2"/>
  <c r="AF550" i="2"/>
  <c r="AF551" i="2"/>
  <c r="AF552" i="2"/>
  <c r="AF553" i="2"/>
  <c r="AF554" i="2"/>
  <c r="AF555" i="2"/>
  <c r="AF556" i="2"/>
  <c r="AF557" i="2"/>
  <c r="AF558" i="2"/>
  <c r="AF559" i="2"/>
  <c r="AF560" i="2"/>
  <c r="AF561" i="2"/>
  <c r="AF562" i="2"/>
  <c r="AF563" i="2"/>
  <c r="AF564" i="2"/>
  <c r="AF565" i="2"/>
  <c r="AF566" i="2"/>
  <c r="AF567" i="2"/>
  <c r="AF568" i="2"/>
  <c r="AF569" i="2"/>
  <c r="AF570" i="2"/>
  <c r="AF571" i="2"/>
  <c r="AF572" i="2"/>
  <c r="AF573" i="2"/>
  <c r="AF574" i="2"/>
  <c r="AF575" i="2"/>
  <c r="AF576" i="2"/>
  <c r="AF577" i="2"/>
  <c r="AF578" i="2"/>
  <c r="AF579" i="2"/>
  <c r="AF580" i="2"/>
  <c r="AF581" i="2"/>
  <c r="AF582" i="2"/>
  <c r="AF583" i="2"/>
  <c r="AF584" i="2"/>
  <c r="AF585" i="2"/>
  <c r="AF586" i="2"/>
  <c r="AF587" i="2"/>
  <c r="AF588" i="2"/>
  <c r="AF589" i="2"/>
  <c r="AF590" i="2"/>
  <c r="AF591" i="2"/>
  <c r="AF592" i="2"/>
  <c r="AF593" i="2"/>
  <c r="AF594" i="2"/>
  <c r="AF595" i="2"/>
  <c r="AF596" i="2"/>
  <c r="AF597" i="2"/>
  <c r="AF598" i="2"/>
  <c r="AF599" i="2"/>
  <c r="AF600" i="2"/>
  <c r="AF601" i="2"/>
  <c r="AF602" i="2"/>
  <c r="AF603" i="2"/>
  <c r="AF604" i="2"/>
  <c r="AF605" i="2"/>
  <c r="AF606" i="2"/>
  <c r="AF607" i="2"/>
  <c r="AF608" i="2"/>
  <c r="AF609" i="2"/>
  <c r="AF610" i="2"/>
  <c r="AF611" i="2"/>
  <c r="AF612" i="2"/>
  <c r="AF613" i="2"/>
  <c r="AF614" i="2"/>
  <c r="AF615" i="2"/>
  <c r="AF616" i="2"/>
  <c r="AF617" i="2"/>
  <c r="AF618" i="2"/>
  <c r="AF619" i="2"/>
  <c r="AF620" i="2"/>
  <c r="AF621" i="2"/>
  <c r="AF622" i="2"/>
  <c r="AF623" i="2"/>
  <c r="AF624" i="2"/>
  <c r="AF625" i="2"/>
  <c r="AF626" i="2"/>
  <c r="AF627" i="2"/>
  <c r="AF628" i="2"/>
  <c r="AF629" i="2"/>
  <c r="AF630" i="2"/>
  <c r="AF631" i="2"/>
  <c r="AF632" i="2"/>
  <c r="AF633" i="2"/>
  <c r="AF634" i="2"/>
  <c r="AF635" i="2"/>
  <c r="AF636" i="2"/>
  <c r="AF637" i="2"/>
  <c r="AF638" i="2"/>
  <c r="AF639" i="2"/>
  <c r="AF640" i="2"/>
  <c r="AF641" i="2"/>
  <c r="AF642" i="2"/>
  <c r="AF643" i="2"/>
  <c r="AF644" i="2"/>
  <c r="AF645" i="2"/>
  <c r="AF646" i="2"/>
  <c r="AF647" i="2"/>
  <c r="AF648" i="2"/>
  <c r="AF649" i="2"/>
  <c r="AF650" i="2"/>
  <c r="AF651" i="2"/>
  <c r="AF652" i="2"/>
  <c r="AF653" i="2"/>
  <c r="AF654" i="2"/>
  <c r="AF655" i="2"/>
  <c r="AF656" i="2"/>
  <c r="AF657" i="2"/>
  <c r="AF658" i="2"/>
  <c r="AF659" i="2"/>
  <c r="AF660" i="2"/>
  <c r="AF661" i="2"/>
  <c r="AF662" i="2"/>
  <c r="AF663" i="2"/>
  <c r="AF664" i="2"/>
  <c r="AF665" i="2"/>
  <c r="AF666" i="2"/>
  <c r="AF667" i="2"/>
  <c r="AF668" i="2"/>
  <c r="AF669" i="2"/>
  <c r="AF670" i="2"/>
  <c r="AF671" i="2"/>
  <c r="AF672" i="2"/>
  <c r="AF673" i="2"/>
  <c r="AF674" i="2"/>
  <c r="AF675" i="2"/>
  <c r="AF676" i="2"/>
  <c r="AF677" i="2"/>
  <c r="AF678" i="2"/>
  <c r="AF679" i="2"/>
  <c r="AF680" i="2"/>
  <c r="AF681" i="2"/>
  <c r="AF682" i="2"/>
  <c r="AF683" i="2"/>
  <c r="AF684" i="2"/>
  <c r="AF685" i="2"/>
  <c r="AF686" i="2"/>
  <c r="AF687" i="2"/>
  <c r="AF688" i="2"/>
  <c r="AF689" i="2"/>
  <c r="AF690" i="2"/>
  <c r="AF691" i="2"/>
  <c r="AF692" i="2"/>
  <c r="AF693" i="2"/>
  <c r="AF694" i="2"/>
  <c r="AF695" i="2"/>
  <c r="AF696" i="2"/>
  <c r="AF697" i="2"/>
  <c r="AF698" i="2"/>
  <c r="AF699" i="2"/>
  <c r="AF700" i="2"/>
  <c r="AF701" i="2"/>
  <c r="AF702" i="2"/>
  <c r="AF703" i="2"/>
  <c r="AF704" i="2"/>
  <c r="AF705" i="2"/>
  <c r="AF706" i="2"/>
  <c r="AF707" i="2"/>
  <c r="AF708" i="2"/>
  <c r="AF709" i="2"/>
  <c r="AF710" i="2"/>
  <c r="AF711" i="2"/>
  <c r="AF712" i="2"/>
  <c r="AF713" i="2"/>
  <c r="AF714" i="2"/>
  <c r="AF715" i="2"/>
  <c r="AF716" i="2"/>
  <c r="AF717" i="2"/>
  <c r="AF718" i="2"/>
  <c r="AF719" i="2"/>
  <c r="AF720" i="2"/>
  <c r="AF721" i="2"/>
  <c r="AE2" i="2"/>
  <c r="AE3" i="2"/>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AE475" i="2"/>
  <c r="AE476" i="2"/>
  <c r="AE477" i="2"/>
  <c r="AE478" i="2"/>
  <c r="AE479" i="2"/>
  <c r="AE480" i="2"/>
  <c r="AE481" i="2"/>
  <c r="AE482" i="2"/>
  <c r="AE483" i="2"/>
  <c r="AE484" i="2"/>
  <c r="AE485" i="2"/>
  <c r="AE486" i="2"/>
  <c r="AE487" i="2"/>
  <c r="AE488" i="2"/>
  <c r="AE489" i="2"/>
  <c r="AE490" i="2"/>
  <c r="AE491" i="2"/>
  <c r="AE492" i="2"/>
  <c r="AE493" i="2"/>
  <c r="AE494" i="2"/>
  <c r="AE495" i="2"/>
  <c r="AE496" i="2"/>
  <c r="AE497" i="2"/>
  <c r="AE498" i="2"/>
  <c r="AE499" i="2"/>
  <c r="AE500" i="2"/>
  <c r="AE501" i="2"/>
  <c r="AE502" i="2"/>
  <c r="AE503" i="2"/>
  <c r="AE504" i="2"/>
  <c r="AE505" i="2"/>
  <c r="AE506" i="2"/>
  <c r="AE507" i="2"/>
  <c r="AE508" i="2"/>
  <c r="AE509" i="2"/>
  <c r="AE510" i="2"/>
  <c r="AE511" i="2"/>
  <c r="AE512" i="2"/>
  <c r="AE513" i="2"/>
  <c r="AE514" i="2"/>
  <c r="AE515" i="2"/>
  <c r="AE516" i="2"/>
  <c r="AE517" i="2"/>
  <c r="AE518" i="2"/>
  <c r="AE519" i="2"/>
  <c r="AE520" i="2"/>
  <c r="AE521" i="2"/>
  <c r="AE522" i="2"/>
  <c r="AE523" i="2"/>
  <c r="AE524" i="2"/>
  <c r="AE525" i="2"/>
  <c r="AE526" i="2"/>
  <c r="AE527" i="2"/>
  <c r="AE528" i="2"/>
  <c r="AE529" i="2"/>
  <c r="AE530" i="2"/>
  <c r="AE531" i="2"/>
  <c r="AE532" i="2"/>
  <c r="AE533" i="2"/>
  <c r="AE534" i="2"/>
  <c r="AE535" i="2"/>
  <c r="AE536" i="2"/>
  <c r="AE537" i="2"/>
  <c r="AE538" i="2"/>
  <c r="AE539" i="2"/>
  <c r="AE540" i="2"/>
  <c r="AE541" i="2"/>
  <c r="AE542" i="2"/>
  <c r="AE543" i="2"/>
  <c r="AE544" i="2"/>
  <c r="AE545" i="2"/>
  <c r="AE546" i="2"/>
  <c r="AE547" i="2"/>
  <c r="AE548" i="2"/>
  <c r="AE549" i="2"/>
  <c r="AE550" i="2"/>
  <c r="AE551" i="2"/>
  <c r="AE552" i="2"/>
  <c r="AE553" i="2"/>
  <c r="AE554" i="2"/>
  <c r="AE555" i="2"/>
  <c r="AE556" i="2"/>
  <c r="AE557" i="2"/>
  <c r="AE558" i="2"/>
  <c r="AE559" i="2"/>
  <c r="AE560" i="2"/>
  <c r="AE561" i="2"/>
  <c r="AE562" i="2"/>
  <c r="AE563" i="2"/>
  <c r="AE564" i="2"/>
  <c r="AE565" i="2"/>
  <c r="AE566" i="2"/>
  <c r="AE567" i="2"/>
  <c r="AE568" i="2"/>
  <c r="AE569" i="2"/>
  <c r="AE570" i="2"/>
  <c r="AE571" i="2"/>
  <c r="AE572" i="2"/>
  <c r="AE573" i="2"/>
  <c r="AE574" i="2"/>
  <c r="AE575" i="2"/>
  <c r="AE576" i="2"/>
  <c r="AE577" i="2"/>
  <c r="AE578" i="2"/>
  <c r="AE579" i="2"/>
  <c r="AE580" i="2"/>
  <c r="AE581" i="2"/>
  <c r="AE582" i="2"/>
  <c r="AE583" i="2"/>
  <c r="AE584" i="2"/>
  <c r="AE585" i="2"/>
  <c r="AE586" i="2"/>
  <c r="AE587" i="2"/>
  <c r="AE588" i="2"/>
  <c r="AE589" i="2"/>
  <c r="AE590" i="2"/>
  <c r="AE591" i="2"/>
  <c r="AE592" i="2"/>
  <c r="AE593" i="2"/>
  <c r="AE594" i="2"/>
  <c r="AE595" i="2"/>
  <c r="AE596" i="2"/>
  <c r="AE597" i="2"/>
  <c r="AE598" i="2"/>
  <c r="AE599" i="2"/>
  <c r="AE600" i="2"/>
  <c r="AE601" i="2"/>
  <c r="AE602" i="2"/>
  <c r="AE603" i="2"/>
  <c r="AE604" i="2"/>
  <c r="AE605" i="2"/>
  <c r="AE606" i="2"/>
  <c r="AE607" i="2"/>
  <c r="AE608" i="2"/>
  <c r="AE609" i="2"/>
  <c r="AE610" i="2"/>
  <c r="AE611" i="2"/>
  <c r="AE612" i="2"/>
  <c r="AE613" i="2"/>
  <c r="AE614" i="2"/>
  <c r="AE615" i="2"/>
  <c r="AE616" i="2"/>
  <c r="AE617" i="2"/>
  <c r="AE618" i="2"/>
  <c r="AE619" i="2"/>
  <c r="AE620" i="2"/>
  <c r="AE621" i="2"/>
  <c r="AE622" i="2"/>
  <c r="AE623" i="2"/>
  <c r="AE624" i="2"/>
  <c r="AE625" i="2"/>
  <c r="AE626" i="2"/>
  <c r="AE627" i="2"/>
  <c r="AE628" i="2"/>
  <c r="AE629" i="2"/>
  <c r="AE630" i="2"/>
  <c r="AE631" i="2"/>
  <c r="AE632" i="2"/>
  <c r="AE633" i="2"/>
  <c r="AE634" i="2"/>
  <c r="AE635" i="2"/>
  <c r="AE636" i="2"/>
  <c r="AE637" i="2"/>
  <c r="AE638" i="2"/>
  <c r="AE639" i="2"/>
  <c r="AE640" i="2"/>
  <c r="AE641" i="2"/>
  <c r="AE642" i="2"/>
  <c r="AE643" i="2"/>
  <c r="AE644" i="2"/>
  <c r="AE645" i="2"/>
  <c r="AE646" i="2"/>
  <c r="AE647" i="2"/>
  <c r="AE648" i="2"/>
  <c r="AE649" i="2"/>
  <c r="AE650" i="2"/>
  <c r="AE651" i="2"/>
  <c r="AE652" i="2"/>
  <c r="AE653" i="2"/>
  <c r="AE654" i="2"/>
  <c r="AE655" i="2"/>
  <c r="AE656" i="2"/>
  <c r="AE657" i="2"/>
  <c r="AE658" i="2"/>
  <c r="AE659" i="2"/>
  <c r="AE660" i="2"/>
  <c r="AE661" i="2"/>
  <c r="AE662" i="2"/>
  <c r="AE663" i="2"/>
  <c r="AE664" i="2"/>
  <c r="AE665" i="2"/>
  <c r="AE666" i="2"/>
  <c r="AE667" i="2"/>
  <c r="AE668" i="2"/>
  <c r="AE669" i="2"/>
  <c r="AE670" i="2"/>
  <c r="AE671" i="2"/>
  <c r="AE672" i="2"/>
  <c r="AE673" i="2"/>
  <c r="AE674" i="2"/>
  <c r="AE675" i="2"/>
  <c r="AE676" i="2"/>
  <c r="AE677" i="2"/>
  <c r="AE678" i="2"/>
  <c r="AE679" i="2"/>
  <c r="AE680" i="2"/>
  <c r="AE681" i="2"/>
  <c r="AE682" i="2"/>
  <c r="AE683" i="2"/>
  <c r="AE684" i="2"/>
  <c r="AE685" i="2"/>
  <c r="AE686" i="2"/>
  <c r="AE687" i="2"/>
  <c r="AE688" i="2"/>
  <c r="AE689" i="2"/>
  <c r="AE690" i="2"/>
  <c r="AE691" i="2"/>
  <c r="AE692" i="2"/>
  <c r="AE693" i="2"/>
  <c r="AE694" i="2"/>
  <c r="AE695" i="2"/>
  <c r="AE696" i="2"/>
  <c r="AE697" i="2"/>
  <c r="AE698" i="2"/>
  <c r="AE699" i="2"/>
  <c r="AE700" i="2"/>
  <c r="AE701" i="2"/>
  <c r="AE702" i="2"/>
  <c r="AE703" i="2"/>
  <c r="AE704" i="2"/>
  <c r="AE705" i="2"/>
  <c r="AE706" i="2"/>
  <c r="AE707" i="2"/>
  <c r="AE708" i="2"/>
  <c r="AE709" i="2"/>
  <c r="AE710" i="2"/>
  <c r="AE711" i="2"/>
  <c r="AE712" i="2"/>
  <c r="AE713" i="2"/>
  <c r="AE714" i="2"/>
  <c r="AE715" i="2"/>
  <c r="AE716" i="2"/>
  <c r="AE717" i="2"/>
  <c r="AE718" i="2"/>
  <c r="AE719" i="2"/>
  <c r="AE720" i="2"/>
  <c r="AE721" i="2"/>
  <c r="Y2" i="2"/>
  <c r="Y3" i="2"/>
  <c r="Y4" i="2"/>
  <c r="Y5" i="2"/>
  <c r="Y6" i="2"/>
  <c r="Y7" i="2"/>
  <c r="Y8" i="2"/>
  <c r="Y9" i="2"/>
  <c r="Z9" i="2" s="1"/>
  <c r="Y10" i="2"/>
  <c r="Y11" i="2"/>
  <c r="Y12" i="2"/>
  <c r="Y13" i="2"/>
  <c r="Y14" i="2"/>
  <c r="Y15" i="2"/>
  <c r="Y16" i="2"/>
  <c r="Y17" i="2"/>
  <c r="Z17" i="2" s="1"/>
  <c r="Y18" i="2"/>
  <c r="Y19" i="2"/>
  <c r="Y20" i="2"/>
  <c r="Y21" i="2"/>
  <c r="Y22" i="2"/>
  <c r="Y23" i="2"/>
  <c r="Y24" i="2"/>
  <c r="Y25" i="2"/>
  <c r="Z25" i="2" s="1"/>
  <c r="Y26" i="2"/>
  <c r="Y27" i="2"/>
  <c r="Y28" i="2"/>
  <c r="Y29" i="2"/>
  <c r="Y30" i="2"/>
  <c r="Y31" i="2"/>
  <c r="Z31" i="2" s="1"/>
  <c r="Y32" i="2"/>
  <c r="Y33" i="2"/>
  <c r="Z33" i="2" s="1"/>
  <c r="Y34" i="2"/>
  <c r="Y35" i="2"/>
  <c r="Y36" i="2"/>
  <c r="Y37" i="2"/>
  <c r="Y38" i="2"/>
  <c r="Y39" i="2"/>
  <c r="Y40" i="2"/>
  <c r="Y41" i="2"/>
  <c r="Z41" i="2" s="1"/>
  <c r="Y42" i="2"/>
  <c r="Y43" i="2"/>
  <c r="Y44" i="2"/>
  <c r="Y45" i="2"/>
  <c r="Y46" i="2"/>
  <c r="Y47" i="2"/>
  <c r="Y48" i="2"/>
  <c r="Y49" i="2"/>
  <c r="Z49" i="2" s="1"/>
  <c r="Y50" i="2"/>
  <c r="Y51" i="2"/>
  <c r="Y52" i="2"/>
  <c r="Y53" i="2"/>
  <c r="Y54" i="2"/>
  <c r="Y55" i="2"/>
  <c r="Y56" i="2"/>
  <c r="Y57" i="2"/>
  <c r="Z57" i="2" s="1"/>
  <c r="Y58" i="2"/>
  <c r="Y59" i="2"/>
  <c r="Y60" i="2"/>
  <c r="Y61" i="2"/>
  <c r="Y62" i="2"/>
  <c r="Y63" i="2"/>
  <c r="Y64" i="2"/>
  <c r="Y65" i="2"/>
  <c r="Z65" i="2" s="1"/>
  <c r="Y66" i="2"/>
  <c r="Y67" i="2"/>
  <c r="Y68" i="2"/>
  <c r="Y69" i="2"/>
  <c r="Y70" i="2"/>
  <c r="Y71" i="2"/>
  <c r="Y72" i="2"/>
  <c r="Y73" i="2"/>
  <c r="Z73" i="2" s="1"/>
  <c r="Y74" i="2"/>
  <c r="Z74" i="2" s="1"/>
  <c r="Y75" i="2"/>
  <c r="Y76" i="2"/>
  <c r="Y77" i="2"/>
  <c r="Y78" i="2"/>
  <c r="Y79" i="2"/>
  <c r="Y80" i="2"/>
  <c r="Y81" i="2"/>
  <c r="Z81" i="2" s="1"/>
  <c r="Y82" i="2"/>
  <c r="Y83" i="2"/>
  <c r="Y84" i="2"/>
  <c r="Y85" i="2"/>
  <c r="Y86" i="2"/>
  <c r="Y87" i="2"/>
  <c r="Y88" i="2"/>
  <c r="Y89" i="2"/>
  <c r="Z89" i="2" s="1"/>
  <c r="Y90" i="2"/>
  <c r="Y91" i="2"/>
  <c r="Y92" i="2"/>
  <c r="Y93" i="2"/>
  <c r="Y94" i="2"/>
  <c r="Y95" i="2"/>
  <c r="Z95" i="2" s="1"/>
  <c r="Y96" i="2"/>
  <c r="Y97" i="2"/>
  <c r="Z97" i="2" s="1"/>
  <c r="Y98" i="2"/>
  <c r="Y99" i="2"/>
  <c r="Y100" i="2"/>
  <c r="Y101" i="2"/>
  <c r="Y102" i="2"/>
  <c r="Y103" i="2"/>
  <c r="Y104" i="2"/>
  <c r="Y105" i="2"/>
  <c r="Z105" i="2" s="1"/>
  <c r="Y106" i="2"/>
  <c r="Y107" i="2"/>
  <c r="Y108" i="2"/>
  <c r="Y109" i="2"/>
  <c r="Y110" i="2"/>
  <c r="Y111" i="2"/>
  <c r="Y112" i="2"/>
  <c r="Y113" i="2"/>
  <c r="Z113" i="2" s="1"/>
  <c r="Y114" i="2"/>
  <c r="Y115" i="2"/>
  <c r="Y116" i="2"/>
  <c r="Y117" i="2"/>
  <c r="Y118" i="2"/>
  <c r="Y119" i="2"/>
  <c r="Y120" i="2"/>
  <c r="Y121" i="2"/>
  <c r="Z121" i="2" s="1"/>
  <c r="Y122" i="2"/>
  <c r="Y123" i="2"/>
  <c r="Y124" i="2"/>
  <c r="Y125" i="2"/>
  <c r="Y126" i="2"/>
  <c r="Y127" i="2"/>
  <c r="Y128" i="2"/>
  <c r="Y129" i="2"/>
  <c r="Z129" i="2" s="1"/>
  <c r="Y130" i="2"/>
  <c r="Y131" i="2"/>
  <c r="Y132" i="2"/>
  <c r="Y133" i="2"/>
  <c r="Y134" i="2"/>
  <c r="Y135" i="2"/>
  <c r="Y136" i="2"/>
  <c r="Y137" i="2"/>
  <c r="Z137" i="2" s="1"/>
  <c r="Y138" i="2"/>
  <c r="Y139" i="2"/>
  <c r="Y140" i="2"/>
  <c r="Y141" i="2"/>
  <c r="Y142" i="2"/>
  <c r="Y143" i="2"/>
  <c r="Y144" i="2"/>
  <c r="Y145" i="2"/>
  <c r="Z145" i="2" s="1"/>
  <c r="Y146" i="2"/>
  <c r="Y147" i="2"/>
  <c r="Y148" i="2"/>
  <c r="Y149" i="2"/>
  <c r="Y150" i="2"/>
  <c r="Y151" i="2"/>
  <c r="Y152" i="2"/>
  <c r="Y153" i="2"/>
  <c r="Z153" i="2" s="1"/>
  <c r="Y154" i="2"/>
  <c r="Y155" i="2"/>
  <c r="Y156" i="2"/>
  <c r="Y157" i="2"/>
  <c r="Y158" i="2"/>
  <c r="Y159" i="2"/>
  <c r="Y160" i="2"/>
  <c r="Y161" i="2"/>
  <c r="Z161" i="2" s="1"/>
  <c r="Y162" i="2"/>
  <c r="Y163" i="2"/>
  <c r="Y164" i="2"/>
  <c r="Y165" i="2"/>
  <c r="Y166" i="2"/>
  <c r="Y167" i="2"/>
  <c r="Y168" i="2"/>
  <c r="Y169" i="2"/>
  <c r="Z169" i="2" s="1"/>
  <c r="Y170" i="2"/>
  <c r="Y171" i="2"/>
  <c r="Y172" i="2"/>
  <c r="Y173" i="2"/>
  <c r="Y174" i="2"/>
  <c r="Y175" i="2"/>
  <c r="Y176" i="2"/>
  <c r="Y177" i="2"/>
  <c r="Z177" i="2" s="1"/>
  <c r="Y178" i="2"/>
  <c r="Y179" i="2"/>
  <c r="Y180" i="2"/>
  <c r="Y181" i="2"/>
  <c r="Y182" i="2"/>
  <c r="Y183" i="2"/>
  <c r="Y184" i="2"/>
  <c r="Y185" i="2"/>
  <c r="Z185" i="2" s="1"/>
  <c r="Y186" i="2"/>
  <c r="Y187" i="2"/>
  <c r="Y188" i="2"/>
  <c r="Y189" i="2"/>
  <c r="Y190" i="2"/>
  <c r="Y191" i="2"/>
  <c r="Y192" i="2"/>
  <c r="Y193" i="2"/>
  <c r="Z193" i="2" s="1"/>
  <c r="Y194" i="2"/>
  <c r="Y195" i="2"/>
  <c r="Y196" i="2"/>
  <c r="Y197" i="2"/>
  <c r="Y198" i="2"/>
  <c r="Y199" i="2"/>
  <c r="Y200" i="2"/>
  <c r="Y201" i="2"/>
  <c r="Z201" i="2" s="1"/>
  <c r="Y202" i="2"/>
  <c r="Y203" i="2"/>
  <c r="Y204" i="2"/>
  <c r="Y205" i="2"/>
  <c r="Y206" i="2"/>
  <c r="Y207" i="2"/>
  <c r="Y208" i="2"/>
  <c r="Y209" i="2"/>
  <c r="Z209" i="2" s="1"/>
  <c r="Y210" i="2"/>
  <c r="Y211" i="2"/>
  <c r="Y212" i="2"/>
  <c r="Y213" i="2"/>
  <c r="Y214" i="2"/>
  <c r="Y215" i="2"/>
  <c r="Y216" i="2"/>
  <c r="Y217" i="2"/>
  <c r="Z217" i="2" s="1"/>
  <c r="Y218" i="2"/>
  <c r="Y219" i="2"/>
  <c r="Y220" i="2"/>
  <c r="Y221" i="2"/>
  <c r="Y222" i="2"/>
  <c r="Y223" i="2"/>
  <c r="Y224" i="2"/>
  <c r="Y225" i="2"/>
  <c r="Z225" i="2" s="1"/>
  <c r="Y226" i="2"/>
  <c r="Y227" i="2"/>
  <c r="Y228" i="2"/>
  <c r="Y229" i="2"/>
  <c r="Y230" i="2"/>
  <c r="Y231" i="2"/>
  <c r="Y232" i="2"/>
  <c r="Y233" i="2"/>
  <c r="Z233" i="2" s="1"/>
  <c r="Y234" i="2"/>
  <c r="Y235" i="2"/>
  <c r="Y236" i="2"/>
  <c r="Y237" i="2"/>
  <c r="Y238" i="2"/>
  <c r="Y239" i="2"/>
  <c r="Y240" i="2"/>
  <c r="Y241" i="2"/>
  <c r="Z241" i="2" s="1"/>
  <c r="Y242" i="2"/>
  <c r="Y243" i="2"/>
  <c r="Y244" i="2"/>
  <c r="Y245" i="2"/>
  <c r="Y246" i="2"/>
  <c r="Y247" i="2"/>
  <c r="Y248" i="2"/>
  <c r="Y249" i="2"/>
  <c r="Z249" i="2" s="1"/>
  <c r="Y250" i="2"/>
  <c r="Y251" i="2"/>
  <c r="Y252" i="2"/>
  <c r="Y253" i="2"/>
  <c r="Y254" i="2"/>
  <c r="Y255" i="2"/>
  <c r="Y256" i="2"/>
  <c r="Y257" i="2"/>
  <c r="Z257" i="2" s="1"/>
  <c r="Y258" i="2"/>
  <c r="Y259" i="2"/>
  <c r="Y260" i="2"/>
  <c r="Y261" i="2"/>
  <c r="Y262" i="2"/>
  <c r="Y263" i="2"/>
  <c r="Y264" i="2"/>
  <c r="Y265" i="2"/>
  <c r="Z265" i="2" s="1"/>
  <c r="Y266" i="2"/>
  <c r="Y267" i="2"/>
  <c r="Y268" i="2"/>
  <c r="Y269" i="2"/>
  <c r="Y270" i="2"/>
  <c r="Y271" i="2"/>
  <c r="Y272" i="2"/>
  <c r="Y273" i="2"/>
  <c r="Z273" i="2" s="1"/>
  <c r="Y274" i="2"/>
  <c r="Y275" i="2"/>
  <c r="Y276" i="2"/>
  <c r="Y277" i="2"/>
  <c r="Y278" i="2"/>
  <c r="Y279" i="2"/>
  <c r="Y280" i="2"/>
  <c r="Y281" i="2"/>
  <c r="Z281" i="2" s="1"/>
  <c r="Y282" i="2"/>
  <c r="Y283" i="2"/>
  <c r="Y284" i="2"/>
  <c r="Y285" i="2"/>
  <c r="Y286" i="2"/>
  <c r="Y287" i="2"/>
  <c r="Y288" i="2"/>
  <c r="Y289" i="2"/>
  <c r="Z289" i="2" s="1"/>
  <c r="Y290" i="2"/>
  <c r="Y291" i="2"/>
  <c r="Y292" i="2"/>
  <c r="Y293" i="2"/>
  <c r="Y294" i="2"/>
  <c r="Y295" i="2"/>
  <c r="Y296" i="2"/>
  <c r="Y297" i="2"/>
  <c r="Z297" i="2" s="1"/>
  <c r="Y298" i="2"/>
  <c r="Y299" i="2"/>
  <c r="Y300" i="2"/>
  <c r="Y301" i="2"/>
  <c r="Y302" i="2"/>
  <c r="Y303" i="2"/>
  <c r="Y304" i="2"/>
  <c r="Y305" i="2"/>
  <c r="Z305" i="2" s="1"/>
  <c r="Y306" i="2"/>
  <c r="Y307" i="2"/>
  <c r="Y308" i="2"/>
  <c r="Y309" i="2"/>
  <c r="Y310" i="2"/>
  <c r="Y311" i="2"/>
  <c r="Y312" i="2"/>
  <c r="Y313" i="2"/>
  <c r="Z313" i="2" s="1"/>
  <c r="Y314" i="2"/>
  <c r="Y315" i="2"/>
  <c r="Y316" i="2"/>
  <c r="Y317" i="2"/>
  <c r="Y318" i="2"/>
  <c r="Y319" i="2"/>
  <c r="Y320" i="2"/>
  <c r="Y321" i="2"/>
  <c r="Z321" i="2" s="1"/>
  <c r="Y322" i="2"/>
  <c r="Y323" i="2"/>
  <c r="Y324" i="2"/>
  <c r="Y325" i="2"/>
  <c r="Y326" i="2"/>
  <c r="Y327" i="2"/>
  <c r="Y328" i="2"/>
  <c r="Y329" i="2"/>
  <c r="Z329" i="2" s="1"/>
  <c r="Y330" i="2"/>
  <c r="Y331" i="2"/>
  <c r="Y332" i="2"/>
  <c r="Y333" i="2"/>
  <c r="Y334" i="2"/>
  <c r="Y335" i="2"/>
  <c r="Y336" i="2"/>
  <c r="Y337" i="2"/>
  <c r="Z337" i="2" s="1"/>
  <c r="Y338" i="2"/>
  <c r="Y339" i="2"/>
  <c r="Y340" i="2"/>
  <c r="Y341" i="2"/>
  <c r="Y342" i="2"/>
  <c r="Y343" i="2"/>
  <c r="Y344" i="2"/>
  <c r="Y345" i="2"/>
  <c r="Z345" i="2" s="1"/>
  <c r="Y346" i="2"/>
  <c r="Y347" i="2"/>
  <c r="Y348" i="2"/>
  <c r="Y349" i="2"/>
  <c r="Y350" i="2"/>
  <c r="Y351" i="2"/>
  <c r="Y352" i="2"/>
  <c r="Y353" i="2"/>
  <c r="Z353" i="2" s="1"/>
  <c r="Y354" i="2"/>
  <c r="Y355" i="2"/>
  <c r="Y356" i="2"/>
  <c r="Y357" i="2"/>
  <c r="Y358" i="2"/>
  <c r="Y359" i="2"/>
  <c r="Y360" i="2"/>
  <c r="Y361" i="2"/>
  <c r="Z361" i="2" s="1"/>
  <c r="Y362" i="2"/>
  <c r="Y363" i="2"/>
  <c r="Y364" i="2"/>
  <c r="Y365" i="2"/>
  <c r="Y366" i="2"/>
  <c r="Y367" i="2"/>
  <c r="Y368" i="2"/>
  <c r="Y369" i="2"/>
  <c r="Z369" i="2" s="1"/>
  <c r="Y370" i="2"/>
  <c r="Y371" i="2"/>
  <c r="Y372" i="2"/>
  <c r="Y373" i="2"/>
  <c r="Y374" i="2"/>
  <c r="Y375" i="2"/>
  <c r="Y376" i="2"/>
  <c r="Y377" i="2"/>
  <c r="Z377" i="2" s="1"/>
  <c r="Y378" i="2"/>
  <c r="Y379" i="2"/>
  <c r="Y380" i="2"/>
  <c r="Y381" i="2"/>
  <c r="Y382" i="2"/>
  <c r="Y383" i="2"/>
  <c r="Y384" i="2"/>
  <c r="Y385" i="2"/>
  <c r="Z385" i="2" s="1"/>
  <c r="Y386" i="2"/>
  <c r="Y387" i="2"/>
  <c r="Y388" i="2"/>
  <c r="Y389" i="2"/>
  <c r="Y390" i="2"/>
  <c r="Y391" i="2"/>
  <c r="Y392" i="2"/>
  <c r="Y393" i="2"/>
  <c r="Z393" i="2" s="1"/>
  <c r="Y394" i="2"/>
  <c r="Y395" i="2"/>
  <c r="Y396" i="2"/>
  <c r="Y397" i="2"/>
  <c r="Y398" i="2"/>
  <c r="Y399" i="2"/>
  <c r="Y400" i="2"/>
  <c r="Y401" i="2"/>
  <c r="Z401" i="2" s="1"/>
  <c r="Y402" i="2"/>
  <c r="Y403" i="2"/>
  <c r="Y404" i="2"/>
  <c r="Y405" i="2"/>
  <c r="Y406" i="2"/>
  <c r="Y407" i="2"/>
  <c r="Y408" i="2"/>
  <c r="Y409" i="2"/>
  <c r="Z409" i="2" s="1"/>
  <c r="Y410" i="2"/>
  <c r="Y411" i="2"/>
  <c r="Y412" i="2"/>
  <c r="Y413" i="2"/>
  <c r="Y414" i="2"/>
  <c r="Y415" i="2"/>
  <c r="Y416" i="2"/>
  <c r="Y417" i="2"/>
  <c r="Y418" i="2"/>
  <c r="Y419" i="2"/>
  <c r="Y420" i="2"/>
  <c r="Y421" i="2"/>
  <c r="Y422" i="2"/>
  <c r="Y423" i="2"/>
  <c r="Y424" i="2"/>
  <c r="Y425" i="2"/>
  <c r="Z425" i="2" s="1"/>
  <c r="Y426" i="2"/>
  <c r="Y427" i="2"/>
  <c r="Y428" i="2"/>
  <c r="Y429" i="2"/>
  <c r="Y430" i="2"/>
  <c r="Y431" i="2"/>
  <c r="Y432" i="2"/>
  <c r="Y433" i="2"/>
  <c r="Z433" i="2" s="1"/>
  <c r="Y434" i="2"/>
  <c r="Y435" i="2"/>
  <c r="Y436" i="2"/>
  <c r="Y437" i="2"/>
  <c r="Y438" i="2"/>
  <c r="Y439" i="2"/>
  <c r="Y440" i="2"/>
  <c r="Y441" i="2"/>
  <c r="Z441" i="2" s="1"/>
  <c r="Y442" i="2"/>
  <c r="Y443" i="2"/>
  <c r="Y444" i="2"/>
  <c r="Y445" i="2"/>
  <c r="Y446" i="2"/>
  <c r="Y447" i="2"/>
  <c r="Y448" i="2"/>
  <c r="Y449" i="2"/>
  <c r="Z449" i="2" s="1"/>
  <c r="Y450" i="2"/>
  <c r="Y451" i="2"/>
  <c r="Y452" i="2"/>
  <c r="Y453" i="2"/>
  <c r="Y454" i="2"/>
  <c r="Y455" i="2"/>
  <c r="Z455" i="2" s="1"/>
  <c r="Y456" i="2"/>
  <c r="Y457" i="2"/>
  <c r="Z457" i="2" s="1"/>
  <c r="Y458" i="2"/>
  <c r="Y459" i="2"/>
  <c r="Y460" i="2"/>
  <c r="Y461" i="2"/>
  <c r="Y462" i="2"/>
  <c r="Y463" i="2"/>
  <c r="Y464" i="2"/>
  <c r="Y465" i="2"/>
  <c r="Z465" i="2" s="1"/>
  <c r="Y466" i="2"/>
  <c r="Y467" i="2"/>
  <c r="Z467" i="2" s="1"/>
  <c r="Y468" i="2"/>
  <c r="Y469" i="2"/>
  <c r="Y470" i="2"/>
  <c r="Y471" i="2"/>
  <c r="Y472" i="2"/>
  <c r="Y473" i="2"/>
  <c r="Z473" i="2" s="1"/>
  <c r="Y474" i="2"/>
  <c r="Y475" i="2"/>
  <c r="Y476" i="2"/>
  <c r="Y477" i="2"/>
  <c r="Y478" i="2"/>
  <c r="Y479" i="2"/>
  <c r="Y480" i="2"/>
  <c r="Y481" i="2"/>
  <c r="Z481" i="2" s="1"/>
  <c r="Y482" i="2"/>
  <c r="Y483" i="2"/>
  <c r="Y484" i="2"/>
  <c r="Y485" i="2"/>
  <c r="Y486" i="2"/>
  <c r="Y487" i="2"/>
  <c r="Y488" i="2"/>
  <c r="Y489" i="2"/>
  <c r="Z489" i="2" s="1"/>
  <c r="Y490" i="2"/>
  <c r="Y491" i="2"/>
  <c r="Y492" i="2"/>
  <c r="Y493" i="2"/>
  <c r="Y494" i="2"/>
  <c r="Y495" i="2"/>
  <c r="Y496" i="2"/>
  <c r="Y497" i="2"/>
  <c r="Z497" i="2" s="1"/>
  <c r="Y498" i="2"/>
  <c r="Y499" i="2"/>
  <c r="Y500" i="2"/>
  <c r="Y501" i="2"/>
  <c r="Y502" i="2"/>
  <c r="Y503" i="2"/>
  <c r="Y504" i="2"/>
  <c r="Y505" i="2"/>
  <c r="Z505" i="2" s="1"/>
  <c r="Y506" i="2"/>
  <c r="Y507" i="2"/>
  <c r="Y508" i="2"/>
  <c r="Y509" i="2"/>
  <c r="Y510" i="2"/>
  <c r="Y511" i="2"/>
  <c r="Y512" i="2"/>
  <c r="Y513" i="2"/>
  <c r="Z513" i="2" s="1"/>
  <c r="Y514" i="2"/>
  <c r="Y515" i="2"/>
  <c r="Y516" i="2"/>
  <c r="Y517" i="2"/>
  <c r="Y518" i="2"/>
  <c r="Y519" i="2"/>
  <c r="Y520" i="2"/>
  <c r="Y521" i="2"/>
  <c r="Z521" i="2" s="1"/>
  <c r="Y522" i="2"/>
  <c r="Y523" i="2"/>
  <c r="Y524" i="2"/>
  <c r="Y525" i="2"/>
  <c r="Y526" i="2"/>
  <c r="Y527" i="2"/>
  <c r="Y528" i="2"/>
  <c r="Y529" i="2"/>
  <c r="Z529" i="2" s="1"/>
  <c r="Y530" i="2"/>
  <c r="Y531" i="2"/>
  <c r="Y532" i="2"/>
  <c r="Y533" i="2"/>
  <c r="Y534" i="2"/>
  <c r="Y535" i="2"/>
  <c r="Y536" i="2"/>
  <c r="Y537" i="2"/>
  <c r="Z537" i="2" s="1"/>
  <c r="Y538" i="2"/>
  <c r="Y539" i="2"/>
  <c r="Y540" i="2"/>
  <c r="Y541" i="2"/>
  <c r="Y542" i="2"/>
  <c r="Y543" i="2"/>
  <c r="Y544" i="2"/>
  <c r="Y545" i="2"/>
  <c r="Y546" i="2"/>
  <c r="Y547" i="2"/>
  <c r="Y548" i="2"/>
  <c r="Y549" i="2"/>
  <c r="Y550" i="2"/>
  <c r="Y551" i="2"/>
  <c r="Y552" i="2"/>
  <c r="Y553" i="2"/>
  <c r="Z553" i="2" s="1"/>
  <c r="Y554" i="2"/>
  <c r="Y555" i="2"/>
  <c r="Y556" i="2"/>
  <c r="Y557" i="2"/>
  <c r="Y558" i="2"/>
  <c r="Y559" i="2"/>
  <c r="Y560" i="2"/>
  <c r="Y561" i="2"/>
  <c r="Z561" i="2" s="1"/>
  <c r="Y562" i="2"/>
  <c r="Y563" i="2"/>
  <c r="Y564" i="2"/>
  <c r="Y565" i="2"/>
  <c r="Y566" i="2"/>
  <c r="Y567" i="2"/>
  <c r="Y568" i="2"/>
  <c r="Y569" i="2"/>
  <c r="Z569" i="2" s="1"/>
  <c r="Y570" i="2"/>
  <c r="Y571" i="2"/>
  <c r="Y572" i="2"/>
  <c r="Y573" i="2"/>
  <c r="Y574" i="2"/>
  <c r="Y575" i="2"/>
  <c r="Y576" i="2"/>
  <c r="Y577" i="2"/>
  <c r="Z577" i="2" s="1"/>
  <c r="Y578" i="2"/>
  <c r="Y579" i="2"/>
  <c r="Y580" i="2"/>
  <c r="Y581" i="2"/>
  <c r="Y582" i="2"/>
  <c r="Y583" i="2"/>
  <c r="Z583" i="2" s="1"/>
  <c r="Y584" i="2"/>
  <c r="Y585" i="2"/>
  <c r="Z585" i="2" s="1"/>
  <c r="Y586" i="2"/>
  <c r="Y587" i="2"/>
  <c r="Y588" i="2"/>
  <c r="Y589" i="2"/>
  <c r="Y590" i="2"/>
  <c r="Y591" i="2"/>
  <c r="Y592" i="2"/>
  <c r="Y593" i="2"/>
  <c r="Z593" i="2" s="1"/>
  <c r="Y594" i="2"/>
  <c r="Y595" i="2"/>
  <c r="Z595" i="2" s="1"/>
  <c r="Y596" i="2"/>
  <c r="Y597" i="2"/>
  <c r="Y598" i="2"/>
  <c r="Y599" i="2"/>
  <c r="Y600" i="2"/>
  <c r="Y601" i="2"/>
  <c r="Z601" i="2" s="1"/>
  <c r="Y602" i="2"/>
  <c r="Y603" i="2"/>
  <c r="Y604" i="2"/>
  <c r="Y605" i="2"/>
  <c r="Y606" i="2"/>
  <c r="Y607" i="2"/>
  <c r="Y608" i="2"/>
  <c r="Y609" i="2"/>
  <c r="Z609" i="2" s="1"/>
  <c r="Y610" i="2"/>
  <c r="Y611" i="2"/>
  <c r="Y612" i="2"/>
  <c r="Y613" i="2"/>
  <c r="Y614" i="2"/>
  <c r="Y615" i="2"/>
  <c r="Y616" i="2"/>
  <c r="Y617" i="2"/>
  <c r="Z617" i="2" s="1"/>
  <c r="Y618" i="2"/>
  <c r="Y619" i="2"/>
  <c r="Y620" i="2"/>
  <c r="Y621" i="2"/>
  <c r="Y622" i="2"/>
  <c r="Y623" i="2"/>
  <c r="Y624" i="2"/>
  <c r="Y625" i="2"/>
  <c r="Z625" i="2" s="1"/>
  <c r="Y626" i="2"/>
  <c r="Y627" i="2"/>
  <c r="Y628" i="2"/>
  <c r="Y629" i="2"/>
  <c r="Y630" i="2"/>
  <c r="Y631" i="2"/>
  <c r="Y632" i="2"/>
  <c r="Y633" i="2"/>
  <c r="Z633" i="2" s="1"/>
  <c r="Y634" i="2"/>
  <c r="Y635" i="2"/>
  <c r="Y636" i="2"/>
  <c r="Y637" i="2"/>
  <c r="Y638" i="2"/>
  <c r="Y639" i="2"/>
  <c r="Y640" i="2"/>
  <c r="Y641" i="2"/>
  <c r="Z641" i="2" s="1"/>
  <c r="Y642" i="2"/>
  <c r="Y643" i="2"/>
  <c r="Y644" i="2"/>
  <c r="Y645" i="2"/>
  <c r="Y646" i="2"/>
  <c r="Y647" i="2"/>
  <c r="Y648" i="2"/>
  <c r="Y649" i="2"/>
  <c r="Z649" i="2" s="1"/>
  <c r="Y650" i="2"/>
  <c r="Y651" i="2"/>
  <c r="Y652" i="2"/>
  <c r="Y653" i="2"/>
  <c r="Y654" i="2"/>
  <c r="Y655" i="2"/>
  <c r="Y656" i="2"/>
  <c r="Y657" i="2"/>
  <c r="Z657" i="2" s="1"/>
  <c r="Y658" i="2"/>
  <c r="Y659" i="2"/>
  <c r="Y660" i="2"/>
  <c r="Y661" i="2"/>
  <c r="Y662" i="2"/>
  <c r="Y663" i="2"/>
  <c r="Y664" i="2"/>
  <c r="Y665" i="2"/>
  <c r="Z665" i="2" s="1"/>
  <c r="Y666" i="2"/>
  <c r="Y667" i="2"/>
  <c r="Y668" i="2"/>
  <c r="Y669" i="2"/>
  <c r="Y670" i="2"/>
  <c r="Y671" i="2"/>
  <c r="Y672" i="2"/>
  <c r="Y673" i="2"/>
  <c r="Y674" i="2"/>
  <c r="Y675" i="2"/>
  <c r="Y676" i="2"/>
  <c r="Y677" i="2"/>
  <c r="Y678" i="2"/>
  <c r="Y679" i="2"/>
  <c r="Y680" i="2"/>
  <c r="Y681" i="2"/>
  <c r="Z681" i="2" s="1"/>
  <c r="Y682" i="2"/>
  <c r="Z682" i="2" s="1"/>
  <c r="Y683" i="2"/>
  <c r="Z683" i="2" s="1"/>
  <c r="Y684" i="2"/>
  <c r="Z684" i="2" s="1"/>
  <c r="Y685" i="2"/>
  <c r="Z685" i="2" s="1"/>
  <c r="Y686" i="2"/>
  <c r="Z686" i="2" s="1"/>
  <c r="Y687" i="2"/>
  <c r="Z687" i="2" s="1"/>
  <c r="Y688" i="2"/>
  <c r="Z688" i="2" s="1"/>
  <c r="Y689" i="2"/>
  <c r="Z689" i="2" s="1"/>
  <c r="Y690" i="2"/>
  <c r="Z690" i="2" s="1"/>
  <c r="Y691" i="2"/>
  <c r="Z691" i="2" s="1"/>
  <c r="Y692" i="2"/>
  <c r="Z692" i="2" s="1"/>
  <c r="Y693" i="2"/>
  <c r="Z693" i="2" s="1"/>
  <c r="Y694" i="2"/>
  <c r="Z694" i="2" s="1"/>
  <c r="Y695" i="2"/>
  <c r="Z695" i="2" s="1"/>
  <c r="Y696" i="2"/>
  <c r="Z696" i="2" s="1"/>
  <c r="Y697" i="2"/>
  <c r="Z697" i="2" s="1"/>
  <c r="Y698" i="2"/>
  <c r="Z698" i="2" s="1"/>
  <c r="Y699" i="2"/>
  <c r="Z699" i="2" s="1"/>
  <c r="Y700" i="2"/>
  <c r="Z700" i="2" s="1"/>
  <c r="Y701" i="2"/>
  <c r="Z701" i="2" s="1"/>
  <c r="Y702" i="2"/>
  <c r="Z702" i="2" s="1"/>
  <c r="Y703" i="2"/>
  <c r="Z703" i="2" s="1"/>
  <c r="Y704" i="2"/>
  <c r="Z704" i="2" s="1"/>
  <c r="Y705" i="2"/>
  <c r="Z705" i="2" s="1"/>
  <c r="Y706" i="2"/>
  <c r="Z706" i="2" s="1"/>
  <c r="Y707" i="2"/>
  <c r="Z707" i="2" s="1"/>
  <c r="Y708" i="2"/>
  <c r="Z708" i="2" s="1"/>
  <c r="Y709" i="2"/>
  <c r="Z709" i="2" s="1"/>
  <c r="Y710" i="2"/>
  <c r="Z710" i="2" s="1"/>
  <c r="Y711" i="2"/>
  <c r="Z711" i="2" s="1"/>
  <c r="Y712" i="2"/>
  <c r="Z712" i="2" s="1"/>
  <c r="Y713" i="2"/>
  <c r="Z713" i="2" s="1"/>
  <c r="Y714" i="2"/>
  <c r="Z714" i="2" s="1"/>
  <c r="Y715" i="2"/>
  <c r="Z715" i="2" s="1"/>
  <c r="Y716" i="2"/>
  <c r="Z716" i="2" s="1"/>
  <c r="Y717" i="2"/>
  <c r="Z717" i="2" s="1"/>
  <c r="Y718" i="2"/>
  <c r="Z718" i="2" s="1"/>
  <c r="Y719" i="2"/>
  <c r="Z719" i="2" s="1"/>
  <c r="Y720" i="2"/>
  <c r="Z720" i="2" s="1"/>
  <c r="Y721" i="2"/>
  <c r="Z721" i="2" s="1"/>
  <c r="X2" i="2"/>
  <c r="AB2" i="2" s="1"/>
  <c r="X3" i="2"/>
  <c r="AB3" i="2" s="1"/>
  <c r="X4" i="2"/>
  <c r="AB4" i="2" s="1"/>
  <c r="X5" i="2"/>
  <c r="AB5" i="2" s="1"/>
  <c r="X6" i="2"/>
  <c r="AB6" i="2" s="1"/>
  <c r="X7" i="2"/>
  <c r="AB7" i="2" s="1"/>
  <c r="X8" i="2"/>
  <c r="AB8" i="2" s="1"/>
  <c r="X9" i="2"/>
  <c r="AB9" i="2" s="1"/>
  <c r="X10" i="2"/>
  <c r="AB10" i="2" s="1"/>
  <c r="X11" i="2"/>
  <c r="AB11" i="2" s="1"/>
  <c r="X12" i="2"/>
  <c r="AB12" i="2" s="1"/>
  <c r="X13" i="2"/>
  <c r="AB13" i="2" s="1"/>
  <c r="X14" i="2"/>
  <c r="AB14" i="2" s="1"/>
  <c r="X15" i="2"/>
  <c r="AB15" i="2" s="1"/>
  <c r="X16" i="2"/>
  <c r="AB16" i="2" s="1"/>
  <c r="X17" i="2"/>
  <c r="AB17" i="2" s="1"/>
  <c r="X18" i="2"/>
  <c r="AB18" i="2" s="1"/>
  <c r="X19" i="2"/>
  <c r="AB19" i="2" s="1"/>
  <c r="X20" i="2"/>
  <c r="AB20" i="2" s="1"/>
  <c r="X21" i="2"/>
  <c r="AB21" i="2" s="1"/>
  <c r="X22" i="2"/>
  <c r="AB22" i="2" s="1"/>
  <c r="X23" i="2"/>
  <c r="AB23" i="2" s="1"/>
  <c r="X24" i="2"/>
  <c r="AB24" i="2" s="1"/>
  <c r="X25" i="2"/>
  <c r="AB25" i="2" s="1"/>
  <c r="X26" i="2"/>
  <c r="AB26" i="2" s="1"/>
  <c r="X27" i="2"/>
  <c r="AB27" i="2" s="1"/>
  <c r="X28" i="2"/>
  <c r="AB28" i="2" s="1"/>
  <c r="X29" i="2"/>
  <c r="AB29" i="2" s="1"/>
  <c r="X30" i="2"/>
  <c r="AB30" i="2" s="1"/>
  <c r="X31" i="2"/>
  <c r="AB31" i="2" s="1"/>
  <c r="X32" i="2"/>
  <c r="AB32" i="2" s="1"/>
  <c r="X33" i="2"/>
  <c r="AB33" i="2" s="1"/>
  <c r="X34" i="2"/>
  <c r="AB34" i="2" s="1"/>
  <c r="X35" i="2"/>
  <c r="AB35" i="2" s="1"/>
  <c r="X36" i="2"/>
  <c r="AB36" i="2" s="1"/>
  <c r="X37" i="2"/>
  <c r="AB37" i="2" s="1"/>
  <c r="X38" i="2"/>
  <c r="AB38" i="2" s="1"/>
  <c r="X39" i="2"/>
  <c r="AB39" i="2" s="1"/>
  <c r="X40" i="2"/>
  <c r="AB40" i="2" s="1"/>
  <c r="X41" i="2"/>
  <c r="AB41" i="2" s="1"/>
  <c r="X42" i="2"/>
  <c r="AB42" i="2" s="1"/>
  <c r="X43" i="2"/>
  <c r="AB43" i="2" s="1"/>
  <c r="X44" i="2"/>
  <c r="AB44" i="2" s="1"/>
  <c r="X45" i="2"/>
  <c r="AB45" i="2" s="1"/>
  <c r="X46" i="2"/>
  <c r="AB46" i="2" s="1"/>
  <c r="X47" i="2"/>
  <c r="AB47" i="2" s="1"/>
  <c r="X48" i="2"/>
  <c r="AB48" i="2" s="1"/>
  <c r="X49" i="2"/>
  <c r="AB49" i="2" s="1"/>
  <c r="X50" i="2"/>
  <c r="AB50" i="2" s="1"/>
  <c r="X51" i="2"/>
  <c r="AB51" i="2" s="1"/>
  <c r="X52" i="2"/>
  <c r="AB52" i="2" s="1"/>
  <c r="X53" i="2"/>
  <c r="AB53" i="2" s="1"/>
  <c r="X54" i="2"/>
  <c r="AB54" i="2" s="1"/>
  <c r="X55" i="2"/>
  <c r="AB55" i="2" s="1"/>
  <c r="X56" i="2"/>
  <c r="AB56" i="2" s="1"/>
  <c r="X57" i="2"/>
  <c r="AB57" i="2" s="1"/>
  <c r="X58" i="2"/>
  <c r="AB58" i="2" s="1"/>
  <c r="X59" i="2"/>
  <c r="AB59" i="2" s="1"/>
  <c r="X60" i="2"/>
  <c r="AB60" i="2" s="1"/>
  <c r="X61" i="2"/>
  <c r="AB61" i="2" s="1"/>
  <c r="X62" i="2"/>
  <c r="AB62" i="2" s="1"/>
  <c r="X63" i="2"/>
  <c r="AB63" i="2" s="1"/>
  <c r="X64" i="2"/>
  <c r="AB64" i="2" s="1"/>
  <c r="X65" i="2"/>
  <c r="AB65" i="2" s="1"/>
  <c r="X66" i="2"/>
  <c r="AB66" i="2" s="1"/>
  <c r="X67" i="2"/>
  <c r="AB67" i="2" s="1"/>
  <c r="X68" i="2"/>
  <c r="AB68" i="2" s="1"/>
  <c r="X69" i="2"/>
  <c r="AB69" i="2" s="1"/>
  <c r="X70" i="2"/>
  <c r="AB70" i="2" s="1"/>
  <c r="X71" i="2"/>
  <c r="AB71" i="2" s="1"/>
  <c r="X72" i="2"/>
  <c r="AB72" i="2" s="1"/>
  <c r="X73" i="2"/>
  <c r="AB73" i="2" s="1"/>
  <c r="X74" i="2"/>
  <c r="AB74" i="2" s="1"/>
  <c r="X75" i="2"/>
  <c r="AB75" i="2" s="1"/>
  <c r="X76" i="2"/>
  <c r="AB76" i="2" s="1"/>
  <c r="X77" i="2"/>
  <c r="AB77" i="2" s="1"/>
  <c r="X78" i="2"/>
  <c r="AB78" i="2" s="1"/>
  <c r="X79" i="2"/>
  <c r="AB79" i="2" s="1"/>
  <c r="X80" i="2"/>
  <c r="AB80" i="2" s="1"/>
  <c r="X81" i="2"/>
  <c r="AB81" i="2" s="1"/>
  <c r="X82" i="2"/>
  <c r="AB82" i="2" s="1"/>
  <c r="X83" i="2"/>
  <c r="AB83" i="2" s="1"/>
  <c r="X84" i="2"/>
  <c r="AB84" i="2" s="1"/>
  <c r="X85" i="2"/>
  <c r="AB85" i="2" s="1"/>
  <c r="X86" i="2"/>
  <c r="AB86" i="2" s="1"/>
  <c r="X87" i="2"/>
  <c r="AB87" i="2" s="1"/>
  <c r="X88" i="2"/>
  <c r="AB88" i="2" s="1"/>
  <c r="X89" i="2"/>
  <c r="AB89" i="2" s="1"/>
  <c r="X90" i="2"/>
  <c r="AB90" i="2" s="1"/>
  <c r="X91" i="2"/>
  <c r="AB91" i="2" s="1"/>
  <c r="X92" i="2"/>
  <c r="AB92" i="2" s="1"/>
  <c r="X93" i="2"/>
  <c r="AB93" i="2" s="1"/>
  <c r="X94" i="2"/>
  <c r="AB94" i="2" s="1"/>
  <c r="X95" i="2"/>
  <c r="AB95" i="2" s="1"/>
  <c r="X96" i="2"/>
  <c r="AB96" i="2" s="1"/>
  <c r="X97" i="2"/>
  <c r="AB97" i="2" s="1"/>
  <c r="X98" i="2"/>
  <c r="AB98" i="2" s="1"/>
  <c r="X99" i="2"/>
  <c r="AB99" i="2" s="1"/>
  <c r="X100" i="2"/>
  <c r="AB100" i="2" s="1"/>
  <c r="X101" i="2"/>
  <c r="AB101" i="2" s="1"/>
  <c r="X102" i="2"/>
  <c r="AB102" i="2" s="1"/>
  <c r="X103" i="2"/>
  <c r="AB103" i="2" s="1"/>
  <c r="X104" i="2"/>
  <c r="AB104" i="2" s="1"/>
  <c r="X105" i="2"/>
  <c r="AB105" i="2" s="1"/>
  <c r="X106" i="2"/>
  <c r="AB106" i="2" s="1"/>
  <c r="X107" i="2"/>
  <c r="AB107" i="2" s="1"/>
  <c r="X108" i="2"/>
  <c r="AB108" i="2" s="1"/>
  <c r="X109" i="2"/>
  <c r="AB109" i="2" s="1"/>
  <c r="X110" i="2"/>
  <c r="AB110" i="2" s="1"/>
  <c r="X111" i="2"/>
  <c r="AB111" i="2" s="1"/>
  <c r="X112" i="2"/>
  <c r="AB112" i="2" s="1"/>
  <c r="X113" i="2"/>
  <c r="AB113" i="2" s="1"/>
  <c r="X114" i="2"/>
  <c r="AB114" i="2" s="1"/>
  <c r="X115" i="2"/>
  <c r="AB115" i="2" s="1"/>
  <c r="X116" i="2"/>
  <c r="AB116" i="2" s="1"/>
  <c r="X117" i="2"/>
  <c r="AB117" i="2" s="1"/>
  <c r="X118" i="2"/>
  <c r="AB118" i="2" s="1"/>
  <c r="X119" i="2"/>
  <c r="AB119" i="2" s="1"/>
  <c r="X120" i="2"/>
  <c r="AB120" i="2" s="1"/>
  <c r="X121" i="2"/>
  <c r="AB121" i="2" s="1"/>
  <c r="X122" i="2"/>
  <c r="AB122" i="2" s="1"/>
  <c r="X123" i="2"/>
  <c r="AB123" i="2" s="1"/>
  <c r="X124" i="2"/>
  <c r="AB124" i="2" s="1"/>
  <c r="X125" i="2"/>
  <c r="AB125" i="2" s="1"/>
  <c r="X126" i="2"/>
  <c r="AB126" i="2" s="1"/>
  <c r="X127" i="2"/>
  <c r="AB127" i="2" s="1"/>
  <c r="X128" i="2"/>
  <c r="AB128" i="2" s="1"/>
  <c r="X129" i="2"/>
  <c r="AB129" i="2" s="1"/>
  <c r="X130" i="2"/>
  <c r="AB130" i="2" s="1"/>
  <c r="X131" i="2"/>
  <c r="AB131" i="2" s="1"/>
  <c r="X132" i="2"/>
  <c r="AB132" i="2" s="1"/>
  <c r="X133" i="2"/>
  <c r="AB133" i="2" s="1"/>
  <c r="X134" i="2"/>
  <c r="AB134" i="2" s="1"/>
  <c r="X135" i="2"/>
  <c r="AB135" i="2" s="1"/>
  <c r="X136" i="2"/>
  <c r="AB136" i="2" s="1"/>
  <c r="X137" i="2"/>
  <c r="AB137" i="2" s="1"/>
  <c r="X138" i="2"/>
  <c r="AB138" i="2" s="1"/>
  <c r="X139" i="2"/>
  <c r="AB139" i="2" s="1"/>
  <c r="X140" i="2"/>
  <c r="AB140" i="2" s="1"/>
  <c r="X141" i="2"/>
  <c r="AB141" i="2" s="1"/>
  <c r="X142" i="2"/>
  <c r="AB142" i="2" s="1"/>
  <c r="X143" i="2"/>
  <c r="AB143" i="2" s="1"/>
  <c r="X144" i="2"/>
  <c r="AB144" i="2" s="1"/>
  <c r="X145" i="2"/>
  <c r="AB145" i="2" s="1"/>
  <c r="X146" i="2"/>
  <c r="AB146" i="2" s="1"/>
  <c r="X147" i="2"/>
  <c r="AB147" i="2" s="1"/>
  <c r="X148" i="2"/>
  <c r="AB148" i="2" s="1"/>
  <c r="X149" i="2"/>
  <c r="AB149" i="2" s="1"/>
  <c r="X150" i="2"/>
  <c r="AB150" i="2" s="1"/>
  <c r="X151" i="2"/>
  <c r="AB151" i="2" s="1"/>
  <c r="X152" i="2"/>
  <c r="AB152" i="2" s="1"/>
  <c r="X153" i="2"/>
  <c r="AB153" i="2" s="1"/>
  <c r="X154" i="2"/>
  <c r="AB154" i="2" s="1"/>
  <c r="X155" i="2"/>
  <c r="AB155" i="2" s="1"/>
  <c r="X156" i="2"/>
  <c r="AB156" i="2" s="1"/>
  <c r="X157" i="2"/>
  <c r="AB157" i="2" s="1"/>
  <c r="X158" i="2"/>
  <c r="AB158" i="2" s="1"/>
  <c r="X159" i="2"/>
  <c r="AB159" i="2" s="1"/>
  <c r="X160" i="2"/>
  <c r="AB160" i="2" s="1"/>
  <c r="X161" i="2"/>
  <c r="AB161" i="2" s="1"/>
  <c r="X162" i="2"/>
  <c r="AB162" i="2" s="1"/>
  <c r="X163" i="2"/>
  <c r="AB163" i="2" s="1"/>
  <c r="X164" i="2"/>
  <c r="AB164" i="2" s="1"/>
  <c r="X165" i="2"/>
  <c r="AB165" i="2" s="1"/>
  <c r="X166" i="2"/>
  <c r="AB166" i="2" s="1"/>
  <c r="X167" i="2"/>
  <c r="AB167" i="2" s="1"/>
  <c r="X168" i="2"/>
  <c r="AB168" i="2" s="1"/>
  <c r="X169" i="2"/>
  <c r="AB169" i="2" s="1"/>
  <c r="X170" i="2"/>
  <c r="AB170" i="2" s="1"/>
  <c r="X171" i="2"/>
  <c r="AB171" i="2" s="1"/>
  <c r="X172" i="2"/>
  <c r="AB172" i="2" s="1"/>
  <c r="X173" i="2"/>
  <c r="AB173" i="2" s="1"/>
  <c r="X174" i="2"/>
  <c r="AB174" i="2" s="1"/>
  <c r="X175" i="2"/>
  <c r="AB175" i="2" s="1"/>
  <c r="X176" i="2"/>
  <c r="AB176" i="2" s="1"/>
  <c r="X177" i="2"/>
  <c r="AB177" i="2" s="1"/>
  <c r="X178" i="2"/>
  <c r="AB178" i="2" s="1"/>
  <c r="X179" i="2"/>
  <c r="AB179" i="2" s="1"/>
  <c r="X180" i="2"/>
  <c r="AB180" i="2" s="1"/>
  <c r="X181" i="2"/>
  <c r="AB181" i="2" s="1"/>
  <c r="X182" i="2"/>
  <c r="AB182" i="2" s="1"/>
  <c r="X183" i="2"/>
  <c r="AB183" i="2" s="1"/>
  <c r="X184" i="2"/>
  <c r="AB184" i="2" s="1"/>
  <c r="X185" i="2"/>
  <c r="AB185" i="2" s="1"/>
  <c r="X186" i="2"/>
  <c r="AB186" i="2" s="1"/>
  <c r="X187" i="2"/>
  <c r="AB187" i="2" s="1"/>
  <c r="X188" i="2"/>
  <c r="AB188" i="2" s="1"/>
  <c r="X189" i="2"/>
  <c r="AB189" i="2" s="1"/>
  <c r="X190" i="2"/>
  <c r="AB190" i="2" s="1"/>
  <c r="X191" i="2"/>
  <c r="AB191" i="2" s="1"/>
  <c r="X192" i="2"/>
  <c r="AB192" i="2" s="1"/>
  <c r="X193" i="2"/>
  <c r="AB193" i="2" s="1"/>
  <c r="X194" i="2"/>
  <c r="AB194" i="2" s="1"/>
  <c r="X195" i="2"/>
  <c r="AB195" i="2" s="1"/>
  <c r="X196" i="2"/>
  <c r="AB196" i="2" s="1"/>
  <c r="X197" i="2"/>
  <c r="AB197" i="2" s="1"/>
  <c r="X198" i="2"/>
  <c r="AB198" i="2" s="1"/>
  <c r="X199" i="2"/>
  <c r="AB199" i="2" s="1"/>
  <c r="X200" i="2"/>
  <c r="AB200" i="2" s="1"/>
  <c r="X201" i="2"/>
  <c r="AB201" i="2" s="1"/>
  <c r="X202" i="2"/>
  <c r="AB202" i="2" s="1"/>
  <c r="X203" i="2"/>
  <c r="AB203" i="2" s="1"/>
  <c r="X204" i="2"/>
  <c r="AB204" i="2" s="1"/>
  <c r="X205" i="2"/>
  <c r="AB205" i="2" s="1"/>
  <c r="X206" i="2"/>
  <c r="AB206" i="2" s="1"/>
  <c r="X207" i="2"/>
  <c r="AB207" i="2" s="1"/>
  <c r="X208" i="2"/>
  <c r="AB208" i="2" s="1"/>
  <c r="X209" i="2"/>
  <c r="AB209" i="2" s="1"/>
  <c r="X210" i="2"/>
  <c r="AB210" i="2" s="1"/>
  <c r="X211" i="2"/>
  <c r="AB211" i="2" s="1"/>
  <c r="X212" i="2"/>
  <c r="AB212" i="2" s="1"/>
  <c r="X213" i="2"/>
  <c r="AB213" i="2" s="1"/>
  <c r="X214" i="2"/>
  <c r="AB214" i="2" s="1"/>
  <c r="X215" i="2"/>
  <c r="AB215" i="2" s="1"/>
  <c r="X216" i="2"/>
  <c r="AB216" i="2" s="1"/>
  <c r="X217" i="2"/>
  <c r="AB217" i="2" s="1"/>
  <c r="X218" i="2"/>
  <c r="AB218" i="2" s="1"/>
  <c r="X219" i="2"/>
  <c r="AB219" i="2" s="1"/>
  <c r="X220" i="2"/>
  <c r="AB220" i="2" s="1"/>
  <c r="X221" i="2"/>
  <c r="AB221" i="2" s="1"/>
  <c r="X222" i="2"/>
  <c r="AB222" i="2" s="1"/>
  <c r="X223" i="2"/>
  <c r="AB223" i="2" s="1"/>
  <c r="X224" i="2"/>
  <c r="AB224" i="2" s="1"/>
  <c r="X225" i="2"/>
  <c r="AB225" i="2" s="1"/>
  <c r="X226" i="2"/>
  <c r="AB226" i="2" s="1"/>
  <c r="X227" i="2"/>
  <c r="AB227" i="2" s="1"/>
  <c r="X228" i="2"/>
  <c r="AB228" i="2" s="1"/>
  <c r="X229" i="2"/>
  <c r="AB229" i="2" s="1"/>
  <c r="X230" i="2"/>
  <c r="AB230" i="2" s="1"/>
  <c r="X231" i="2"/>
  <c r="AB231" i="2" s="1"/>
  <c r="X232" i="2"/>
  <c r="AB232" i="2" s="1"/>
  <c r="X233" i="2"/>
  <c r="AB233" i="2" s="1"/>
  <c r="X234" i="2"/>
  <c r="AB234" i="2" s="1"/>
  <c r="X235" i="2"/>
  <c r="AB235" i="2" s="1"/>
  <c r="X236" i="2"/>
  <c r="AB236" i="2" s="1"/>
  <c r="X237" i="2"/>
  <c r="AB237" i="2" s="1"/>
  <c r="X238" i="2"/>
  <c r="AB238" i="2" s="1"/>
  <c r="X239" i="2"/>
  <c r="AB239" i="2" s="1"/>
  <c r="X240" i="2"/>
  <c r="AB240" i="2" s="1"/>
  <c r="X241" i="2"/>
  <c r="AB241" i="2" s="1"/>
  <c r="X242" i="2"/>
  <c r="AB242" i="2" s="1"/>
  <c r="X243" i="2"/>
  <c r="AB243" i="2" s="1"/>
  <c r="X244" i="2"/>
  <c r="AB244" i="2" s="1"/>
  <c r="X245" i="2"/>
  <c r="AB245" i="2" s="1"/>
  <c r="X246" i="2"/>
  <c r="AB246" i="2" s="1"/>
  <c r="X247" i="2"/>
  <c r="AB247" i="2" s="1"/>
  <c r="X248" i="2"/>
  <c r="AB248" i="2" s="1"/>
  <c r="X249" i="2"/>
  <c r="AB249" i="2" s="1"/>
  <c r="X250" i="2"/>
  <c r="AB250" i="2" s="1"/>
  <c r="X251" i="2"/>
  <c r="AB251" i="2" s="1"/>
  <c r="X252" i="2"/>
  <c r="AB252" i="2" s="1"/>
  <c r="X253" i="2"/>
  <c r="AB253" i="2" s="1"/>
  <c r="X254" i="2"/>
  <c r="AB254" i="2" s="1"/>
  <c r="X255" i="2"/>
  <c r="AB255" i="2" s="1"/>
  <c r="X256" i="2"/>
  <c r="AB256" i="2" s="1"/>
  <c r="X257" i="2"/>
  <c r="AB257" i="2" s="1"/>
  <c r="X258" i="2"/>
  <c r="AB258" i="2" s="1"/>
  <c r="X259" i="2"/>
  <c r="AB259" i="2" s="1"/>
  <c r="X260" i="2"/>
  <c r="AB260" i="2" s="1"/>
  <c r="X261" i="2"/>
  <c r="AB261" i="2" s="1"/>
  <c r="X262" i="2"/>
  <c r="AB262" i="2" s="1"/>
  <c r="X263" i="2"/>
  <c r="AB263" i="2" s="1"/>
  <c r="X264" i="2"/>
  <c r="AB264" i="2" s="1"/>
  <c r="X265" i="2"/>
  <c r="AB265" i="2" s="1"/>
  <c r="X266" i="2"/>
  <c r="AB266" i="2" s="1"/>
  <c r="X267" i="2"/>
  <c r="AB267" i="2" s="1"/>
  <c r="X268" i="2"/>
  <c r="AB268" i="2" s="1"/>
  <c r="X269" i="2"/>
  <c r="AB269" i="2" s="1"/>
  <c r="X270" i="2"/>
  <c r="AB270" i="2" s="1"/>
  <c r="X271" i="2"/>
  <c r="AB271" i="2" s="1"/>
  <c r="X272" i="2"/>
  <c r="AB272" i="2" s="1"/>
  <c r="X273" i="2"/>
  <c r="AB273" i="2" s="1"/>
  <c r="X274" i="2"/>
  <c r="AB274" i="2" s="1"/>
  <c r="X275" i="2"/>
  <c r="AB275" i="2" s="1"/>
  <c r="X276" i="2"/>
  <c r="AB276" i="2" s="1"/>
  <c r="X277" i="2"/>
  <c r="AB277" i="2" s="1"/>
  <c r="X278" i="2"/>
  <c r="AB278" i="2" s="1"/>
  <c r="X279" i="2"/>
  <c r="AB279" i="2" s="1"/>
  <c r="X280" i="2"/>
  <c r="AB280" i="2" s="1"/>
  <c r="X281" i="2"/>
  <c r="AB281" i="2" s="1"/>
  <c r="X282" i="2"/>
  <c r="AB282" i="2" s="1"/>
  <c r="X283" i="2"/>
  <c r="AB283" i="2" s="1"/>
  <c r="X284" i="2"/>
  <c r="AB284" i="2" s="1"/>
  <c r="X285" i="2"/>
  <c r="AB285" i="2" s="1"/>
  <c r="X286" i="2"/>
  <c r="AB286" i="2" s="1"/>
  <c r="X287" i="2"/>
  <c r="AB287" i="2" s="1"/>
  <c r="X288" i="2"/>
  <c r="AB288" i="2" s="1"/>
  <c r="X289" i="2"/>
  <c r="AB289" i="2" s="1"/>
  <c r="X290" i="2"/>
  <c r="AB290" i="2" s="1"/>
  <c r="X291" i="2"/>
  <c r="AB291" i="2" s="1"/>
  <c r="X292" i="2"/>
  <c r="AB292" i="2" s="1"/>
  <c r="X293" i="2"/>
  <c r="AB293" i="2" s="1"/>
  <c r="X294" i="2"/>
  <c r="AB294" i="2" s="1"/>
  <c r="X295" i="2"/>
  <c r="AB295" i="2" s="1"/>
  <c r="X296" i="2"/>
  <c r="AB296" i="2" s="1"/>
  <c r="X297" i="2"/>
  <c r="AB297" i="2" s="1"/>
  <c r="X298" i="2"/>
  <c r="AB298" i="2" s="1"/>
  <c r="X299" i="2"/>
  <c r="AB299" i="2" s="1"/>
  <c r="X300" i="2"/>
  <c r="AB300" i="2" s="1"/>
  <c r="X301" i="2"/>
  <c r="AB301" i="2" s="1"/>
  <c r="X302" i="2"/>
  <c r="AB302" i="2" s="1"/>
  <c r="X303" i="2"/>
  <c r="AB303" i="2" s="1"/>
  <c r="X304" i="2"/>
  <c r="AB304" i="2" s="1"/>
  <c r="X305" i="2"/>
  <c r="AB305" i="2" s="1"/>
  <c r="X306" i="2"/>
  <c r="AB306" i="2" s="1"/>
  <c r="X307" i="2"/>
  <c r="AB307" i="2" s="1"/>
  <c r="X308" i="2"/>
  <c r="AB308" i="2" s="1"/>
  <c r="X309" i="2"/>
  <c r="AB309" i="2" s="1"/>
  <c r="X310" i="2"/>
  <c r="AB310" i="2" s="1"/>
  <c r="X311" i="2"/>
  <c r="AB311" i="2" s="1"/>
  <c r="X312" i="2"/>
  <c r="AB312" i="2" s="1"/>
  <c r="X313" i="2"/>
  <c r="AB313" i="2" s="1"/>
  <c r="X314" i="2"/>
  <c r="AB314" i="2" s="1"/>
  <c r="X315" i="2"/>
  <c r="AB315" i="2" s="1"/>
  <c r="X316" i="2"/>
  <c r="AB316" i="2" s="1"/>
  <c r="X317" i="2"/>
  <c r="AB317" i="2" s="1"/>
  <c r="X318" i="2"/>
  <c r="AB318" i="2" s="1"/>
  <c r="X319" i="2"/>
  <c r="AB319" i="2" s="1"/>
  <c r="X320" i="2"/>
  <c r="AB320" i="2" s="1"/>
  <c r="X321" i="2"/>
  <c r="AB321" i="2" s="1"/>
  <c r="X322" i="2"/>
  <c r="AB322" i="2" s="1"/>
  <c r="X323" i="2"/>
  <c r="AB323" i="2" s="1"/>
  <c r="X324" i="2"/>
  <c r="AB324" i="2" s="1"/>
  <c r="X325" i="2"/>
  <c r="AB325" i="2" s="1"/>
  <c r="X326" i="2"/>
  <c r="AB326" i="2" s="1"/>
  <c r="X327" i="2"/>
  <c r="AB327" i="2" s="1"/>
  <c r="X328" i="2"/>
  <c r="AB328" i="2" s="1"/>
  <c r="X329" i="2"/>
  <c r="AB329" i="2" s="1"/>
  <c r="X330" i="2"/>
  <c r="AB330" i="2" s="1"/>
  <c r="X331" i="2"/>
  <c r="AB331" i="2" s="1"/>
  <c r="X332" i="2"/>
  <c r="AB332" i="2" s="1"/>
  <c r="X333" i="2"/>
  <c r="AB333" i="2" s="1"/>
  <c r="X334" i="2"/>
  <c r="AB334" i="2" s="1"/>
  <c r="X335" i="2"/>
  <c r="AB335" i="2" s="1"/>
  <c r="X336" i="2"/>
  <c r="AB336" i="2" s="1"/>
  <c r="X337" i="2"/>
  <c r="AB337" i="2" s="1"/>
  <c r="X338" i="2"/>
  <c r="AB338" i="2" s="1"/>
  <c r="X339" i="2"/>
  <c r="AB339" i="2" s="1"/>
  <c r="X340" i="2"/>
  <c r="AB340" i="2" s="1"/>
  <c r="X341" i="2"/>
  <c r="AB341" i="2" s="1"/>
  <c r="X342" i="2"/>
  <c r="AB342" i="2" s="1"/>
  <c r="X343" i="2"/>
  <c r="AB343" i="2" s="1"/>
  <c r="X344" i="2"/>
  <c r="AB344" i="2" s="1"/>
  <c r="X345" i="2"/>
  <c r="AB345" i="2" s="1"/>
  <c r="X346" i="2"/>
  <c r="AB346" i="2" s="1"/>
  <c r="X347" i="2"/>
  <c r="AB347" i="2" s="1"/>
  <c r="X348" i="2"/>
  <c r="AB348" i="2" s="1"/>
  <c r="X349" i="2"/>
  <c r="AB349" i="2" s="1"/>
  <c r="X350" i="2"/>
  <c r="AB350" i="2" s="1"/>
  <c r="X351" i="2"/>
  <c r="AB351" i="2" s="1"/>
  <c r="X352" i="2"/>
  <c r="AB352" i="2" s="1"/>
  <c r="X353" i="2"/>
  <c r="AB353" i="2" s="1"/>
  <c r="X354" i="2"/>
  <c r="AB354" i="2" s="1"/>
  <c r="X355" i="2"/>
  <c r="AB355" i="2" s="1"/>
  <c r="X356" i="2"/>
  <c r="AB356" i="2" s="1"/>
  <c r="X357" i="2"/>
  <c r="AB357" i="2" s="1"/>
  <c r="X358" i="2"/>
  <c r="AB358" i="2" s="1"/>
  <c r="X359" i="2"/>
  <c r="AB359" i="2" s="1"/>
  <c r="X360" i="2"/>
  <c r="AB360" i="2" s="1"/>
  <c r="X361" i="2"/>
  <c r="AB361" i="2" s="1"/>
  <c r="X362" i="2"/>
  <c r="AB362" i="2" s="1"/>
  <c r="X363" i="2"/>
  <c r="AB363" i="2" s="1"/>
  <c r="X364" i="2"/>
  <c r="AB364" i="2" s="1"/>
  <c r="X365" i="2"/>
  <c r="AB365" i="2" s="1"/>
  <c r="X366" i="2"/>
  <c r="AB366" i="2" s="1"/>
  <c r="X367" i="2"/>
  <c r="AB367" i="2" s="1"/>
  <c r="X368" i="2"/>
  <c r="AB368" i="2" s="1"/>
  <c r="X369" i="2"/>
  <c r="AB369" i="2" s="1"/>
  <c r="X370" i="2"/>
  <c r="AB370" i="2" s="1"/>
  <c r="X371" i="2"/>
  <c r="AB371" i="2" s="1"/>
  <c r="X372" i="2"/>
  <c r="AB372" i="2" s="1"/>
  <c r="X373" i="2"/>
  <c r="AB373" i="2" s="1"/>
  <c r="X374" i="2"/>
  <c r="AB374" i="2" s="1"/>
  <c r="X375" i="2"/>
  <c r="AB375" i="2" s="1"/>
  <c r="X376" i="2"/>
  <c r="AB376" i="2" s="1"/>
  <c r="X377" i="2"/>
  <c r="AB377" i="2" s="1"/>
  <c r="X378" i="2"/>
  <c r="AB378" i="2" s="1"/>
  <c r="X379" i="2"/>
  <c r="AB379" i="2" s="1"/>
  <c r="X380" i="2"/>
  <c r="AB380" i="2" s="1"/>
  <c r="X381" i="2"/>
  <c r="AB381" i="2" s="1"/>
  <c r="X382" i="2"/>
  <c r="AB382" i="2" s="1"/>
  <c r="X383" i="2"/>
  <c r="AB383" i="2" s="1"/>
  <c r="X384" i="2"/>
  <c r="AB384" i="2" s="1"/>
  <c r="X385" i="2"/>
  <c r="AB385" i="2" s="1"/>
  <c r="X386" i="2"/>
  <c r="AB386" i="2" s="1"/>
  <c r="X387" i="2"/>
  <c r="AB387" i="2" s="1"/>
  <c r="X388" i="2"/>
  <c r="AB388" i="2" s="1"/>
  <c r="X389" i="2"/>
  <c r="AB389" i="2" s="1"/>
  <c r="X390" i="2"/>
  <c r="AB390" i="2" s="1"/>
  <c r="X391" i="2"/>
  <c r="AB391" i="2" s="1"/>
  <c r="X392" i="2"/>
  <c r="AB392" i="2" s="1"/>
  <c r="X393" i="2"/>
  <c r="AB393" i="2" s="1"/>
  <c r="X394" i="2"/>
  <c r="AB394" i="2" s="1"/>
  <c r="X395" i="2"/>
  <c r="AB395" i="2" s="1"/>
  <c r="X396" i="2"/>
  <c r="AB396" i="2" s="1"/>
  <c r="X397" i="2"/>
  <c r="AB397" i="2" s="1"/>
  <c r="X398" i="2"/>
  <c r="AB398" i="2" s="1"/>
  <c r="X399" i="2"/>
  <c r="AB399" i="2" s="1"/>
  <c r="X400" i="2"/>
  <c r="AB400" i="2" s="1"/>
  <c r="X401" i="2"/>
  <c r="AB401" i="2" s="1"/>
  <c r="X402" i="2"/>
  <c r="AB402" i="2" s="1"/>
  <c r="X403" i="2"/>
  <c r="AB403" i="2" s="1"/>
  <c r="X404" i="2"/>
  <c r="AB404" i="2" s="1"/>
  <c r="X405" i="2"/>
  <c r="AB405" i="2" s="1"/>
  <c r="X406" i="2"/>
  <c r="AB406" i="2" s="1"/>
  <c r="X407" i="2"/>
  <c r="AB407" i="2" s="1"/>
  <c r="X408" i="2"/>
  <c r="AB408" i="2" s="1"/>
  <c r="X409" i="2"/>
  <c r="AB409" i="2" s="1"/>
  <c r="X410" i="2"/>
  <c r="AB410" i="2" s="1"/>
  <c r="X411" i="2"/>
  <c r="AB411" i="2" s="1"/>
  <c r="X412" i="2"/>
  <c r="AB412" i="2" s="1"/>
  <c r="X413" i="2"/>
  <c r="AB413" i="2" s="1"/>
  <c r="X414" i="2"/>
  <c r="AB414" i="2" s="1"/>
  <c r="X415" i="2"/>
  <c r="AB415" i="2" s="1"/>
  <c r="X416" i="2"/>
  <c r="AB416" i="2" s="1"/>
  <c r="X417" i="2"/>
  <c r="AB417" i="2" s="1"/>
  <c r="X418" i="2"/>
  <c r="AB418" i="2" s="1"/>
  <c r="X419" i="2"/>
  <c r="AB419" i="2" s="1"/>
  <c r="X420" i="2"/>
  <c r="AB420" i="2" s="1"/>
  <c r="X421" i="2"/>
  <c r="AB421" i="2" s="1"/>
  <c r="X422" i="2"/>
  <c r="AB422" i="2" s="1"/>
  <c r="X423" i="2"/>
  <c r="AB423" i="2" s="1"/>
  <c r="X424" i="2"/>
  <c r="AB424" i="2" s="1"/>
  <c r="X425" i="2"/>
  <c r="AB425" i="2" s="1"/>
  <c r="X426" i="2"/>
  <c r="AB426" i="2" s="1"/>
  <c r="X427" i="2"/>
  <c r="AB427" i="2" s="1"/>
  <c r="X428" i="2"/>
  <c r="AB428" i="2" s="1"/>
  <c r="X429" i="2"/>
  <c r="AB429" i="2" s="1"/>
  <c r="X430" i="2"/>
  <c r="AB430" i="2" s="1"/>
  <c r="X431" i="2"/>
  <c r="AB431" i="2" s="1"/>
  <c r="X432" i="2"/>
  <c r="AB432" i="2" s="1"/>
  <c r="X433" i="2"/>
  <c r="AB433" i="2" s="1"/>
  <c r="X434" i="2"/>
  <c r="AB434" i="2" s="1"/>
  <c r="X435" i="2"/>
  <c r="AB435" i="2" s="1"/>
  <c r="X436" i="2"/>
  <c r="AB436" i="2" s="1"/>
  <c r="X437" i="2"/>
  <c r="AB437" i="2" s="1"/>
  <c r="X438" i="2"/>
  <c r="AB438" i="2" s="1"/>
  <c r="X439" i="2"/>
  <c r="AB439" i="2" s="1"/>
  <c r="X440" i="2"/>
  <c r="AB440" i="2" s="1"/>
  <c r="X441" i="2"/>
  <c r="AB441" i="2" s="1"/>
  <c r="X442" i="2"/>
  <c r="AB442" i="2" s="1"/>
  <c r="X443" i="2"/>
  <c r="AB443" i="2" s="1"/>
  <c r="X444" i="2"/>
  <c r="AB444" i="2" s="1"/>
  <c r="X445" i="2"/>
  <c r="AB445" i="2" s="1"/>
  <c r="X446" i="2"/>
  <c r="AB446" i="2" s="1"/>
  <c r="X447" i="2"/>
  <c r="AB447" i="2" s="1"/>
  <c r="X448" i="2"/>
  <c r="AB448" i="2" s="1"/>
  <c r="X449" i="2"/>
  <c r="AB449" i="2" s="1"/>
  <c r="X450" i="2"/>
  <c r="AB450" i="2" s="1"/>
  <c r="X451" i="2"/>
  <c r="AB451" i="2" s="1"/>
  <c r="X452" i="2"/>
  <c r="AB452" i="2" s="1"/>
  <c r="X453" i="2"/>
  <c r="AB453" i="2" s="1"/>
  <c r="X454" i="2"/>
  <c r="AB454" i="2" s="1"/>
  <c r="X455" i="2"/>
  <c r="AB455" i="2" s="1"/>
  <c r="X456" i="2"/>
  <c r="AB456" i="2" s="1"/>
  <c r="X457" i="2"/>
  <c r="AB457" i="2" s="1"/>
  <c r="X458" i="2"/>
  <c r="AB458" i="2" s="1"/>
  <c r="X459" i="2"/>
  <c r="AB459" i="2" s="1"/>
  <c r="X460" i="2"/>
  <c r="AB460" i="2" s="1"/>
  <c r="X461" i="2"/>
  <c r="AB461" i="2" s="1"/>
  <c r="X462" i="2"/>
  <c r="AB462" i="2" s="1"/>
  <c r="X463" i="2"/>
  <c r="AB463" i="2" s="1"/>
  <c r="X464" i="2"/>
  <c r="AB464" i="2" s="1"/>
  <c r="X465" i="2"/>
  <c r="AB465" i="2" s="1"/>
  <c r="X466" i="2"/>
  <c r="AB466" i="2" s="1"/>
  <c r="X467" i="2"/>
  <c r="AB467" i="2" s="1"/>
  <c r="X468" i="2"/>
  <c r="AB468" i="2" s="1"/>
  <c r="X469" i="2"/>
  <c r="AB469" i="2" s="1"/>
  <c r="X470" i="2"/>
  <c r="AB470" i="2" s="1"/>
  <c r="X471" i="2"/>
  <c r="AB471" i="2" s="1"/>
  <c r="X472" i="2"/>
  <c r="AB472" i="2" s="1"/>
  <c r="X473" i="2"/>
  <c r="AB473" i="2" s="1"/>
  <c r="X474" i="2"/>
  <c r="AB474" i="2" s="1"/>
  <c r="X475" i="2"/>
  <c r="AB475" i="2" s="1"/>
  <c r="X476" i="2"/>
  <c r="AB476" i="2" s="1"/>
  <c r="X477" i="2"/>
  <c r="AB477" i="2" s="1"/>
  <c r="X478" i="2"/>
  <c r="AB478" i="2" s="1"/>
  <c r="X479" i="2"/>
  <c r="AB479" i="2" s="1"/>
  <c r="X480" i="2"/>
  <c r="AB480" i="2" s="1"/>
  <c r="X481" i="2"/>
  <c r="AB481" i="2" s="1"/>
  <c r="X482" i="2"/>
  <c r="AB482" i="2" s="1"/>
  <c r="X483" i="2"/>
  <c r="AB483" i="2" s="1"/>
  <c r="X484" i="2"/>
  <c r="AB484" i="2" s="1"/>
  <c r="X485" i="2"/>
  <c r="AB485" i="2" s="1"/>
  <c r="X486" i="2"/>
  <c r="AB486" i="2" s="1"/>
  <c r="X487" i="2"/>
  <c r="AB487" i="2" s="1"/>
  <c r="X488" i="2"/>
  <c r="AB488" i="2" s="1"/>
  <c r="X489" i="2"/>
  <c r="AB489" i="2" s="1"/>
  <c r="X490" i="2"/>
  <c r="AB490" i="2" s="1"/>
  <c r="X491" i="2"/>
  <c r="AB491" i="2" s="1"/>
  <c r="X492" i="2"/>
  <c r="AB492" i="2" s="1"/>
  <c r="X493" i="2"/>
  <c r="AB493" i="2" s="1"/>
  <c r="X494" i="2"/>
  <c r="AB494" i="2" s="1"/>
  <c r="X495" i="2"/>
  <c r="AB495" i="2" s="1"/>
  <c r="X496" i="2"/>
  <c r="AB496" i="2" s="1"/>
  <c r="X497" i="2"/>
  <c r="AB497" i="2" s="1"/>
  <c r="X498" i="2"/>
  <c r="AB498" i="2" s="1"/>
  <c r="X499" i="2"/>
  <c r="AB499" i="2" s="1"/>
  <c r="X500" i="2"/>
  <c r="AB500" i="2" s="1"/>
  <c r="X501" i="2"/>
  <c r="AB501" i="2" s="1"/>
  <c r="X502" i="2"/>
  <c r="AB502" i="2" s="1"/>
  <c r="X503" i="2"/>
  <c r="AB503" i="2" s="1"/>
  <c r="X504" i="2"/>
  <c r="AB504" i="2" s="1"/>
  <c r="X505" i="2"/>
  <c r="AB505" i="2" s="1"/>
  <c r="X506" i="2"/>
  <c r="AB506" i="2" s="1"/>
  <c r="X507" i="2"/>
  <c r="AB507" i="2" s="1"/>
  <c r="X508" i="2"/>
  <c r="AB508" i="2" s="1"/>
  <c r="X509" i="2"/>
  <c r="AB509" i="2" s="1"/>
  <c r="X510" i="2"/>
  <c r="AB510" i="2" s="1"/>
  <c r="X511" i="2"/>
  <c r="AB511" i="2" s="1"/>
  <c r="X512" i="2"/>
  <c r="AB512" i="2" s="1"/>
  <c r="X513" i="2"/>
  <c r="AB513" i="2" s="1"/>
  <c r="X514" i="2"/>
  <c r="AB514" i="2" s="1"/>
  <c r="X515" i="2"/>
  <c r="AB515" i="2" s="1"/>
  <c r="X516" i="2"/>
  <c r="AB516" i="2" s="1"/>
  <c r="X517" i="2"/>
  <c r="AB517" i="2" s="1"/>
  <c r="X518" i="2"/>
  <c r="AB518" i="2" s="1"/>
  <c r="X519" i="2"/>
  <c r="AB519" i="2" s="1"/>
  <c r="X520" i="2"/>
  <c r="AB520" i="2" s="1"/>
  <c r="X521" i="2"/>
  <c r="AB521" i="2" s="1"/>
  <c r="X522" i="2"/>
  <c r="AB522" i="2" s="1"/>
  <c r="X523" i="2"/>
  <c r="AB523" i="2" s="1"/>
  <c r="X524" i="2"/>
  <c r="AB524" i="2" s="1"/>
  <c r="X525" i="2"/>
  <c r="AB525" i="2" s="1"/>
  <c r="X526" i="2"/>
  <c r="AB526" i="2" s="1"/>
  <c r="X527" i="2"/>
  <c r="AB527" i="2" s="1"/>
  <c r="X528" i="2"/>
  <c r="AB528" i="2" s="1"/>
  <c r="X529" i="2"/>
  <c r="AB529" i="2" s="1"/>
  <c r="X530" i="2"/>
  <c r="AB530" i="2" s="1"/>
  <c r="X531" i="2"/>
  <c r="AB531" i="2" s="1"/>
  <c r="X532" i="2"/>
  <c r="AB532" i="2" s="1"/>
  <c r="X533" i="2"/>
  <c r="AB533" i="2" s="1"/>
  <c r="X534" i="2"/>
  <c r="AB534" i="2" s="1"/>
  <c r="X535" i="2"/>
  <c r="AB535" i="2" s="1"/>
  <c r="X536" i="2"/>
  <c r="AB536" i="2" s="1"/>
  <c r="X537" i="2"/>
  <c r="AB537" i="2" s="1"/>
  <c r="X538" i="2"/>
  <c r="AB538" i="2" s="1"/>
  <c r="X539" i="2"/>
  <c r="AB539" i="2" s="1"/>
  <c r="X540" i="2"/>
  <c r="AB540" i="2" s="1"/>
  <c r="X541" i="2"/>
  <c r="AB541" i="2" s="1"/>
  <c r="X542" i="2"/>
  <c r="AB542" i="2" s="1"/>
  <c r="X543" i="2"/>
  <c r="AB543" i="2" s="1"/>
  <c r="X544" i="2"/>
  <c r="AB544" i="2" s="1"/>
  <c r="X545" i="2"/>
  <c r="AB545" i="2" s="1"/>
  <c r="X546" i="2"/>
  <c r="AB546" i="2" s="1"/>
  <c r="X547" i="2"/>
  <c r="AB547" i="2" s="1"/>
  <c r="X548" i="2"/>
  <c r="AB548" i="2" s="1"/>
  <c r="X549" i="2"/>
  <c r="AB549" i="2" s="1"/>
  <c r="X550" i="2"/>
  <c r="AB550" i="2" s="1"/>
  <c r="X551" i="2"/>
  <c r="AB551" i="2" s="1"/>
  <c r="X552" i="2"/>
  <c r="AB552" i="2" s="1"/>
  <c r="X553" i="2"/>
  <c r="AB553" i="2" s="1"/>
  <c r="X554" i="2"/>
  <c r="AB554" i="2" s="1"/>
  <c r="X555" i="2"/>
  <c r="AB555" i="2" s="1"/>
  <c r="X556" i="2"/>
  <c r="AB556" i="2" s="1"/>
  <c r="X557" i="2"/>
  <c r="AB557" i="2" s="1"/>
  <c r="X558" i="2"/>
  <c r="AB558" i="2" s="1"/>
  <c r="X559" i="2"/>
  <c r="AB559" i="2" s="1"/>
  <c r="X560" i="2"/>
  <c r="AB560" i="2" s="1"/>
  <c r="X561" i="2"/>
  <c r="AB561" i="2" s="1"/>
  <c r="X562" i="2"/>
  <c r="AB562" i="2" s="1"/>
  <c r="X563" i="2"/>
  <c r="AB563" i="2" s="1"/>
  <c r="X564" i="2"/>
  <c r="AB564" i="2" s="1"/>
  <c r="X565" i="2"/>
  <c r="AB565" i="2" s="1"/>
  <c r="X566" i="2"/>
  <c r="AB566" i="2" s="1"/>
  <c r="X567" i="2"/>
  <c r="AB567" i="2" s="1"/>
  <c r="X568" i="2"/>
  <c r="AB568" i="2" s="1"/>
  <c r="X569" i="2"/>
  <c r="AB569" i="2" s="1"/>
  <c r="X570" i="2"/>
  <c r="AB570" i="2" s="1"/>
  <c r="X571" i="2"/>
  <c r="AB571" i="2" s="1"/>
  <c r="X572" i="2"/>
  <c r="AB572" i="2" s="1"/>
  <c r="X573" i="2"/>
  <c r="AB573" i="2" s="1"/>
  <c r="X574" i="2"/>
  <c r="AB574" i="2" s="1"/>
  <c r="X575" i="2"/>
  <c r="AB575" i="2" s="1"/>
  <c r="X576" i="2"/>
  <c r="AB576" i="2" s="1"/>
  <c r="X577" i="2"/>
  <c r="AB577" i="2" s="1"/>
  <c r="X578" i="2"/>
  <c r="AB578" i="2" s="1"/>
  <c r="X579" i="2"/>
  <c r="AB579" i="2" s="1"/>
  <c r="X580" i="2"/>
  <c r="AB580" i="2" s="1"/>
  <c r="X581" i="2"/>
  <c r="AB581" i="2" s="1"/>
  <c r="X582" i="2"/>
  <c r="AB582" i="2" s="1"/>
  <c r="X583" i="2"/>
  <c r="AB583" i="2" s="1"/>
  <c r="X584" i="2"/>
  <c r="AB584" i="2" s="1"/>
  <c r="X585" i="2"/>
  <c r="AB585" i="2" s="1"/>
  <c r="X586" i="2"/>
  <c r="AB586" i="2" s="1"/>
  <c r="X587" i="2"/>
  <c r="AB587" i="2" s="1"/>
  <c r="X588" i="2"/>
  <c r="AB588" i="2" s="1"/>
  <c r="X589" i="2"/>
  <c r="AB589" i="2" s="1"/>
  <c r="X590" i="2"/>
  <c r="AB590" i="2" s="1"/>
  <c r="X591" i="2"/>
  <c r="AB591" i="2" s="1"/>
  <c r="X592" i="2"/>
  <c r="AB592" i="2" s="1"/>
  <c r="X593" i="2"/>
  <c r="AB593" i="2" s="1"/>
  <c r="X594" i="2"/>
  <c r="AB594" i="2" s="1"/>
  <c r="X595" i="2"/>
  <c r="AB595" i="2" s="1"/>
  <c r="X596" i="2"/>
  <c r="AB596" i="2" s="1"/>
  <c r="X597" i="2"/>
  <c r="AB597" i="2" s="1"/>
  <c r="X598" i="2"/>
  <c r="AB598" i="2" s="1"/>
  <c r="X599" i="2"/>
  <c r="AB599" i="2" s="1"/>
  <c r="X600" i="2"/>
  <c r="AB600" i="2" s="1"/>
  <c r="X601" i="2"/>
  <c r="AB601" i="2" s="1"/>
  <c r="X602" i="2"/>
  <c r="AB602" i="2" s="1"/>
  <c r="X603" i="2"/>
  <c r="AB603" i="2" s="1"/>
  <c r="X604" i="2"/>
  <c r="AB604" i="2" s="1"/>
  <c r="X605" i="2"/>
  <c r="AB605" i="2" s="1"/>
  <c r="X606" i="2"/>
  <c r="AB606" i="2" s="1"/>
  <c r="X607" i="2"/>
  <c r="AB607" i="2" s="1"/>
  <c r="X608" i="2"/>
  <c r="AB608" i="2" s="1"/>
  <c r="X609" i="2"/>
  <c r="AB609" i="2" s="1"/>
  <c r="X610" i="2"/>
  <c r="AB610" i="2" s="1"/>
  <c r="X611" i="2"/>
  <c r="AB611" i="2" s="1"/>
  <c r="X612" i="2"/>
  <c r="AB612" i="2" s="1"/>
  <c r="X613" i="2"/>
  <c r="AB613" i="2" s="1"/>
  <c r="X614" i="2"/>
  <c r="AB614" i="2" s="1"/>
  <c r="X615" i="2"/>
  <c r="AB615" i="2" s="1"/>
  <c r="X616" i="2"/>
  <c r="AB616" i="2" s="1"/>
  <c r="X617" i="2"/>
  <c r="AB617" i="2" s="1"/>
  <c r="X618" i="2"/>
  <c r="AB618" i="2" s="1"/>
  <c r="X619" i="2"/>
  <c r="AB619" i="2" s="1"/>
  <c r="X620" i="2"/>
  <c r="AB620" i="2" s="1"/>
  <c r="X621" i="2"/>
  <c r="AB621" i="2" s="1"/>
  <c r="X622" i="2"/>
  <c r="AB622" i="2" s="1"/>
  <c r="X623" i="2"/>
  <c r="AB623" i="2" s="1"/>
  <c r="X624" i="2"/>
  <c r="AB624" i="2" s="1"/>
  <c r="X625" i="2"/>
  <c r="AB625" i="2" s="1"/>
  <c r="X626" i="2"/>
  <c r="AB626" i="2" s="1"/>
  <c r="X627" i="2"/>
  <c r="AB627" i="2" s="1"/>
  <c r="X628" i="2"/>
  <c r="AB628" i="2" s="1"/>
  <c r="X629" i="2"/>
  <c r="AB629" i="2" s="1"/>
  <c r="X630" i="2"/>
  <c r="AB630" i="2" s="1"/>
  <c r="X631" i="2"/>
  <c r="AB631" i="2" s="1"/>
  <c r="X632" i="2"/>
  <c r="AB632" i="2" s="1"/>
  <c r="X633" i="2"/>
  <c r="AB633" i="2" s="1"/>
  <c r="X634" i="2"/>
  <c r="AB634" i="2" s="1"/>
  <c r="X635" i="2"/>
  <c r="AB635" i="2" s="1"/>
  <c r="X636" i="2"/>
  <c r="AB636" i="2" s="1"/>
  <c r="X637" i="2"/>
  <c r="AB637" i="2" s="1"/>
  <c r="X638" i="2"/>
  <c r="AB638" i="2" s="1"/>
  <c r="X639" i="2"/>
  <c r="AB639" i="2" s="1"/>
  <c r="X640" i="2"/>
  <c r="AB640" i="2" s="1"/>
  <c r="X641" i="2"/>
  <c r="AB641" i="2" s="1"/>
  <c r="X642" i="2"/>
  <c r="AB642" i="2" s="1"/>
  <c r="X643" i="2"/>
  <c r="AB643" i="2" s="1"/>
  <c r="X644" i="2"/>
  <c r="AB644" i="2" s="1"/>
  <c r="X645" i="2"/>
  <c r="AB645" i="2" s="1"/>
  <c r="X646" i="2"/>
  <c r="AB646" i="2" s="1"/>
  <c r="X647" i="2"/>
  <c r="AB647" i="2" s="1"/>
  <c r="X648" i="2"/>
  <c r="AB648" i="2" s="1"/>
  <c r="X649" i="2"/>
  <c r="AB649" i="2" s="1"/>
  <c r="X650" i="2"/>
  <c r="AB650" i="2" s="1"/>
  <c r="X651" i="2"/>
  <c r="AB651" i="2" s="1"/>
  <c r="X652" i="2"/>
  <c r="AB652" i="2" s="1"/>
  <c r="X653" i="2"/>
  <c r="AB653" i="2" s="1"/>
  <c r="X654" i="2"/>
  <c r="AB654" i="2" s="1"/>
  <c r="X655" i="2"/>
  <c r="AB655" i="2" s="1"/>
  <c r="X656" i="2"/>
  <c r="AB656" i="2" s="1"/>
  <c r="X657" i="2"/>
  <c r="AB657" i="2" s="1"/>
  <c r="X658" i="2"/>
  <c r="AB658" i="2" s="1"/>
  <c r="X659" i="2"/>
  <c r="AB659" i="2" s="1"/>
  <c r="X660" i="2"/>
  <c r="AB660" i="2" s="1"/>
  <c r="X661" i="2"/>
  <c r="AB661" i="2" s="1"/>
  <c r="X662" i="2"/>
  <c r="AB662" i="2" s="1"/>
  <c r="X663" i="2"/>
  <c r="AB663" i="2" s="1"/>
  <c r="X664" i="2"/>
  <c r="AB664" i="2" s="1"/>
  <c r="X665" i="2"/>
  <c r="AB665" i="2" s="1"/>
  <c r="X666" i="2"/>
  <c r="AB666" i="2" s="1"/>
  <c r="X667" i="2"/>
  <c r="AB667" i="2" s="1"/>
  <c r="X668" i="2"/>
  <c r="AB668" i="2" s="1"/>
  <c r="X669" i="2"/>
  <c r="AB669" i="2" s="1"/>
  <c r="X670" i="2"/>
  <c r="AB670" i="2" s="1"/>
  <c r="X671" i="2"/>
  <c r="AB671" i="2" s="1"/>
  <c r="X672" i="2"/>
  <c r="AB672" i="2" s="1"/>
  <c r="X673" i="2"/>
  <c r="AB673" i="2" s="1"/>
  <c r="X674" i="2"/>
  <c r="AB674" i="2" s="1"/>
  <c r="X675" i="2"/>
  <c r="AB675" i="2" s="1"/>
  <c r="X676" i="2"/>
  <c r="AB676" i="2" s="1"/>
  <c r="X677" i="2"/>
  <c r="AB677" i="2" s="1"/>
  <c r="X678" i="2"/>
  <c r="AB678" i="2" s="1"/>
  <c r="X679" i="2"/>
  <c r="AB679" i="2" s="1"/>
  <c r="X680" i="2"/>
  <c r="AB680" i="2" s="1"/>
  <c r="X681" i="2"/>
  <c r="AB681" i="2" s="1"/>
  <c r="X682" i="2"/>
  <c r="AB682" i="2" s="1"/>
  <c r="X683" i="2"/>
  <c r="AB683" i="2" s="1"/>
  <c r="X684" i="2"/>
  <c r="AB684" i="2" s="1"/>
  <c r="X685" i="2"/>
  <c r="AB685" i="2" s="1"/>
  <c r="X686" i="2"/>
  <c r="AB686" i="2" s="1"/>
  <c r="X687" i="2"/>
  <c r="AB687" i="2" s="1"/>
  <c r="X688" i="2"/>
  <c r="AB688" i="2" s="1"/>
  <c r="X689" i="2"/>
  <c r="AB689" i="2" s="1"/>
  <c r="X690" i="2"/>
  <c r="AB690" i="2" s="1"/>
  <c r="X691" i="2"/>
  <c r="AB691" i="2" s="1"/>
  <c r="X692" i="2"/>
  <c r="AB692" i="2" s="1"/>
  <c r="X693" i="2"/>
  <c r="AB693" i="2" s="1"/>
  <c r="X694" i="2"/>
  <c r="AB694" i="2" s="1"/>
  <c r="X695" i="2"/>
  <c r="AB695" i="2" s="1"/>
  <c r="X696" i="2"/>
  <c r="AB696" i="2" s="1"/>
  <c r="X697" i="2"/>
  <c r="AB697" i="2" s="1"/>
  <c r="X698" i="2"/>
  <c r="AB698" i="2" s="1"/>
  <c r="X699" i="2"/>
  <c r="AB699" i="2" s="1"/>
  <c r="X700" i="2"/>
  <c r="AB700" i="2" s="1"/>
  <c r="X701" i="2"/>
  <c r="AB701" i="2" s="1"/>
  <c r="X702" i="2"/>
  <c r="AB702" i="2" s="1"/>
  <c r="X703" i="2"/>
  <c r="AB703" i="2" s="1"/>
  <c r="X704" i="2"/>
  <c r="AB704" i="2" s="1"/>
  <c r="X705" i="2"/>
  <c r="AB705" i="2" s="1"/>
  <c r="X706" i="2"/>
  <c r="AB706" i="2" s="1"/>
  <c r="X707" i="2"/>
  <c r="AB707" i="2" s="1"/>
  <c r="X708" i="2"/>
  <c r="AB708" i="2" s="1"/>
  <c r="X709" i="2"/>
  <c r="AB709" i="2" s="1"/>
  <c r="X710" i="2"/>
  <c r="AB710" i="2" s="1"/>
  <c r="X711" i="2"/>
  <c r="AB711" i="2" s="1"/>
  <c r="X712" i="2"/>
  <c r="AB712" i="2" s="1"/>
  <c r="X713" i="2"/>
  <c r="AB713" i="2" s="1"/>
  <c r="X714" i="2"/>
  <c r="AB714" i="2" s="1"/>
  <c r="X715" i="2"/>
  <c r="AB715" i="2" s="1"/>
  <c r="X716" i="2"/>
  <c r="AB716" i="2" s="1"/>
  <c r="X717" i="2"/>
  <c r="AB717" i="2" s="1"/>
  <c r="X718" i="2"/>
  <c r="AB718" i="2" s="1"/>
  <c r="X719" i="2"/>
  <c r="AB719" i="2" s="1"/>
  <c r="X720" i="2"/>
  <c r="AB720" i="2" s="1"/>
  <c r="X721" i="2"/>
  <c r="AB721" i="2" s="1"/>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O2" i="2"/>
  <c r="AA569" i="2" l="1"/>
  <c r="AC569" i="2" s="1"/>
  <c r="AD569" i="2" s="1"/>
  <c r="AA49" i="2"/>
  <c r="AC49" i="2" s="1"/>
  <c r="AD49" i="2" s="1"/>
  <c r="AA561" i="2"/>
  <c r="AC561" i="2" s="1"/>
  <c r="AD561" i="2" s="1"/>
  <c r="AA385" i="2"/>
  <c r="AC385" i="2" s="1"/>
  <c r="AD385" i="2" s="1"/>
  <c r="AA377" i="2"/>
  <c r="AC377" i="2" s="1"/>
  <c r="AD377" i="2" s="1"/>
  <c r="AA241" i="2"/>
  <c r="AC241" i="2" s="1"/>
  <c r="AD241" i="2" s="1"/>
  <c r="AA193" i="2"/>
  <c r="AC193" i="2" s="1"/>
  <c r="AD193" i="2" s="1"/>
  <c r="AA57" i="2"/>
  <c r="AC57" i="2" s="1"/>
  <c r="AD57" i="2" s="1"/>
  <c r="AA513" i="2"/>
  <c r="AC513" i="2" s="1"/>
  <c r="AD513" i="2" s="1"/>
  <c r="AA369" i="2"/>
  <c r="AC369" i="2" s="1"/>
  <c r="AD369" i="2" s="1"/>
  <c r="AA185" i="2"/>
  <c r="AC185" i="2" s="1"/>
  <c r="AD185" i="2" s="1"/>
  <c r="AA505" i="2"/>
  <c r="AC505" i="2" s="1"/>
  <c r="AD505" i="2" s="1"/>
  <c r="AA321" i="2"/>
  <c r="AC321" i="2" s="1"/>
  <c r="AD321" i="2" s="1"/>
  <c r="AA177" i="2"/>
  <c r="AC177" i="2" s="1"/>
  <c r="AD177" i="2" s="1"/>
  <c r="AA641" i="2"/>
  <c r="AC641" i="2" s="1"/>
  <c r="AD641" i="2" s="1"/>
  <c r="AA497" i="2"/>
  <c r="AC497" i="2" s="1"/>
  <c r="AD497" i="2" s="1"/>
  <c r="AA313" i="2"/>
  <c r="AC313" i="2" s="1"/>
  <c r="AD313" i="2" s="1"/>
  <c r="AA129" i="2"/>
  <c r="AC129" i="2" s="1"/>
  <c r="AD129" i="2" s="1"/>
  <c r="AA633" i="2"/>
  <c r="AC633" i="2" s="1"/>
  <c r="AD633" i="2" s="1"/>
  <c r="AA449" i="2"/>
  <c r="AC449" i="2" s="1"/>
  <c r="AD449" i="2" s="1"/>
  <c r="AA305" i="2"/>
  <c r="AC305" i="2" s="1"/>
  <c r="AD305" i="2" s="1"/>
  <c r="AA121" i="2"/>
  <c r="AC121" i="2" s="1"/>
  <c r="AD121" i="2" s="1"/>
  <c r="AA625" i="2"/>
  <c r="AC625" i="2" s="1"/>
  <c r="AD625" i="2" s="1"/>
  <c r="AA441" i="2"/>
  <c r="AC441" i="2" s="1"/>
  <c r="AD441" i="2" s="1"/>
  <c r="AA257" i="2"/>
  <c r="AC257" i="2" s="1"/>
  <c r="AD257" i="2" s="1"/>
  <c r="AA113" i="2"/>
  <c r="AC113" i="2" s="1"/>
  <c r="AD113" i="2" s="1"/>
  <c r="AA577" i="2"/>
  <c r="AC577" i="2" s="1"/>
  <c r="AD577" i="2" s="1"/>
  <c r="AA433" i="2"/>
  <c r="AC433" i="2" s="1"/>
  <c r="AD433" i="2" s="1"/>
  <c r="AA249" i="2"/>
  <c r="AC249" i="2" s="1"/>
  <c r="AD249" i="2" s="1"/>
  <c r="AA65" i="2"/>
  <c r="AC65" i="2" s="1"/>
  <c r="AD65" i="2" s="1"/>
  <c r="Z676" i="2"/>
  <c r="AA676" i="2" s="1"/>
  <c r="AC676" i="2" s="1"/>
  <c r="AD676" i="2" s="1"/>
  <c r="Z668" i="2"/>
  <c r="AA668" i="2" s="1"/>
  <c r="AC668" i="2" s="1"/>
  <c r="AD668" i="2" s="1"/>
  <c r="Z660" i="2"/>
  <c r="AA660" i="2" s="1"/>
  <c r="AC660" i="2" s="1"/>
  <c r="AD660" i="2" s="1"/>
  <c r="Z652" i="2"/>
  <c r="AA652" i="2" s="1"/>
  <c r="AC652" i="2" s="1"/>
  <c r="AD652" i="2" s="1"/>
  <c r="Z644" i="2"/>
  <c r="AA644" i="2" s="1"/>
  <c r="AC644" i="2" s="1"/>
  <c r="AD644" i="2" s="1"/>
  <c r="Z636" i="2"/>
  <c r="AA636" i="2" s="1"/>
  <c r="AC636" i="2" s="1"/>
  <c r="AD636" i="2" s="1"/>
  <c r="Z628" i="2"/>
  <c r="AA628" i="2" s="1"/>
  <c r="AC628" i="2" s="1"/>
  <c r="AD628" i="2" s="1"/>
  <c r="Z620" i="2"/>
  <c r="AA620" i="2" s="1"/>
  <c r="AC620" i="2" s="1"/>
  <c r="AD620" i="2" s="1"/>
  <c r="Z612" i="2"/>
  <c r="AA612" i="2" s="1"/>
  <c r="AC612" i="2" s="1"/>
  <c r="AD612" i="2" s="1"/>
  <c r="Z604" i="2"/>
  <c r="AA604" i="2" s="1"/>
  <c r="AC604" i="2" s="1"/>
  <c r="AD604" i="2" s="1"/>
  <c r="Z596" i="2"/>
  <c r="AA596" i="2" s="1"/>
  <c r="AC596" i="2" s="1"/>
  <c r="AD596" i="2" s="1"/>
  <c r="Z588" i="2"/>
  <c r="AA588" i="2" s="1"/>
  <c r="AC588" i="2" s="1"/>
  <c r="AD588" i="2" s="1"/>
  <c r="Z580" i="2"/>
  <c r="AA580" i="2" s="1"/>
  <c r="AC580" i="2" s="1"/>
  <c r="AD580" i="2" s="1"/>
  <c r="Z572" i="2"/>
  <c r="AA572" i="2" s="1"/>
  <c r="AC572" i="2" s="1"/>
  <c r="AD572" i="2" s="1"/>
  <c r="Z564" i="2"/>
  <c r="AA564" i="2" s="1"/>
  <c r="AC564" i="2" s="1"/>
  <c r="AD564" i="2" s="1"/>
  <c r="Z556" i="2"/>
  <c r="AA556" i="2" s="1"/>
  <c r="AC556" i="2" s="1"/>
  <c r="AD556" i="2" s="1"/>
  <c r="Z548" i="2"/>
  <c r="AA548" i="2" s="1"/>
  <c r="AC548" i="2" s="1"/>
  <c r="AD548" i="2" s="1"/>
  <c r="Z540" i="2"/>
  <c r="AA540" i="2" s="1"/>
  <c r="AC540" i="2" s="1"/>
  <c r="AD540" i="2" s="1"/>
  <c r="Z532" i="2"/>
  <c r="AA532" i="2" s="1"/>
  <c r="AC532" i="2" s="1"/>
  <c r="AD532" i="2" s="1"/>
  <c r="Z524" i="2"/>
  <c r="AA524" i="2" s="1"/>
  <c r="AC524" i="2" s="1"/>
  <c r="AD524" i="2" s="1"/>
  <c r="Z516" i="2"/>
  <c r="AA516" i="2" s="1"/>
  <c r="AC516" i="2" s="1"/>
  <c r="AD516" i="2" s="1"/>
  <c r="Z508" i="2"/>
  <c r="AA508" i="2" s="1"/>
  <c r="AC508" i="2" s="1"/>
  <c r="AD508" i="2" s="1"/>
  <c r="Z500" i="2"/>
  <c r="AA500" i="2" s="1"/>
  <c r="AC500" i="2" s="1"/>
  <c r="AD500" i="2" s="1"/>
  <c r="Z492" i="2"/>
  <c r="AA492" i="2" s="1"/>
  <c r="AC492" i="2" s="1"/>
  <c r="AD492" i="2" s="1"/>
  <c r="Z484" i="2"/>
  <c r="AA484" i="2" s="1"/>
  <c r="AC484" i="2" s="1"/>
  <c r="AD484" i="2" s="1"/>
  <c r="Z476" i="2"/>
  <c r="AA476" i="2" s="1"/>
  <c r="AC476" i="2" s="1"/>
  <c r="AD476" i="2" s="1"/>
  <c r="Z468" i="2"/>
  <c r="AA468" i="2" s="1"/>
  <c r="AC468" i="2" s="1"/>
  <c r="AD468" i="2" s="1"/>
  <c r="Z460" i="2"/>
  <c r="AA460" i="2" s="1"/>
  <c r="AC460" i="2" s="1"/>
  <c r="AD460" i="2" s="1"/>
  <c r="Z452" i="2"/>
  <c r="AA452" i="2" s="1"/>
  <c r="AC452" i="2" s="1"/>
  <c r="AD452" i="2" s="1"/>
  <c r="Z444" i="2"/>
  <c r="AA444" i="2" s="1"/>
  <c r="AC444" i="2" s="1"/>
  <c r="AD444" i="2" s="1"/>
  <c r="Z436" i="2"/>
  <c r="AA436" i="2" s="1"/>
  <c r="AC436" i="2" s="1"/>
  <c r="AD436" i="2" s="1"/>
  <c r="Z428" i="2"/>
  <c r="AA428" i="2" s="1"/>
  <c r="AC428" i="2" s="1"/>
  <c r="AD428" i="2" s="1"/>
  <c r="Z420" i="2"/>
  <c r="AA420" i="2" s="1"/>
  <c r="AC420" i="2" s="1"/>
  <c r="AD420" i="2" s="1"/>
  <c r="Z412" i="2"/>
  <c r="AA412" i="2" s="1"/>
  <c r="AC412" i="2" s="1"/>
  <c r="AD412" i="2" s="1"/>
  <c r="Z404" i="2"/>
  <c r="AA404" i="2" s="1"/>
  <c r="AC404" i="2" s="1"/>
  <c r="AD404" i="2" s="1"/>
  <c r="Z396" i="2"/>
  <c r="AA396" i="2" s="1"/>
  <c r="AC396" i="2" s="1"/>
  <c r="AD396" i="2" s="1"/>
  <c r="Z388" i="2"/>
  <c r="AA388" i="2" s="1"/>
  <c r="AC388" i="2" s="1"/>
  <c r="AD388" i="2" s="1"/>
  <c r="Z380" i="2"/>
  <c r="AA380" i="2" s="1"/>
  <c r="AC380" i="2" s="1"/>
  <c r="AD380" i="2" s="1"/>
  <c r="Z372" i="2"/>
  <c r="AA372" i="2" s="1"/>
  <c r="AC372" i="2" s="1"/>
  <c r="AD372" i="2" s="1"/>
  <c r="Z364" i="2"/>
  <c r="AA364" i="2" s="1"/>
  <c r="AC364" i="2" s="1"/>
  <c r="AD364" i="2" s="1"/>
  <c r="Z356" i="2"/>
  <c r="AA356" i="2" s="1"/>
  <c r="AC356" i="2" s="1"/>
  <c r="AD356" i="2" s="1"/>
  <c r="Z348" i="2"/>
  <c r="AA348" i="2" s="1"/>
  <c r="AC348" i="2" s="1"/>
  <c r="AD348" i="2" s="1"/>
  <c r="Z340" i="2"/>
  <c r="AA340" i="2" s="1"/>
  <c r="AC340" i="2" s="1"/>
  <c r="AD340" i="2" s="1"/>
  <c r="Z332" i="2"/>
  <c r="AA332" i="2" s="1"/>
  <c r="AC332" i="2" s="1"/>
  <c r="AD332" i="2" s="1"/>
  <c r="Z324" i="2"/>
  <c r="AA324" i="2" s="1"/>
  <c r="AC324" i="2" s="1"/>
  <c r="AD324" i="2" s="1"/>
  <c r="Z316" i="2"/>
  <c r="AA316" i="2" s="1"/>
  <c r="AC316" i="2" s="1"/>
  <c r="AD316" i="2" s="1"/>
  <c r="Z308" i="2"/>
  <c r="AA308" i="2" s="1"/>
  <c r="AC308" i="2" s="1"/>
  <c r="AD308" i="2" s="1"/>
  <c r="Z300" i="2"/>
  <c r="AA300" i="2" s="1"/>
  <c r="AC300" i="2" s="1"/>
  <c r="AD300" i="2" s="1"/>
  <c r="Z292" i="2"/>
  <c r="AA292" i="2" s="1"/>
  <c r="AC292" i="2" s="1"/>
  <c r="AD292" i="2" s="1"/>
  <c r="Z284" i="2"/>
  <c r="AA284" i="2" s="1"/>
  <c r="AC284" i="2" s="1"/>
  <c r="AD284" i="2" s="1"/>
  <c r="Z276" i="2"/>
  <c r="AA276" i="2" s="1"/>
  <c r="AC276" i="2" s="1"/>
  <c r="AD276" i="2" s="1"/>
  <c r="Z268" i="2"/>
  <c r="AA268" i="2" s="1"/>
  <c r="AC268" i="2" s="1"/>
  <c r="AD268" i="2" s="1"/>
  <c r="Z260" i="2"/>
  <c r="AA260" i="2" s="1"/>
  <c r="AC260" i="2" s="1"/>
  <c r="AD260" i="2" s="1"/>
  <c r="Z252" i="2"/>
  <c r="AA252" i="2" s="1"/>
  <c r="AC252" i="2" s="1"/>
  <c r="AD252" i="2" s="1"/>
  <c r="Z244" i="2"/>
  <c r="AA244" i="2" s="1"/>
  <c r="AC244" i="2" s="1"/>
  <c r="AD244" i="2" s="1"/>
  <c r="Z236" i="2"/>
  <c r="AA236" i="2" s="1"/>
  <c r="AC236" i="2" s="1"/>
  <c r="AD236" i="2" s="1"/>
  <c r="Z228" i="2"/>
  <c r="AA228" i="2" s="1"/>
  <c r="AC228" i="2" s="1"/>
  <c r="AD228" i="2" s="1"/>
  <c r="Z220" i="2"/>
  <c r="AA220" i="2" s="1"/>
  <c r="AC220" i="2" s="1"/>
  <c r="AD220" i="2" s="1"/>
  <c r="Z212" i="2"/>
  <c r="AA212" i="2" s="1"/>
  <c r="AC212" i="2" s="1"/>
  <c r="AD212" i="2" s="1"/>
  <c r="Z204" i="2"/>
  <c r="AA204" i="2" s="1"/>
  <c r="AC204" i="2" s="1"/>
  <c r="AD204" i="2" s="1"/>
  <c r="Z196" i="2"/>
  <c r="AA196" i="2" s="1"/>
  <c r="AC196" i="2" s="1"/>
  <c r="AD196" i="2" s="1"/>
  <c r="Z188" i="2"/>
  <c r="AA188" i="2" s="1"/>
  <c r="AC188" i="2" s="1"/>
  <c r="AD188" i="2" s="1"/>
  <c r="Z180" i="2"/>
  <c r="AA180" i="2" s="1"/>
  <c r="AC180" i="2" s="1"/>
  <c r="AD180" i="2" s="1"/>
  <c r="Z172" i="2"/>
  <c r="AA172" i="2" s="1"/>
  <c r="AC172" i="2" s="1"/>
  <c r="AD172" i="2" s="1"/>
  <c r="Z164" i="2"/>
  <c r="AA164" i="2" s="1"/>
  <c r="AC164" i="2" s="1"/>
  <c r="AD164" i="2" s="1"/>
  <c r="Z156" i="2"/>
  <c r="AA156" i="2" s="1"/>
  <c r="AC156" i="2" s="1"/>
  <c r="AD156" i="2" s="1"/>
  <c r="Z148" i="2"/>
  <c r="AA148" i="2" s="1"/>
  <c r="AC148" i="2" s="1"/>
  <c r="AD148" i="2" s="1"/>
  <c r="Z140" i="2"/>
  <c r="AA140" i="2" s="1"/>
  <c r="AC140" i="2" s="1"/>
  <c r="AD140" i="2" s="1"/>
  <c r="Z132" i="2"/>
  <c r="AA132" i="2" s="1"/>
  <c r="AC132" i="2" s="1"/>
  <c r="AD132" i="2" s="1"/>
  <c r="Z124" i="2"/>
  <c r="AA124" i="2" s="1"/>
  <c r="AC124" i="2" s="1"/>
  <c r="AD124" i="2" s="1"/>
  <c r="Z116" i="2"/>
  <c r="AA116" i="2" s="1"/>
  <c r="AC116" i="2" s="1"/>
  <c r="AD116" i="2" s="1"/>
  <c r="Z108" i="2"/>
  <c r="AA108" i="2" s="1"/>
  <c r="AC108" i="2" s="1"/>
  <c r="AD108" i="2" s="1"/>
  <c r="Z100" i="2"/>
  <c r="AA100" i="2" s="1"/>
  <c r="AC100" i="2" s="1"/>
  <c r="AD100" i="2" s="1"/>
  <c r="Z92" i="2"/>
  <c r="AA92" i="2" s="1"/>
  <c r="AC92" i="2" s="1"/>
  <c r="AD92" i="2" s="1"/>
  <c r="Z84" i="2"/>
  <c r="AA84" i="2" s="1"/>
  <c r="AC84" i="2" s="1"/>
  <c r="AD84" i="2" s="1"/>
  <c r="Z76" i="2"/>
  <c r="AA76" i="2" s="1"/>
  <c r="AC76" i="2" s="1"/>
  <c r="AD76" i="2" s="1"/>
  <c r="Z68" i="2"/>
  <c r="AA68" i="2" s="1"/>
  <c r="AC68" i="2" s="1"/>
  <c r="AD68" i="2" s="1"/>
  <c r="Z60" i="2"/>
  <c r="AA60" i="2" s="1"/>
  <c r="AC60" i="2" s="1"/>
  <c r="AD60" i="2" s="1"/>
  <c r="Z52" i="2"/>
  <c r="AA52" i="2" s="1"/>
  <c r="AC52" i="2" s="1"/>
  <c r="AD52" i="2" s="1"/>
  <c r="Z44" i="2"/>
  <c r="AA44" i="2" s="1"/>
  <c r="AC44" i="2" s="1"/>
  <c r="AD44" i="2" s="1"/>
  <c r="Z36" i="2"/>
  <c r="AA36" i="2" s="1"/>
  <c r="AC36" i="2" s="1"/>
  <c r="AD36" i="2" s="1"/>
  <c r="Z28" i="2"/>
  <c r="AA28" i="2" s="1"/>
  <c r="AC28" i="2" s="1"/>
  <c r="AD28" i="2" s="1"/>
  <c r="Z20" i="2"/>
  <c r="AA20" i="2" s="1"/>
  <c r="Z12" i="2"/>
  <c r="AA12" i="2" s="1"/>
  <c r="AC12" i="2" s="1"/>
  <c r="AD12" i="2" s="1"/>
  <c r="Z4" i="2"/>
  <c r="AA4" i="2" s="1"/>
  <c r="AC4" i="2" s="1"/>
  <c r="AD4" i="2" s="1"/>
  <c r="AA716" i="2"/>
  <c r="AC716" i="2" s="1"/>
  <c r="AD716" i="2" s="1"/>
  <c r="AA708" i="2"/>
  <c r="AC708" i="2" s="1"/>
  <c r="AD708" i="2" s="1"/>
  <c r="AA700" i="2"/>
  <c r="AC700" i="2" s="1"/>
  <c r="AD700" i="2" s="1"/>
  <c r="AA692" i="2"/>
  <c r="AC692" i="2" s="1"/>
  <c r="AD692" i="2" s="1"/>
  <c r="AA684" i="2"/>
  <c r="AC684" i="2" s="1"/>
  <c r="AD684" i="2" s="1"/>
  <c r="Z675" i="2"/>
  <c r="AA675" i="2" s="1"/>
  <c r="AC675" i="2" s="1"/>
  <c r="AD675" i="2" s="1"/>
  <c r="Z667" i="2"/>
  <c r="AA667" i="2" s="1"/>
  <c r="AC667" i="2" s="1"/>
  <c r="AD667" i="2" s="1"/>
  <c r="Z651" i="2"/>
  <c r="AA651" i="2" s="1"/>
  <c r="AC651" i="2" s="1"/>
  <c r="AD651" i="2" s="1"/>
  <c r="Z643" i="2"/>
  <c r="AA643" i="2" s="1"/>
  <c r="AC643" i="2" s="1"/>
  <c r="AD643" i="2" s="1"/>
  <c r="Z635" i="2"/>
  <c r="AA635" i="2" s="1"/>
  <c r="AC635" i="2" s="1"/>
  <c r="AD635" i="2" s="1"/>
  <c r="Z627" i="2"/>
  <c r="AA627" i="2" s="1"/>
  <c r="AC627" i="2" s="1"/>
  <c r="AD627" i="2" s="1"/>
  <c r="Z619" i="2"/>
  <c r="AA619" i="2" s="1"/>
  <c r="AC619" i="2" s="1"/>
  <c r="AD619" i="2" s="1"/>
  <c r="Z611" i="2"/>
  <c r="AA611" i="2" s="1"/>
  <c r="AC611" i="2" s="1"/>
  <c r="AD611" i="2" s="1"/>
  <c r="Z603" i="2"/>
  <c r="AA603" i="2" s="1"/>
  <c r="AC603" i="2" s="1"/>
  <c r="AD603" i="2" s="1"/>
  <c r="AA595" i="2"/>
  <c r="AC595" i="2" s="1"/>
  <c r="AD595" i="2" s="1"/>
  <c r="Z587" i="2"/>
  <c r="AA587" i="2" s="1"/>
  <c r="AC587" i="2" s="1"/>
  <c r="AD587" i="2" s="1"/>
  <c r="Z579" i="2"/>
  <c r="AA579" i="2" s="1"/>
  <c r="AC579" i="2" s="1"/>
  <c r="AD579" i="2" s="1"/>
  <c r="Z571" i="2"/>
  <c r="AA571" i="2" s="1"/>
  <c r="AC571" i="2" s="1"/>
  <c r="AD571" i="2" s="1"/>
  <c r="Z563" i="2"/>
  <c r="AA563" i="2" s="1"/>
  <c r="AC563" i="2" s="1"/>
  <c r="AD563" i="2" s="1"/>
  <c r="Z555" i="2"/>
  <c r="AA555" i="2" s="1"/>
  <c r="AC555" i="2" s="1"/>
  <c r="AD555" i="2" s="1"/>
  <c r="Z547" i="2"/>
  <c r="AA547" i="2" s="1"/>
  <c r="AC547" i="2" s="1"/>
  <c r="AD547" i="2" s="1"/>
  <c r="Z539" i="2"/>
  <c r="AA539" i="2" s="1"/>
  <c r="AC539" i="2" s="1"/>
  <c r="AD539" i="2" s="1"/>
  <c r="Z523" i="2"/>
  <c r="AA523" i="2" s="1"/>
  <c r="AC523" i="2" s="1"/>
  <c r="AD523" i="2" s="1"/>
  <c r="Z515" i="2"/>
  <c r="AA515" i="2" s="1"/>
  <c r="AC515" i="2" s="1"/>
  <c r="AD515" i="2" s="1"/>
  <c r="Z507" i="2"/>
  <c r="AA507" i="2" s="1"/>
  <c r="AC507" i="2" s="1"/>
  <c r="AD507" i="2" s="1"/>
  <c r="Z499" i="2"/>
  <c r="AA499" i="2" s="1"/>
  <c r="AC499" i="2" s="1"/>
  <c r="AD499" i="2" s="1"/>
  <c r="Z491" i="2"/>
  <c r="AA491" i="2" s="1"/>
  <c r="AC491" i="2" s="1"/>
  <c r="AD491" i="2" s="1"/>
  <c r="Z483" i="2"/>
  <c r="AA483" i="2" s="1"/>
  <c r="AC483" i="2" s="1"/>
  <c r="AD483" i="2" s="1"/>
  <c r="Z475" i="2"/>
  <c r="AA475" i="2" s="1"/>
  <c r="AC475" i="2" s="1"/>
  <c r="AD475" i="2" s="1"/>
  <c r="AA467" i="2"/>
  <c r="AC467" i="2" s="1"/>
  <c r="AD467" i="2" s="1"/>
  <c r="Z459" i="2"/>
  <c r="AA459" i="2" s="1"/>
  <c r="AC459" i="2" s="1"/>
  <c r="AD459" i="2" s="1"/>
  <c r="Z451" i="2"/>
  <c r="AA451" i="2" s="1"/>
  <c r="AC451" i="2" s="1"/>
  <c r="AD451" i="2" s="1"/>
  <c r="Z443" i="2"/>
  <c r="AA443" i="2" s="1"/>
  <c r="AC443" i="2" s="1"/>
  <c r="AD443" i="2" s="1"/>
  <c r="Z435" i="2"/>
  <c r="AA435" i="2" s="1"/>
  <c r="AC435" i="2" s="1"/>
  <c r="AD435" i="2" s="1"/>
  <c r="Z427" i="2"/>
  <c r="AA427" i="2" s="1"/>
  <c r="AC427" i="2" s="1"/>
  <c r="AD427" i="2" s="1"/>
  <c r="Z419" i="2"/>
  <c r="AA419" i="2" s="1"/>
  <c r="AC419" i="2" s="1"/>
  <c r="AD419" i="2" s="1"/>
  <c r="Z411" i="2"/>
  <c r="AA411" i="2" s="1"/>
  <c r="AC411" i="2" s="1"/>
  <c r="AD411" i="2" s="1"/>
  <c r="Z395" i="2"/>
  <c r="AA395" i="2" s="1"/>
  <c r="AC395" i="2" s="1"/>
  <c r="AD395" i="2" s="1"/>
  <c r="Z387" i="2"/>
  <c r="AA387" i="2" s="1"/>
  <c r="AC387" i="2" s="1"/>
  <c r="AD387" i="2" s="1"/>
  <c r="Z379" i="2"/>
  <c r="AA379" i="2" s="1"/>
  <c r="AC379" i="2" s="1"/>
  <c r="AD379" i="2" s="1"/>
  <c r="Z371" i="2"/>
  <c r="AA371" i="2" s="1"/>
  <c r="AC371" i="2" s="1"/>
  <c r="AD371" i="2" s="1"/>
  <c r="Z363" i="2"/>
  <c r="AA363" i="2" s="1"/>
  <c r="AC363" i="2" s="1"/>
  <c r="AD363" i="2" s="1"/>
  <c r="Z355" i="2"/>
  <c r="AA355" i="2" s="1"/>
  <c r="AC355" i="2" s="1"/>
  <c r="AD355" i="2" s="1"/>
  <c r="Z347" i="2"/>
  <c r="AA347" i="2" s="1"/>
  <c r="AC347" i="2" s="1"/>
  <c r="AD347" i="2" s="1"/>
  <c r="Z339" i="2"/>
  <c r="AA339" i="2" s="1"/>
  <c r="AC339" i="2" s="1"/>
  <c r="AD339" i="2" s="1"/>
  <c r="Z331" i="2"/>
  <c r="AA331" i="2" s="1"/>
  <c r="AC331" i="2" s="1"/>
  <c r="AD331" i="2" s="1"/>
  <c r="Z323" i="2"/>
  <c r="AA323" i="2" s="1"/>
  <c r="AC323" i="2" s="1"/>
  <c r="AD323" i="2" s="1"/>
  <c r="Z315" i="2"/>
  <c r="AA315" i="2" s="1"/>
  <c r="AC315" i="2" s="1"/>
  <c r="AD315" i="2" s="1"/>
  <c r="Z307" i="2"/>
  <c r="AA307" i="2" s="1"/>
  <c r="AC307" i="2" s="1"/>
  <c r="AD307" i="2" s="1"/>
  <c r="Z299" i="2"/>
  <c r="AA299" i="2" s="1"/>
  <c r="AC299" i="2" s="1"/>
  <c r="AD299" i="2" s="1"/>
  <c r="Z291" i="2"/>
  <c r="AA291" i="2" s="1"/>
  <c r="AC291" i="2" s="1"/>
  <c r="AD291" i="2" s="1"/>
  <c r="Z283" i="2"/>
  <c r="AA283" i="2" s="1"/>
  <c r="AC283" i="2" s="1"/>
  <c r="AD283" i="2" s="1"/>
  <c r="Z275" i="2"/>
  <c r="AA275" i="2" s="1"/>
  <c r="AC275" i="2" s="1"/>
  <c r="AD275" i="2" s="1"/>
  <c r="Z267" i="2"/>
  <c r="AA267" i="2" s="1"/>
  <c r="AC267" i="2" s="1"/>
  <c r="AD267" i="2" s="1"/>
  <c r="Z259" i="2"/>
  <c r="AA259" i="2" s="1"/>
  <c r="AC259" i="2" s="1"/>
  <c r="AD259" i="2" s="1"/>
  <c r="Z251" i="2"/>
  <c r="AA251" i="2" s="1"/>
  <c r="AC251" i="2" s="1"/>
  <c r="AD251" i="2" s="1"/>
  <c r="Z243" i="2"/>
  <c r="AA243" i="2" s="1"/>
  <c r="AC243" i="2" s="1"/>
  <c r="AD243" i="2" s="1"/>
  <c r="Z235" i="2"/>
  <c r="AA235" i="2" s="1"/>
  <c r="AC235" i="2" s="1"/>
  <c r="AD235" i="2" s="1"/>
  <c r="Z227" i="2"/>
  <c r="AA227" i="2" s="1"/>
  <c r="AC227" i="2" s="1"/>
  <c r="AD227" i="2" s="1"/>
  <c r="Z219" i="2"/>
  <c r="AA219" i="2" s="1"/>
  <c r="AC219" i="2" s="1"/>
  <c r="AD219" i="2" s="1"/>
  <c r="Z211" i="2"/>
  <c r="AA211" i="2" s="1"/>
  <c r="AC211" i="2" s="1"/>
  <c r="AD211" i="2" s="1"/>
  <c r="Z203" i="2"/>
  <c r="AA203" i="2" s="1"/>
  <c r="AC203" i="2" s="1"/>
  <c r="AD203" i="2" s="1"/>
  <c r="Z195" i="2"/>
  <c r="AA195" i="2" s="1"/>
  <c r="AC195" i="2" s="1"/>
  <c r="AD195" i="2" s="1"/>
  <c r="Z187" i="2"/>
  <c r="AA187" i="2" s="1"/>
  <c r="AC187" i="2" s="1"/>
  <c r="AD187" i="2" s="1"/>
  <c r="Z179" i="2"/>
  <c r="AA179" i="2" s="1"/>
  <c r="AC179" i="2" s="1"/>
  <c r="AD179" i="2" s="1"/>
  <c r="Z171" i="2"/>
  <c r="AA171" i="2" s="1"/>
  <c r="AC171" i="2" s="1"/>
  <c r="AD171" i="2" s="1"/>
  <c r="Z163" i="2"/>
  <c r="AA163" i="2" s="1"/>
  <c r="AC163" i="2" s="1"/>
  <c r="AD163" i="2" s="1"/>
  <c r="Z155" i="2"/>
  <c r="AA155" i="2" s="1"/>
  <c r="AC155" i="2" s="1"/>
  <c r="AD155" i="2" s="1"/>
  <c r="Z147" i="2"/>
  <c r="AA147" i="2" s="1"/>
  <c r="AC147" i="2" s="1"/>
  <c r="AD147" i="2" s="1"/>
  <c r="Z139" i="2"/>
  <c r="AA139" i="2" s="1"/>
  <c r="AC139" i="2" s="1"/>
  <c r="AD139" i="2" s="1"/>
  <c r="Z131" i="2"/>
  <c r="AA131" i="2" s="1"/>
  <c r="AC131" i="2" s="1"/>
  <c r="AD131" i="2" s="1"/>
  <c r="Z123" i="2"/>
  <c r="AA123" i="2" s="1"/>
  <c r="AC123" i="2" s="1"/>
  <c r="AD123" i="2" s="1"/>
  <c r="Z115" i="2"/>
  <c r="AA115" i="2" s="1"/>
  <c r="AC115" i="2" s="1"/>
  <c r="AD115" i="2" s="1"/>
  <c r="Z107" i="2"/>
  <c r="AA107" i="2" s="1"/>
  <c r="AC107" i="2" s="1"/>
  <c r="AD107" i="2" s="1"/>
  <c r="Z99" i="2"/>
  <c r="AA99" i="2" s="1"/>
  <c r="AC99" i="2" s="1"/>
  <c r="AD99" i="2" s="1"/>
  <c r="Z91" i="2"/>
  <c r="AA91" i="2" s="1"/>
  <c r="AC91" i="2" s="1"/>
  <c r="AD91" i="2" s="1"/>
  <c r="Z83" i="2"/>
  <c r="AA83" i="2" s="1"/>
  <c r="AC83" i="2" s="1"/>
  <c r="AD83" i="2" s="1"/>
  <c r="Z75" i="2"/>
  <c r="AA75" i="2" s="1"/>
  <c r="AC75" i="2" s="1"/>
  <c r="AD75" i="2" s="1"/>
  <c r="Z67" i="2"/>
  <c r="AA67" i="2" s="1"/>
  <c r="AC67" i="2" s="1"/>
  <c r="AD67" i="2" s="1"/>
  <c r="Z59" i="2"/>
  <c r="AA59" i="2" s="1"/>
  <c r="AC59" i="2" s="1"/>
  <c r="AD59" i="2" s="1"/>
  <c r="Z51" i="2"/>
  <c r="AA51" i="2" s="1"/>
  <c r="AC51" i="2" s="1"/>
  <c r="AD51" i="2" s="1"/>
  <c r="Z43" i="2"/>
  <c r="AA43" i="2" s="1"/>
  <c r="Z35" i="2"/>
  <c r="AA35" i="2" s="1"/>
  <c r="AC35" i="2" s="1"/>
  <c r="AD35" i="2" s="1"/>
  <c r="Z27" i="2"/>
  <c r="AA27" i="2" s="1"/>
  <c r="AC27" i="2" s="1"/>
  <c r="AD27" i="2" s="1"/>
  <c r="Z19" i="2"/>
  <c r="AA19" i="2" s="1"/>
  <c r="AC19" i="2" s="1"/>
  <c r="AD19" i="2" s="1"/>
  <c r="Z11" i="2"/>
  <c r="AA11" i="2" s="1"/>
  <c r="Z3" i="2"/>
  <c r="AA3" i="2" s="1"/>
  <c r="AA715" i="2"/>
  <c r="AC715" i="2" s="1"/>
  <c r="AD715" i="2" s="1"/>
  <c r="AA707" i="2"/>
  <c r="AC707" i="2" s="1"/>
  <c r="AD707" i="2" s="1"/>
  <c r="AA699" i="2"/>
  <c r="AC699" i="2" s="1"/>
  <c r="AD699" i="2" s="1"/>
  <c r="AA691" i="2"/>
  <c r="AC691" i="2" s="1"/>
  <c r="AD691" i="2" s="1"/>
  <c r="AA683" i="2"/>
  <c r="AC683" i="2" s="1"/>
  <c r="AD683" i="2" s="1"/>
  <c r="Z674" i="2"/>
  <c r="AA674" i="2" s="1"/>
  <c r="AC674" i="2" s="1"/>
  <c r="AD674" i="2" s="1"/>
  <c r="Z666" i="2"/>
  <c r="AA666" i="2" s="1"/>
  <c r="AC666" i="2" s="1"/>
  <c r="AD666" i="2" s="1"/>
  <c r="Z658" i="2"/>
  <c r="AA658" i="2" s="1"/>
  <c r="AC658" i="2" s="1"/>
  <c r="AD658" i="2" s="1"/>
  <c r="Z650" i="2"/>
  <c r="AA650" i="2" s="1"/>
  <c r="AC650" i="2" s="1"/>
  <c r="AD650" i="2" s="1"/>
  <c r="Z642" i="2"/>
  <c r="AA642" i="2" s="1"/>
  <c r="AC642" i="2" s="1"/>
  <c r="AD642" i="2" s="1"/>
  <c r="Z626" i="2"/>
  <c r="AA626" i="2" s="1"/>
  <c r="AC626" i="2" s="1"/>
  <c r="AD626" i="2" s="1"/>
  <c r="Z618" i="2"/>
  <c r="AA618" i="2" s="1"/>
  <c r="AC618" i="2" s="1"/>
  <c r="AD618" i="2" s="1"/>
  <c r="Z610" i="2"/>
  <c r="AA610" i="2" s="1"/>
  <c r="AC610" i="2" s="1"/>
  <c r="AD610" i="2" s="1"/>
  <c r="Z602" i="2"/>
  <c r="AA602" i="2" s="1"/>
  <c r="AC602" i="2" s="1"/>
  <c r="AD602" i="2" s="1"/>
  <c r="Z594" i="2"/>
  <c r="AA594" i="2" s="1"/>
  <c r="AC594" i="2" s="1"/>
  <c r="AD594" i="2" s="1"/>
  <c r="Z586" i="2"/>
  <c r="AA586" i="2" s="1"/>
  <c r="AC586" i="2" s="1"/>
  <c r="AD586" i="2" s="1"/>
  <c r="Z578" i="2"/>
  <c r="AA578" i="2" s="1"/>
  <c r="AC578" i="2" s="1"/>
  <c r="AD578" i="2" s="1"/>
  <c r="Z562" i="2"/>
  <c r="AA562" i="2" s="1"/>
  <c r="AC562" i="2" s="1"/>
  <c r="AD562" i="2" s="1"/>
  <c r="Z554" i="2"/>
  <c r="AA554" i="2" s="1"/>
  <c r="AC554" i="2" s="1"/>
  <c r="AD554" i="2" s="1"/>
  <c r="Z546" i="2"/>
  <c r="AA546" i="2" s="1"/>
  <c r="AC546" i="2" s="1"/>
  <c r="AD546" i="2" s="1"/>
  <c r="Z538" i="2"/>
  <c r="AA538" i="2" s="1"/>
  <c r="AC538" i="2" s="1"/>
  <c r="AD538" i="2" s="1"/>
  <c r="Z530" i="2"/>
  <c r="AA530" i="2" s="1"/>
  <c r="AC530" i="2" s="1"/>
  <c r="AD530" i="2" s="1"/>
  <c r="Z522" i="2"/>
  <c r="AA522" i="2" s="1"/>
  <c r="AC522" i="2" s="1"/>
  <c r="AD522" i="2" s="1"/>
  <c r="Z514" i="2"/>
  <c r="AA514" i="2" s="1"/>
  <c r="AC514" i="2" s="1"/>
  <c r="AD514" i="2" s="1"/>
  <c r="Z498" i="2"/>
  <c r="AA498" i="2" s="1"/>
  <c r="AC498" i="2" s="1"/>
  <c r="AD498" i="2" s="1"/>
  <c r="Z490" i="2"/>
  <c r="AA490" i="2" s="1"/>
  <c r="AC490" i="2" s="1"/>
  <c r="AD490" i="2" s="1"/>
  <c r="Z482" i="2"/>
  <c r="AA482" i="2" s="1"/>
  <c r="AC482" i="2" s="1"/>
  <c r="AD482" i="2" s="1"/>
  <c r="Z474" i="2"/>
  <c r="AA474" i="2" s="1"/>
  <c r="AC474" i="2" s="1"/>
  <c r="AD474" i="2" s="1"/>
  <c r="Z466" i="2"/>
  <c r="AA466" i="2" s="1"/>
  <c r="AC466" i="2" s="1"/>
  <c r="AD466" i="2" s="1"/>
  <c r="Z458" i="2"/>
  <c r="AA458" i="2" s="1"/>
  <c r="AC458" i="2" s="1"/>
  <c r="AD458" i="2" s="1"/>
  <c r="Z450" i="2"/>
  <c r="AA450" i="2" s="1"/>
  <c r="AC450" i="2" s="1"/>
  <c r="AD450" i="2" s="1"/>
  <c r="Z434" i="2"/>
  <c r="AA434" i="2" s="1"/>
  <c r="AC434" i="2" s="1"/>
  <c r="AD434" i="2" s="1"/>
  <c r="Z426" i="2"/>
  <c r="AA426" i="2" s="1"/>
  <c r="AC426" i="2" s="1"/>
  <c r="AD426" i="2" s="1"/>
  <c r="Z418" i="2"/>
  <c r="AA418" i="2" s="1"/>
  <c r="AC418" i="2" s="1"/>
  <c r="AD418" i="2" s="1"/>
  <c r="Z410" i="2"/>
  <c r="AA410" i="2" s="1"/>
  <c r="AC410" i="2" s="1"/>
  <c r="AD410" i="2" s="1"/>
  <c r="Z402" i="2"/>
  <c r="AA402" i="2" s="1"/>
  <c r="AC402" i="2" s="1"/>
  <c r="AD402" i="2" s="1"/>
  <c r="Z394" i="2"/>
  <c r="AA394" i="2" s="1"/>
  <c r="AC394" i="2" s="1"/>
  <c r="AD394" i="2" s="1"/>
  <c r="Z386" i="2"/>
  <c r="AA386" i="2" s="1"/>
  <c r="AC386" i="2" s="1"/>
  <c r="AD386" i="2" s="1"/>
  <c r="Z370" i="2"/>
  <c r="AA370" i="2" s="1"/>
  <c r="AC370" i="2" s="1"/>
  <c r="AD370" i="2" s="1"/>
  <c r="Z362" i="2"/>
  <c r="AA362" i="2" s="1"/>
  <c r="AC362" i="2" s="1"/>
  <c r="AD362" i="2" s="1"/>
  <c r="Z354" i="2"/>
  <c r="AA354" i="2" s="1"/>
  <c r="AC354" i="2" s="1"/>
  <c r="AD354" i="2" s="1"/>
  <c r="Z346" i="2"/>
  <c r="AA346" i="2" s="1"/>
  <c r="AC346" i="2" s="1"/>
  <c r="AD346" i="2" s="1"/>
  <c r="Z338" i="2"/>
  <c r="AA338" i="2" s="1"/>
  <c r="AC338" i="2" s="1"/>
  <c r="AD338" i="2" s="1"/>
  <c r="Z330" i="2"/>
  <c r="AA330" i="2" s="1"/>
  <c r="AC330" i="2" s="1"/>
  <c r="AD330" i="2" s="1"/>
  <c r="Z322" i="2"/>
  <c r="AA322" i="2" s="1"/>
  <c r="AC322" i="2" s="1"/>
  <c r="AD322" i="2" s="1"/>
  <c r="Z314" i="2"/>
  <c r="AA314" i="2" s="1"/>
  <c r="AC314" i="2" s="1"/>
  <c r="AD314" i="2" s="1"/>
  <c r="Z306" i="2"/>
  <c r="AA306" i="2" s="1"/>
  <c r="AC306" i="2" s="1"/>
  <c r="AD306" i="2" s="1"/>
  <c r="Z298" i="2"/>
  <c r="AA298" i="2" s="1"/>
  <c r="AC298" i="2" s="1"/>
  <c r="AD298" i="2" s="1"/>
  <c r="Z290" i="2"/>
  <c r="AA290" i="2" s="1"/>
  <c r="AC290" i="2" s="1"/>
  <c r="AD290" i="2" s="1"/>
  <c r="Z282" i="2"/>
  <c r="AA282" i="2" s="1"/>
  <c r="AC282" i="2" s="1"/>
  <c r="AD282" i="2" s="1"/>
  <c r="Z274" i="2"/>
  <c r="AA274" i="2" s="1"/>
  <c r="AC274" i="2" s="1"/>
  <c r="AD274" i="2" s="1"/>
  <c r="Z266" i="2"/>
  <c r="AA266" i="2" s="1"/>
  <c r="AC266" i="2" s="1"/>
  <c r="AD266" i="2" s="1"/>
  <c r="Z258" i="2"/>
  <c r="AA258" i="2" s="1"/>
  <c r="AC258" i="2" s="1"/>
  <c r="AD258" i="2" s="1"/>
  <c r="Z250" i="2"/>
  <c r="AA250" i="2" s="1"/>
  <c r="AC250" i="2" s="1"/>
  <c r="AD250" i="2" s="1"/>
  <c r="Z242" i="2"/>
  <c r="AA242" i="2" s="1"/>
  <c r="AC242" i="2" s="1"/>
  <c r="AD242" i="2" s="1"/>
  <c r="Z234" i="2"/>
  <c r="AA234" i="2" s="1"/>
  <c r="AC234" i="2" s="1"/>
  <c r="AD234" i="2" s="1"/>
  <c r="Z226" i="2"/>
  <c r="AA226" i="2" s="1"/>
  <c r="AC226" i="2" s="1"/>
  <c r="AD226" i="2" s="1"/>
  <c r="Z218" i="2"/>
  <c r="AA218" i="2" s="1"/>
  <c r="AC218" i="2" s="1"/>
  <c r="AD218" i="2" s="1"/>
  <c r="Z210" i="2"/>
  <c r="AA210" i="2" s="1"/>
  <c r="AC210" i="2" s="1"/>
  <c r="AD210" i="2" s="1"/>
  <c r="Z202" i="2"/>
  <c r="AA202" i="2" s="1"/>
  <c r="AC202" i="2" s="1"/>
  <c r="AD202" i="2" s="1"/>
  <c r="Z194" i="2"/>
  <c r="AA194" i="2" s="1"/>
  <c r="AC194" i="2" s="1"/>
  <c r="AD194" i="2" s="1"/>
  <c r="Z186" i="2"/>
  <c r="AA186" i="2" s="1"/>
  <c r="AC186" i="2" s="1"/>
  <c r="AD186" i="2" s="1"/>
  <c r="Z178" i="2"/>
  <c r="AA178" i="2" s="1"/>
  <c r="AC178" i="2" s="1"/>
  <c r="AD178" i="2" s="1"/>
  <c r="Z170" i="2"/>
  <c r="AA170" i="2" s="1"/>
  <c r="AC170" i="2" s="1"/>
  <c r="AD170" i="2" s="1"/>
  <c r="Z162" i="2"/>
  <c r="AA162" i="2" s="1"/>
  <c r="AC162" i="2" s="1"/>
  <c r="AD162" i="2" s="1"/>
  <c r="Z154" i="2"/>
  <c r="AA154" i="2" s="1"/>
  <c r="AC154" i="2" s="1"/>
  <c r="AD154" i="2" s="1"/>
  <c r="Z146" i="2"/>
  <c r="AA146" i="2" s="1"/>
  <c r="AC146" i="2" s="1"/>
  <c r="AD146" i="2" s="1"/>
  <c r="Z130" i="2"/>
  <c r="AA130" i="2" s="1"/>
  <c r="AC130" i="2" s="1"/>
  <c r="AD130" i="2" s="1"/>
  <c r="Z122" i="2"/>
  <c r="AA122" i="2" s="1"/>
  <c r="AC122" i="2" s="1"/>
  <c r="AD122" i="2" s="1"/>
  <c r="Z114" i="2"/>
  <c r="AA114" i="2" s="1"/>
  <c r="AC114" i="2" s="1"/>
  <c r="AD114" i="2" s="1"/>
  <c r="Z106" i="2"/>
  <c r="AA106" i="2" s="1"/>
  <c r="AC106" i="2" s="1"/>
  <c r="AD106" i="2" s="1"/>
  <c r="Z98" i="2"/>
  <c r="AA98" i="2" s="1"/>
  <c r="AC98" i="2" s="1"/>
  <c r="AD98" i="2" s="1"/>
  <c r="Z90" i="2"/>
  <c r="AA90" i="2" s="1"/>
  <c r="AC90" i="2" s="1"/>
  <c r="AD90" i="2" s="1"/>
  <c r="Z82" i="2"/>
  <c r="AA82" i="2" s="1"/>
  <c r="AC82" i="2" s="1"/>
  <c r="AD82" i="2" s="1"/>
  <c r="AA74" i="2"/>
  <c r="AC74" i="2" s="1"/>
  <c r="AD74" i="2" s="1"/>
  <c r="Z66" i="2"/>
  <c r="AA66" i="2" s="1"/>
  <c r="AC66" i="2" s="1"/>
  <c r="AD66" i="2" s="1"/>
  <c r="Z58" i="2"/>
  <c r="AA58" i="2" s="1"/>
  <c r="AC58" i="2" s="1"/>
  <c r="AD58" i="2" s="1"/>
  <c r="Z50" i="2"/>
  <c r="AA50" i="2" s="1"/>
  <c r="AC50" i="2" s="1"/>
  <c r="AD50" i="2" s="1"/>
  <c r="Z42" i="2"/>
  <c r="AA42" i="2" s="1"/>
  <c r="AC42" i="2" s="1"/>
  <c r="AD42" i="2" s="1"/>
  <c r="Z34" i="2"/>
  <c r="AA34" i="2" s="1"/>
  <c r="AC34" i="2" s="1"/>
  <c r="AD34" i="2" s="1"/>
  <c r="Z26" i="2"/>
  <c r="AA26" i="2" s="1"/>
  <c r="AC26" i="2" s="1"/>
  <c r="AD26" i="2" s="1"/>
  <c r="Z18" i="2"/>
  <c r="AA18" i="2" s="1"/>
  <c r="AC18" i="2" s="1"/>
  <c r="AD18" i="2" s="1"/>
  <c r="Z10" i="2"/>
  <c r="AA10" i="2" s="1"/>
  <c r="AC10" i="2" s="1"/>
  <c r="AD10" i="2" s="1"/>
  <c r="Z2" i="2"/>
  <c r="AA2" i="2" s="1"/>
  <c r="Z570" i="2"/>
  <c r="AA570" i="2" s="1"/>
  <c r="AC570" i="2" s="1"/>
  <c r="AD570" i="2" s="1"/>
  <c r="Z442" i="2"/>
  <c r="AA442" i="2" s="1"/>
  <c r="AC442" i="2" s="1"/>
  <c r="AD442" i="2" s="1"/>
  <c r="AA714" i="2"/>
  <c r="AC714" i="2" s="1"/>
  <c r="AD714" i="2" s="1"/>
  <c r="AA706" i="2"/>
  <c r="AC706" i="2" s="1"/>
  <c r="AD706" i="2" s="1"/>
  <c r="AA698" i="2"/>
  <c r="AC698" i="2" s="1"/>
  <c r="AD698" i="2" s="1"/>
  <c r="AA690" i="2"/>
  <c r="AC690" i="2" s="1"/>
  <c r="AD690" i="2" s="1"/>
  <c r="AA682" i="2"/>
  <c r="AC682" i="2" s="1"/>
  <c r="AD682" i="2" s="1"/>
  <c r="Z673" i="2"/>
  <c r="AA673" i="2" s="1"/>
  <c r="AC673" i="2" s="1"/>
  <c r="AD673" i="2" s="1"/>
  <c r="Z545" i="2"/>
  <c r="AA545" i="2" s="1"/>
  <c r="AC545" i="2" s="1"/>
  <c r="AD545" i="2" s="1"/>
  <c r="Z417" i="2"/>
  <c r="AA417" i="2" s="1"/>
  <c r="AC417" i="2" s="1"/>
  <c r="AD417" i="2" s="1"/>
  <c r="AA721" i="2"/>
  <c r="AC721" i="2" s="1"/>
  <c r="AD721" i="2" s="1"/>
  <c r="AA713" i="2"/>
  <c r="AC713" i="2" s="1"/>
  <c r="AD713" i="2" s="1"/>
  <c r="AA705" i="2"/>
  <c r="AC705" i="2" s="1"/>
  <c r="AD705" i="2" s="1"/>
  <c r="AA697" i="2"/>
  <c r="AC697" i="2" s="1"/>
  <c r="AD697" i="2" s="1"/>
  <c r="AA689" i="2"/>
  <c r="AC689" i="2" s="1"/>
  <c r="AD689" i="2" s="1"/>
  <c r="AA681" i="2"/>
  <c r="AC681" i="2" s="1"/>
  <c r="AD681" i="2" s="1"/>
  <c r="AA617" i="2"/>
  <c r="AC617" i="2" s="1"/>
  <c r="AD617" i="2" s="1"/>
  <c r="AA553" i="2"/>
  <c r="AC553" i="2" s="1"/>
  <c r="AD553" i="2" s="1"/>
  <c r="AA489" i="2"/>
  <c r="AC489" i="2" s="1"/>
  <c r="AD489" i="2" s="1"/>
  <c r="AA425" i="2"/>
  <c r="AC425" i="2" s="1"/>
  <c r="AD425" i="2" s="1"/>
  <c r="AA361" i="2"/>
  <c r="AC361" i="2" s="1"/>
  <c r="AD361" i="2" s="1"/>
  <c r="AA297" i="2"/>
  <c r="AC297" i="2" s="1"/>
  <c r="AD297" i="2" s="1"/>
  <c r="AA233" i="2"/>
  <c r="AC233" i="2" s="1"/>
  <c r="AD233" i="2" s="1"/>
  <c r="AA169" i="2"/>
  <c r="AC169" i="2" s="1"/>
  <c r="AD169" i="2" s="1"/>
  <c r="AA105" i="2"/>
  <c r="AC105" i="2" s="1"/>
  <c r="AD105" i="2" s="1"/>
  <c r="AA41" i="2"/>
  <c r="AC41" i="2" s="1"/>
  <c r="AD41" i="2" s="1"/>
  <c r="Z680" i="2"/>
  <c r="AA680" i="2" s="1"/>
  <c r="AC680" i="2" s="1"/>
  <c r="AD680" i="2" s="1"/>
  <c r="Z672" i="2"/>
  <c r="AA672" i="2" s="1"/>
  <c r="AC672" i="2" s="1"/>
  <c r="AD672" i="2" s="1"/>
  <c r="Z664" i="2"/>
  <c r="AA664" i="2" s="1"/>
  <c r="AC664" i="2" s="1"/>
  <c r="AD664" i="2" s="1"/>
  <c r="Z656" i="2"/>
  <c r="AA656" i="2" s="1"/>
  <c r="AC656" i="2" s="1"/>
  <c r="AD656" i="2" s="1"/>
  <c r="Z648" i="2"/>
  <c r="AA648" i="2" s="1"/>
  <c r="AC648" i="2" s="1"/>
  <c r="AD648" i="2" s="1"/>
  <c r="Z640" i="2"/>
  <c r="AA640" i="2" s="1"/>
  <c r="AC640" i="2" s="1"/>
  <c r="AD640" i="2" s="1"/>
  <c r="Z632" i="2"/>
  <c r="AA632" i="2" s="1"/>
  <c r="AC632" i="2" s="1"/>
  <c r="AD632" i="2" s="1"/>
  <c r="Z624" i="2"/>
  <c r="AA624" i="2" s="1"/>
  <c r="AC624" i="2" s="1"/>
  <c r="AD624" i="2" s="1"/>
  <c r="Z616" i="2"/>
  <c r="AA616" i="2" s="1"/>
  <c r="AC616" i="2" s="1"/>
  <c r="AD616" i="2" s="1"/>
  <c r="Z608" i="2"/>
  <c r="AA608" i="2" s="1"/>
  <c r="AC608" i="2" s="1"/>
  <c r="AD608" i="2" s="1"/>
  <c r="Z600" i="2"/>
  <c r="AA600" i="2" s="1"/>
  <c r="AC600" i="2" s="1"/>
  <c r="AD600" i="2" s="1"/>
  <c r="Z592" i="2"/>
  <c r="AA592" i="2" s="1"/>
  <c r="AC592" i="2" s="1"/>
  <c r="AD592" i="2" s="1"/>
  <c r="Z584" i="2"/>
  <c r="AA584" i="2" s="1"/>
  <c r="AC584" i="2" s="1"/>
  <c r="AD584" i="2" s="1"/>
  <c r="Z576" i="2"/>
  <c r="AA576" i="2" s="1"/>
  <c r="AC576" i="2" s="1"/>
  <c r="AD576" i="2" s="1"/>
  <c r="Z568" i="2"/>
  <c r="AA568" i="2" s="1"/>
  <c r="AC568" i="2" s="1"/>
  <c r="AD568" i="2" s="1"/>
  <c r="Z560" i="2"/>
  <c r="AA560" i="2" s="1"/>
  <c r="AC560" i="2" s="1"/>
  <c r="AD560" i="2" s="1"/>
  <c r="Z552" i="2"/>
  <c r="AA552" i="2" s="1"/>
  <c r="AC552" i="2" s="1"/>
  <c r="AD552" i="2" s="1"/>
  <c r="Z544" i="2"/>
  <c r="AA544" i="2" s="1"/>
  <c r="AC544" i="2" s="1"/>
  <c r="AD544" i="2" s="1"/>
  <c r="Z536" i="2"/>
  <c r="AA536" i="2" s="1"/>
  <c r="AC536" i="2" s="1"/>
  <c r="AD536" i="2" s="1"/>
  <c r="Z528" i="2"/>
  <c r="AA528" i="2" s="1"/>
  <c r="AC528" i="2" s="1"/>
  <c r="AD528" i="2" s="1"/>
  <c r="Z520" i="2"/>
  <c r="AA520" i="2" s="1"/>
  <c r="AC520" i="2" s="1"/>
  <c r="AD520" i="2" s="1"/>
  <c r="Z512" i="2"/>
  <c r="AA512" i="2" s="1"/>
  <c r="AC512" i="2" s="1"/>
  <c r="AD512" i="2" s="1"/>
  <c r="Z504" i="2"/>
  <c r="AA504" i="2" s="1"/>
  <c r="AC504" i="2" s="1"/>
  <c r="AD504" i="2" s="1"/>
  <c r="Z496" i="2"/>
  <c r="AA496" i="2" s="1"/>
  <c r="AC496" i="2" s="1"/>
  <c r="AD496" i="2" s="1"/>
  <c r="Z488" i="2"/>
  <c r="AA488" i="2" s="1"/>
  <c r="AC488" i="2" s="1"/>
  <c r="AD488" i="2" s="1"/>
  <c r="Z480" i="2"/>
  <c r="AA480" i="2" s="1"/>
  <c r="AC480" i="2" s="1"/>
  <c r="AD480" i="2" s="1"/>
  <c r="Z472" i="2"/>
  <c r="AA472" i="2" s="1"/>
  <c r="AC472" i="2" s="1"/>
  <c r="AD472" i="2" s="1"/>
  <c r="Z464" i="2"/>
  <c r="AA464" i="2" s="1"/>
  <c r="AC464" i="2" s="1"/>
  <c r="AD464" i="2" s="1"/>
  <c r="Z456" i="2"/>
  <c r="AA456" i="2" s="1"/>
  <c r="AC456" i="2" s="1"/>
  <c r="AD456" i="2" s="1"/>
  <c r="Z448" i="2"/>
  <c r="AA448" i="2" s="1"/>
  <c r="AC448" i="2" s="1"/>
  <c r="AD448" i="2" s="1"/>
  <c r="Z440" i="2"/>
  <c r="AA440" i="2" s="1"/>
  <c r="AC440" i="2" s="1"/>
  <c r="AD440" i="2" s="1"/>
  <c r="Z432" i="2"/>
  <c r="AA432" i="2" s="1"/>
  <c r="AC432" i="2" s="1"/>
  <c r="AD432" i="2" s="1"/>
  <c r="Z424" i="2"/>
  <c r="AA424" i="2" s="1"/>
  <c r="AC424" i="2" s="1"/>
  <c r="AD424" i="2" s="1"/>
  <c r="Z416" i="2"/>
  <c r="AA416" i="2" s="1"/>
  <c r="AC416" i="2" s="1"/>
  <c r="AD416" i="2" s="1"/>
  <c r="Z408" i="2"/>
  <c r="AA408" i="2" s="1"/>
  <c r="AC408" i="2" s="1"/>
  <c r="AD408" i="2" s="1"/>
  <c r="Z400" i="2"/>
  <c r="AA400" i="2" s="1"/>
  <c r="AC400" i="2" s="1"/>
  <c r="AD400" i="2" s="1"/>
  <c r="Z392" i="2"/>
  <c r="AA392" i="2" s="1"/>
  <c r="AC392" i="2" s="1"/>
  <c r="AD392" i="2" s="1"/>
  <c r="Z384" i="2"/>
  <c r="AA384" i="2" s="1"/>
  <c r="AC384" i="2" s="1"/>
  <c r="AD384" i="2" s="1"/>
  <c r="Z376" i="2"/>
  <c r="AA376" i="2" s="1"/>
  <c r="AC376" i="2" s="1"/>
  <c r="AD376" i="2" s="1"/>
  <c r="Z368" i="2"/>
  <c r="AA368" i="2" s="1"/>
  <c r="AC368" i="2" s="1"/>
  <c r="AD368" i="2" s="1"/>
  <c r="Z360" i="2"/>
  <c r="AA360" i="2" s="1"/>
  <c r="AC360" i="2" s="1"/>
  <c r="AD360" i="2" s="1"/>
  <c r="Z352" i="2"/>
  <c r="AA352" i="2" s="1"/>
  <c r="AC352" i="2" s="1"/>
  <c r="AD352" i="2" s="1"/>
  <c r="Z344" i="2"/>
  <c r="AA344" i="2" s="1"/>
  <c r="AC344" i="2" s="1"/>
  <c r="AD344" i="2" s="1"/>
  <c r="Z336" i="2"/>
  <c r="AA336" i="2" s="1"/>
  <c r="AC336" i="2" s="1"/>
  <c r="AD336" i="2" s="1"/>
  <c r="Z328" i="2"/>
  <c r="AA328" i="2" s="1"/>
  <c r="AC328" i="2" s="1"/>
  <c r="AD328" i="2" s="1"/>
  <c r="Z320" i="2"/>
  <c r="AA320" i="2" s="1"/>
  <c r="AC320" i="2" s="1"/>
  <c r="AD320" i="2" s="1"/>
  <c r="Z312" i="2"/>
  <c r="AA312" i="2" s="1"/>
  <c r="AC312" i="2" s="1"/>
  <c r="AD312" i="2" s="1"/>
  <c r="Z304" i="2"/>
  <c r="AA304" i="2" s="1"/>
  <c r="AC304" i="2" s="1"/>
  <c r="AD304" i="2" s="1"/>
  <c r="Z296" i="2"/>
  <c r="AA296" i="2" s="1"/>
  <c r="AC296" i="2" s="1"/>
  <c r="AD296" i="2" s="1"/>
  <c r="Z288" i="2"/>
  <c r="AA288" i="2" s="1"/>
  <c r="AC288" i="2" s="1"/>
  <c r="AD288" i="2" s="1"/>
  <c r="Z280" i="2"/>
  <c r="AA280" i="2" s="1"/>
  <c r="AC280" i="2" s="1"/>
  <c r="AD280" i="2" s="1"/>
  <c r="Z272" i="2"/>
  <c r="AA272" i="2" s="1"/>
  <c r="AC272" i="2" s="1"/>
  <c r="AD272" i="2" s="1"/>
  <c r="Z264" i="2"/>
  <c r="AA264" i="2" s="1"/>
  <c r="AC264" i="2" s="1"/>
  <c r="AD264" i="2" s="1"/>
  <c r="Z256" i="2"/>
  <c r="AA256" i="2" s="1"/>
  <c r="AC256" i="2" s="1"/>
  <c r="AD256" i="2" s="1"/>
  <c r="Z248" i="2"/>
  <c r="AA248" i="2" s="1"/>
  <c r="AC248" i="2" s="1"/>
  <c r="AD248" i="2" s="1"/>
  <c r="Z240" i="2"/>
  <c r="AA240" i="2" s="1"/>
  <c r="AC240" i="2" s="1"/>
  <c r="AD240" i="2" s="1"/>
  <c r="Z232" i="2"/>
  <c r="AA232" i="2" s="1"/>
  <c r="AC232" i="2" s="1"/>
  <c r="AD232" i="2" s="1"/>
  <c r="Z224" i="2"/>
  <c r="AA224" i="2" s="1"/>
  <c r="AC224" i="2" s="1"/>
  <c r="AD224" i="2" s="1"/>
  <c r="Z216" i="2"/>
  <c r="AA216" i="2" s="1"/>
  <c r="AC216" i="2" s="1"/>
  <c r="AD216" i="2" s="1"/>
  <c r="Z208" i="2"/>
  <c r="AA208" i="2" s="1"/>
  <c r="AC208" i="2" s="1"/>
  <c r="AD208" i="2" s="1"/>
  <c r="Z200" i="2"/>
  <c r="AA200" i="2" s="1"/>
  <c r="AC200" i="2" s="1"/>
  <c r="AD200" i="2" s="1"/>
  <c r="Z192" i="2"/>
  <c r="AA192" i="2" s="1"/>
  <c r="AC192" i="2" s="1"/>
  <c r="AD192" i="2" s="1"/>
  <c r="Z184" i="2"/>
  <c r="AA184" i="2" s="1"/>
  <c r="AC184" i="2" s="1"/>
  <c r="AD184" i="2" s="1"/>
  <c r="Z176" i="2"/>
  <c r="AA176" i="2" s="1"/>
  <c r="AC176" i="2" s="1"/>
  <c r="AD176" i="2" s="1"/>
  <c r="Z168" i="2"/>
  <c r="AA168" i="2" s="1"/>
  <c r="AC168" i="2" s="1"/>
  <c r="AD168" i="2" s="1"/>
  <c r="Z160" i="2"/>
  <c r="AA160" i="2" s="1"/>
  <c r="AC160" i="2" s="1"/>
  <c r="AD160" i="2" s="1"/>
  <c r="Z152" i="2"/>
  <c r="AA152" i="2" s="1"/>
  <c r="AC152" i="2" s="1"/>
  <c r="AD152" i="2" s="1"/>
  <c r="Z144" i="2"/>
  <c r="AA144" i="2" s="1"/>
  <c r="AC144" i="2" s="1"/>
  <c r="AD144" i="2" s="1"/>
  <c r="Z136" i="2"/>
  <c r="AA136" i="2" s="1"/>
  <c r="AC136" i="2" s="1"/>
  <c r="AD136" i="2" s="1"/>
  <c r="Z128" i="2"/>
  <c r="AA128" i="2" s="1"/>
  <c r="AC128" i="2" s="1"/>
  <c r="AD128" i="2" s="1"/>
  <c r="Z120" i="2"/>
  <c r="AA120" i="2" s="1"/>
  <c r="AC120" i="2" s="1"/>
  <c r="AD120" i="2" s="1"/>
  <c r="Z112" i="2"/>
  <c r="AA112" i="2" s="1"/>
  <c r="AC112" i="2" s="1"/>
  <c r="AD112" i="2" s="1"/>
  <c r="Z104" i="2"/>
  <c r="AA104" i="2" s="1"/>
  <c r="AC104" i="2" s="1"/>
  <c r="AD104" i="2" s="1"/>
  <c r="Z96" i="2"/>
  <c r="AA96" i="2" s="1"/>
  <c r="AC96" i="2" s="1"/>
  <c r="AD96" i="2" s="1"/>
  <c r="Z88" i="2"/>
  <c r="AA88" i="2" s="1"/>
  <c r="AC88" i="2" s="1"/>
  <c r="AD88" i="2" s="1"/>
  <c r="Z80" i="2"/>
  <c r="AA80" i="2" s="1"/>
  <c r="AC80" i="2" s="1"/>
  <c r="AD80" i="2" s="1"/>
  <c r="Z72" i="2"/>
  <c r="AA72" i="2" s="1"/>
  <c r="AC72" i="2" s="1"/>
  <c r="AD72" i="2" s="1"/>
  <c r="Z64" i="2"/>
  <c r="AA64" i="2" s="1"/>
  <c r="AC64" i="2" s="1"/>
  <c r="AD64" i="2" s="1"/>
  <c r="Z56" i="2"/>
  <c r="AA56" i="2" s="1"/>
  <c r="AC56" i="2" s="1"/>
  <c r="AD56" i="2" s="1"/>
  <c r="Z48" i="2"/>
  <c r="AA48" i="2" s="1"/>
  <c r="AC48" i="2" s="1"/>
  <c r="AD48" i="2" s="1"/>
  <c r="Z40" i="2"/>
  <c r="AA40" i="2" s="1"/>
  <c r="AC40" i="2" s="1"/>
  <c r="AD40" i="2" s="1"/>
  <c r="Z32" i="2"/>
  <c r="AA32" i="2" s="1"/>
  <c r="Z24" i="2"/>
  <c r="AA24" i="2" s="1"/>
  <c r="AC24" i="2" s="1"/>
  <c r="AD24" i="2" s="1"/>
  <c r="Z16" i="2"/>
  <c r="AA16" i="2" s="1"/>
  <c r="Z8" i="2"/>
  <c r="AA8" i="2" s="1"/>
  <c r="AC8" i="2" s="1"/>
  <c r="AD8" i="2" s="1"/>
  <c r="Z659" i="2"/>
  <c r="AA659" i="2" s="1"/>
  <c r="AC659" i="2" s="1"/>
  <c r="AD659" i="2" s="1"/>
  <c r="Z531" i="2"/>
  <c r="AA531" i="2" s="1"/>
  <c r="AC531" i="2" s="1"/>
  <c r="AD531" i="2" s="1"/>
  <c r="Z403" i="2"/>
  <c r="AA403" i="2" s="1"/>
  <c r="AC403" i="2" s="1"/>
  <c r="AD403" i="2" s="1"/>
  <c r="AA720" i="2"/>
  <c r="AC720" i="2" s="1"/>
  <c r="AD720" i="2" s="1"/>
  <c r="AA712" i="2"/>
  <c r="AC712" i="2" s="1"/>
  <c r="AD712" i="2" s="1"/>
  <c r="AA704" i="2"/>
  <c r="AC704" i="2" s="1"/>
  <c r="AD704" i="2" s="1"/>
  <c r="AA696" i="2"/>
  <c r="AC696" i="2" s="1"/>
  <c r="AD696" i="2" s="1"/>
  <c r="AA688" i="2"/>
  <c r="AC688" i="2" s="1"/>
  <c r="AD688" i="2" s="1"/>
  <c r="AA609" i="2"/>
  <c r="AC609" i="2" s="1"/>
  <c r="AD609" i="2" s="1"/>
  <c r="AA481" i="2"/>
  <c r="AC481" i="2" s="1"/>
  <c r="AD481" i="2" s="1"/>
  <c r="AA353" i="2"/>
  <c r="AC353" i="2" s="1"/>
  <c r="AD353" i="2" s="1"/>
  <c r="AA289" i="2"/>
  <c r="AC289" i="2" s="1"/>
  <c r="AD289" i="2" s="1"/>
  <c r="AA225" i="2"/>
  <c r="AC225" i="2" s="1"/>
  <c r="AD225" i="2" s="1"/>
  <c r="AA161" i="2"/>
  <c r="AC161" i="2" s="1"/>
  <c r="AD161" i="2" s="1"/>
  <c r="AA97" i="2"/>
  <c r="AC97" i="2" s="1"/>
  <c r="AD97" i="2" s="1"/>
  <c r="AA33" i="2"/>
  <c r="Z679" i="2"/>
  <c r="AA679" i="2" s="1"/>
  <c r="AC679" i="2" s="1"/>
  <c r="AD679" i="2" s="1"/>
  <c r="Z671" i="2"/>
  <c r="AA671" i="2" s="1"/>
  <c r="AC671" i="2" s="1"/>
  <c r="AD671" i="2" s="1"/>
  <c r="Z663" i="2"/>
  <c r="AA663" i="2" s="1"/>
  <c r="AC663" i="2" s="1"/>
  <c r="AD663" i="2" s="1"/>
  <c r="Z655" i="2"/>
  <c r="AA655" i="2" s="1"/>
  <c r="AC655" i="2" s="1"/>
  <c r="AD655" i="2" s="1"/>
  <c r="Z639" i="2"/>
  <c r="AA639" i="2" s="1"/>
  <c r="AC639" i="2" s="1"/>
  <c r="AD639" i="2" s="1"/>
  <c r="Z631" i="2"/>
  <c r="AA631" i="2" s="1"/>
  <c r="AC631" i="2" s="1"/>
  <c r="AD631" i="2" s="1"/>
  <c r="Z623" i="2"/>
  <c r="AA623" i="2" s="1"/>
  <c r="AC623" i="2" s="1"/>
  <c r="AD623" i="2" s="1"/>
  <c r="Z615" i="2"/>
  <c r="AA615" i="2" s="1"/>
  <c r="AC615" i="2" s="1"/>
  <c r="AD615" i="2" s="1"/>
  <c r="Z607" i="2"/>
  <c r="AA607" i="2" s="1"/>
  <c r="AC607" i="2" s="1"/>
  <c r="AD607" i="2" s="1"/>
  <c r="Z599" i="2"/>
  <c r="AA599" i="2" s="1"/>
  <c r="AC599" i="2" s="1"/>
  <c r="AD599" i="2" s="1"/>
  <c r="Z591" i="2"/>
  <c r="AA591" i="2" s="1"/>
  <c r="AC591" i="2" s="1"/>
  <c r="AD591" i="2" s="1"/>
  <c r="AA583" i="2"/>
  <c r="AC583" i="2" s="1"/>
  <c r="AD583" i="2" s="1"/>
  <c r="Z575" i="2"/>
  <c r="AA575" i="2" s="1"/>
  <c r="AC575" i="2" s="1"/>
  <c r="AD575" i="2" s="1"/>
  <c r="Z567" i="2"/>
  <c r="AA567" i="2" s="1"/>
  <c r="AC567" i="2" s="1"/>
  <c r="AD567" i="2" s="1"/>
  <c r="Z559" i="2"/>
  <c r="AA559" i="2" s="1"/>
  <c r="AC559" i="2" s="1"/>
  <c r="AD559" i="2" s="1"/>
  <c r="Z551" i="2"/>
  <c r="AA551" i="2" s="1"/>
  <c r="AC551" i="2" s="1"/>
  <c r="AD551" i="2" s="1"/>
  <c r="Z543" i="2"/>
  <c r="AA543" i="2" s="1"/>
  <c r="AC543" i="2" s="1"/>
  <c r="AD543" i="2" s="1"/>
  <c r="Z535" i="2"/>
  <c r="AA535" i="2" s="1"/>
  <c r="AC535" i="2" s="1"/>
  <c r="AD535" i="2" s="1"/>
  <c r="Z527" i="2"/>
  <c r="AA527" i="2" s="1"/>
  <c r="AC527" i="2" s="1"/>
  <c r="AD527" i="2" s="1"/>
  <c r="Z511" i="2"/>
  <c r="AA511" i="2" s="1"/>
  <c r="AC511" i="2" s="1"/>
  <c r="AD511" i="2" s="1"/>
  <c r="Z503" i="2"/>
  <c r="AA503" i="2" s="1"/>
  <c r="AC503" i="2" s="1"/>
  <c r="AD503" i="2" s="1"/>
  <c r="Z495" i="2"/>
  <c r="AA495" i="2" s="1"/>
  <c r="AC495" i="2" s="1"/>
  <c r="AD495" i="2" s="1"/>
  <c r="Z487" i="2"/>
  <c r="AA487" i="2" s="1"/>
  <c r="AC487" i="2" s="1"/>
  <c r="AD487" i="2" s="1"/>
  <c r="Z479" i="2"/>
  <c r="AA479" i="2" s="1"/>
  <c r="AC479" i="2" s="1"/>
  <c r="AD479" i="2" s="1"/>
  <c r="Z471" i="2"/>
  <c r="AA471" i="2" s="1"/>
  <c r="AC471" i="2" s="1"/>
  <c r="AD471" i="2" s="1"/>
  <c r="Z463" i="2"/>
  <c r="AA463" i="2" s="1"/>
  <c r="AC463" i="2" s="1"/>
  <c r="AD463" i="2" s="1"/>
  <c r="AA455" i="2"/>
  <c r="AC455" i="2" s="1"/>
  <c r="AD455" i="2" s="1"/>
  <c r="Z447" i="2"/>
  <c r="AA447" i="2" s="1"/>
  <c r="AC447" i="2" s="1"/>
  <c r="AD447" i="2" s="1"/>
  <c r="Z439" i="2"/>
  <c r="AA439" i="2" s="1"/>
  <c r="AC439" i="2" s="1"/>
  <c r="AD439" i="2" s="1"/>
  <c r="Z431" i="2"/>
  <c r="AA431" i="2" s="1"/>
  <c r="AC431" i="2" s="1"/>
  <c r="AD431" i="2" s="1"/>
  <c r="Z423" i="2"/>
  <c r="AA423" i="2" s="1"/>
  <c r="AC423" i="2" s="1"/>
  <c r="AD423" i="2" s="1"/>
  <c r="Z415" i="2"/>
  <c r="AA415" i="2" s="1"/>
  <c r="AC415" i="2" s="1"/>
  <c r="AD415" i="2" s="1"/>
  <c r="Z407" i="2"/>
  <c r="AA407" i="2" s="1"/>
  <c r="AC407" i="2" s="1"/>
  <c r="AD407" i="2" s="1"/>
  <c r="Z399" i="2"/>
  <c r="AA399" i="2" s="1"/>
  <c r="AC399" i="2" s="1"/>
  <c r="AD399" i="2" s="1"/>
  <c r="Z383" i="2"/>
  <c r="AA383" i="2" s="1"/>
  <c r="AC383" i="2" s="1"/>
  <c r="AD383" i="2" s="1"/>
  <c r="Z375" i="2"/>
  <c r="AA375" i="2" s="1"/>
  <c r="AC375" i="2" s="1"/>
  <c r="AD375" i="2" s="1"/>
  <c r="Z367" i="2"/>
  <c r="AA367" i="2" s="1"/>
  <c r="AC367" i="2" s="1"/>
  <c r="AD367" i="2" s="1"/>
  <c r="Z359" i="2"/>
  <c r="AA359" i="2" s="1"/>
  <c r="AC359" i="2" s="1"/>
  <c r="AD359" i="2" s="1"/>
  <c r="Z351" i="2"/>
  <c r="AA351" i="2" s="1"/>
  <c r="AC351" i="2" s="1"/>
  <c r="AD351" i="2" s="1"/>
  <c r="Z343" i="2"/>
  <c r="AA343" i="2" s="1"/>
  <c r="AC343" i="2" s="1"/>
  <c r="AD343" i="2" s="1"/>
  <c r="Z335" i="2"/>
  <c r="AA335" i="2" s="1"/>
  <c r="AC335" i="2" s="1"/>
  <c r="AD335" i="2" s="1"/>
  <c r="Z327" i="2"/>
  <c r="AA327" i="2" s="1"/>
  <c r="AC327" i="2" s="1"/>
  <c r="AD327" i="2" s="1"/>
  <c r="Z319" i="2"/>
  <c r="AA319" i="2" s="1"/>
  <c r="AC319" i="2" s="1"/>
  <c r="AD319" i="2" s="1"/>
  <c r="Z311" i="2"/>
  <c r="AA311" i="2" s="1"/>
  <c r="AC311" i="2" s="1"/>
  <c r="AD311" i="2" s="1"/>
  <c r="Z303" i="2"/>
  <c r="AA303" i="2" s="1"/>
  <c r="AC303" i="2" s="1"/>
  <c r="AD303" i="2" s="1"/>
  <c r="Z295" i="2"/>
  <c r="AA295" i="2" s="1"/>
  <c r="AC295" i="2" s="1"/>
  <c r="AD295" i="2" s="1"/>
  <c r="Z287" i="2"/>
  <c r="AA287" i="2" s="1"/>
  <c r="AC287" i="2" s="1"/>
  <c r="AD287" i="2" s="1"/>
  <c r="Z279" i="2"/>
  <c r="AA279" i="2" s="1"/>
  <c r="AC279" i="2" s="1"/>
  <c r="AD279" i="2" s="1"/>
  <c r="Z271" i="2"/>
  <c r="AA271" i="2" s="1"/>
  <c r="AC271" i="2" s="1"/>
  <c r="AD271" i="2" s="1"/>
  <c r="Z263" i="2"/>
  <c r="AA263" i="2" s="1"/>
  <c r="AC263" i="2" s="1"/>
  <c r="AD263" i="2" s="1"/>
  <c r="Z255" i="2"/>
  <c r="AA255" i="2" s="1"/>
  <c r="AC255" i="2" s="1"/>
  <c r="AD255" i="2" s="1"/>
  <c r="Z247" i="2"/>
  <c r="AA247" i="2" s="1"/>
  <c r="AC247" i="2" s="1"/>
  <c r="AD247" i="2" s="1"/>
  <c r="Z239" i="2"/>
  <c r="AA239" i="2" s="1"/>
  <c r="AC239" i="2" s="1"/>
  <c r="AD239" i="2" s="1"/>
  <c r="Z231" i="2"/>
  <c r="AA231" i="2" s="1"/>
  <c r="AC231" i="2" s="1"/>
  <c r="AD231" i="2" s="1"/>
  <c r="Z223" i="2"/>
  <c r="AA223" i="2" s="1"/>
  <c r="AC223" i="2" s="1"/>
  <c r="AD223" i="2" s="1"/>
  <c r="Z215" i="2"/>
  <c r="AA215" i="2" s="1"/>
  <c r="AC215" i="2" s="1"/>
  <c r="AD215" i="2" s="1"/>
  <c r="Z207" i="2"/>
  <c r="AA207" i="2" s="1"/>
  <c r="AC207" i="2" s="1"/>
  <c r="AD207" i="2" s="1"/>
  <c r="Z199" i="2"/>
  <c r="AA199" i="2" s="1"/>
  <c r="AC199" i="2" s="1"/>
  <c r="AD199" i="2" s="1"/>
  <c r="Z191" i="2"/>
  <c r="AA191" i="2" s="1"/>
  <c r="AC191" i="2" s="1"/>
  <c r="AD191" i="2" s="1"/>
  <c r="Z183" i="2"/>
  <c r="AA183" i="2" s="1"/>
  <c r="AC183" i="2" s="1"/>
  <c r="AD183" i="2" s="1"/>
  <c r="Z175" i="2"/>
  <c r="AA175" i="2" s="1"/>
  <c r="AC175" i="2" s="1"/>
  <c r="AD175" i="2" s="1"/>
  <c r="Z167" i="2"/>
  <c r="AA167" i="2" s="1"/>
  <c r="AC167" i="2" s="1"/>
  <c r="AD167" i="2" s="1"/>
  <c r="Z159" i="2"/>
  <c r="AA159" i="2" s="1"/>
  <c r="AC159" i="2" s="1"/>
  <c r="AD159" i="2" s="1"/>
  <c r="Z151" i="2"/>
  <c r="AA151" i="2" s="1"/>
  <c r="AC151" i="2" s="1"/>
  <c r="AD151" i="2" s="1"/>
  <c r="Z143" i="2"/>
  <c r="AA143" i="2" s="1"/>
  <c r="AC143" i="2" s="1"/>
  <c r="AD143" i="2" s="1"/>
  <c r="Z135" i="2"/>
  <c r="AA135" i="2" s="1"/>
  <c r="AC135" i="2" s="1"/>
  <c r="AD135" i="2" s="1"/>
  <c r="Z127" i="2"/>
  <c r="AA127" i="2" s="1"/>
  <c r="AC127" i="2" s="1"/>
  <c r="AD127" i="2" s="1"/>
  <c r="Z119" i="2"/>
  <c r="AA119" i="2" s="1"/>
  <c r="AC119" i="2" s="1"/>
  <c r="AD119" i="2" s="1"/>
  <c r="Z111" i="2"/>
  <c r="AA111" i="2" s="1"/>
  <c r="AC111" i="2" s="1"/>
  <c r="AD111" i="2" s="1"/>
  <c r="Z103" i="2"/>
  <c r="AA103" i="2" s="1"/>
  <c r="AC103" i="2" s="1"/>
  <c r="AD103" i="2" s="1"/>
  <c r="AA95" i="2"/>
  <c r="AC95" i="2" s="1"/>
  <c r="AD95" i="2" s="1"/>
  <c r="Z87" i="2"/>
  <c r="AA87" i="2" s="1"/>
  <c r="AC87" i="2" s="1"/>
  <c r="AD87" i="2" s="1"/>
  <c r="Z79" i="2"/>
  <c r="AA79" i="2" s="1"/>
  <c r="AC79" i="2" s="1"/>
  <c r="AD79" i="2" s="1"/>
  <c r="Z71" i="2"/>
  <c r="AA71" i="2" s="1"/>
  <c r="AC71" i="2" s="1"/>
  <c r="AD71" i="2" s="1"/>
  <c r="Z63" i="2"/>
  <c r="AA63" i="2" s="1"/>
  <c r="AC63" i="2" s="1"/>
  <c r="AD63" i="2" s="1"/>
  <c r="Z55" i="2"/>
  <c r="AA55" i="2" s="1"/>
  <c r="AC55" i="2" s="1"/>
  <c r="AD55" i="2" s="1"/>
  <c r="Z47" i="2"/>
  <c r="AA47" i="2" s="1"/>
  <c r="AC47" i="2" s="1"/>
  <c r="AD47" i="2" s="1"/>
  <c r="Z39" i="2"/>
  <c r="AA39" i="2" s="1"/>
  <c r="AC39" i="2" s="1"/>
  <c r="AD39" i="2" s="1"/>
  <c r="AA31" i="2"/>
  <c r="AC31" i="2" s="1"/>
  <c r="AD31" i="2" s="1"/>
  <c r="Z23" i="2"/>
  <c r="AA23" i="2" s="1"/>
  <c r="AC23" i="2" s="1"/>
  <c r="AD23" i="2" s="1"/>
  <c r="Z15" i="2"/>
  <c r="AA15" i="2" s="1"/>
  <c r="AC15" i="2" s="1"/>
  <c r="AD15" i="2" s="1"/>
  <c r="Z7" i="2"/>
  <c r="AA7" i="2" s="1"/>
  <c r="Z647" i="2"/>
  <c r="AA647" i="2" s="1"/>
  <c r="AC647" i="2" s="1"/>
  <c r="AD647" i="2" s="1"/>
  <c r="Z519" i="2"/>
  <c r="AA519" i="2" s="1"/>
  <c r="AC519" i="2" s="1"/>
  <c r="AD519" i="2" s="1"/>
  <c r="Z391" i="2"/>
  <c r="AA391" i="2" s="1"/>
  <c r="AC391" i="2" s="1"/>
  <c r="AD391" i="2" s="1"/>
  <c r="AA719" i="2"/>
  <c r="AC719" i="2" s="1"/>
  <c r="AD719" i="2" s="1"/>
  <c r="AA711" i="2"/>
  <c r="AC711" i="2" s="1"/>
  <c r="AD711" i="2" s="1"/>
  <c r="AA703" i="2"/>
  <c r="AC703" i="2" s="1"/>
  <c r="AD703" i="2" s="1"/>
  <c r="AA695" i="2"/>
  <c r="AC695" i="2" s="1"/>
  <c r="AD695" i="2" s="1"/>
  <c r="AA687" i="2"/>
  <c r="AC687" i="2" s="1"/>
  <c r="AD687" i="2" s="1"/>
  <c r="AA665" i="2"/>
  <c r="AC665" i="2" s="1"/>
  <c r="AD665" i="2" s="1"/>
  <c r="AA601" i="2"/>
  <c r="AC601" i="2" s="1"/>
  <c r="AD601" i="2" s="1"/>
  <c r="AA537" i="2"/>
  <c r="AC537" i="2" s="1"/>
  <c r="AD537" i="2" s="1"/>
  <c r="AA473" i="2"/>
  <c r="AC473" i="2" s="1"/>
  <c r="AD473" i="2" s="1"/>
  <c r="AA409" i="2"/>
  <c r="AC409" i="2" s="1"/>
  <c r="AD409" i="2" s="1"/>
  <c r="AA345" i="2"/>
  <c r="AC345" i="2" s="1"/>
  <c r="AD345" i="2" s="1"/>
  <c r="AA281" i="2"/>
  <c r="AC281" i="2" s="1"/>
  <c r="AD281" i="2" s="1"/>
  <c r="AA217" i="2"/>
  <c r="AC217" i="2" s="1"/>
  <c r="AD217" i="2" s="1"/>
  <c r="AA153" i="2"/>
  <c r="AC153" i="2" s="1"/>
  <c r="AD153" i="2" s="1"/>
  <c r="AA89" i="2"/>
  <c r="AC89" i="2" s="1"/>
  <c r="AD89" i="2" s="1"/>
  <c r="AA25" i="2"/>
  <c r="AC25" i="2" s="1"/>
  <c r="AD25" i="2" s="1"/>
  <c r="Z678" i="2"/>
  <c r="AA678" i="2" s="1"/>
  <c r="AC678" i="2" s="1"/>
  <c r="AD678" i="2" s="1"/>
  <c r="Z670" i="2"/>
  <c r="AA670" i="2" s="1"/>
  <c r="AC670" i="2" s="1"/>
  <c r="AD670" i="2" s="1"/>
  <c r="Z662" i="2"/>
  <c r="AA662" i="2" s="1"/>
  <c r="AC662" i="2" s="1"/>
  <c r="AD662" i="2" s="1"/>
  <c r="Z654" i="2"/>
  <c r="AA654" i="2" s="1"/>
  <c r="AC654" i="2" s="1"/>
  <c r="AD654" i="2" s="1"/>
  <c r="Z646" i="2"/>
  <c r="AA646" i="2" s="1"/>
  <c r="AC646" i="2" s="1"/>
  <c r="AD646" i="2" s="1"/>
  <c r="Z638" i="2"/>
  <c r="AA638" i="2" s="1"/>
  <c r="AC638" i="2" s="1"/>
  <c r="AD638" i="2" s="1"/>
  <c r="Z630" i="2"/>
  <c r="AA630" i="2" s="1"/>
  <c r="AC630" i="2" s="1"/>
  <c r="AD630" i="2" s="1"/>
  <c r="Z622" i="2"/>
  <c r="AA622" i="2" s="1"/>
  <c r="AC622" i="2" s="1"/>
  <c r="AD622" i="2" s="1"/>
  <c r="Z614" i="2"/>
  <c r="AA614" i="2" s="1"/>
  <c r="AC614" i="2" s="1"/>
  <c r="AD614" i="2" s="1"/>
  <c r="Z606" i="2"/>
  <c r="AA606" i="2" s="1"/>
  <c r="AC606" i="2" s="1"/>
  <c r="AD606" i="2" s="1"/>
  <c r="Z598" i="2"/>
  <c r="AA598" i="2" s="1"/>
  <c r="AC598" i="2" s="1"/>
  <c r="AD598" i="2" s="1"/>
  <c r="Z590" i="2"/>
  <c r="AA590" i="2" s="1"/>
  <c r="AC590" i="2" s="1"/>
  <c r="AD590" i="2" s="1"/>
  <c r="Z582" i="2"/>
  <c r="AA582" i="2" s="1"/>
  <c r="AC582" i="2" s="1"/>
  <c r="AD582" i="2" s="1"/>
  <c r="Z574" i="2"/>
  <c r="AA574" i="2" s="1"/>
  <c r="AC574" i="2" s="1"/>
  <c r="AD574" i="2" s="1"/>
  <c r="Z566" i="2"/>
  <c r="AA566" i="2" s="1"/>
  <c r="AC566" i="2" s="1"/>
  <c r="AD566" i="2" s="1"/>
  <c r="Z558" i="2"/>
  <c r="AA558" i="2" s="1"/>
  <c r="AC558" i="2" s="1"/>
  <c r="AD558" i="2" s="1"/>
  <c r="Z550" i="2"/>
  <c r="AA550" i="2" s="1"/>
  <c r="AC550" i="2" s="1"/>
  <c r="AD550" i="2" s="1"/>
  <c r="Z542" i="2"/>
  <c r="AA542" i="2" s="1"/>
  <c r="AC542" i="2" s="1"/>
  <c r="AD542" i="2" s="1"/>
  <c r="Z534" i="2"/>
  <c r="AA534" i="2" s="1"/>
  <c r="AC534" i="2" s="1"/>
  <c r="AD534" i="2" s="1"/>
  <c r="Z526" i="2"/>
  <c r="AA526" i="2" s="1"/>
  <c r="AC526" i="2" s="1"/>
  <c r="AD526" i="2" s="1"/>
  <c r="Z518" i="2"/>
  <c r="AA518" i="2" s="1"/>
  <c r="AC518" i="2" s="1"/>
  <c r="AD518" i="2" s="1"/>
  <c r="Z510" i="2"/>
  <c r="AA510" i="2" s="1"/>
  <c r="AC510" i="2" s="1"/>
  <c r="AD510" i="2" s="1"/>
  <c r="Z502" i="2"/>
  <c r="AA502" i="2" s="1"/>
  <c r="AC502" i="2" s="1"/>
  <c r="AD502" i="2" s="1"/>
  <c r="Z494" i="2"/>
  <c r="AA494" i="2" s="1"/>
  <c r="AC494" i="2" s="1"/>
  <c r="AD494" i="2" s="1"/>
  <c r="Z486" i="2"/>
  <c r="AA486" i="2" s="1"/>
  <c r="AC486" i="2" s="1"/>
  <c r="AD486" i="2" s="1"/>
  <c r="Z478" i="2"/>
  <c r="AA478" i="2" s="1"/>
  <c r="AC478" i="2" s="1"/>
  <c r="AD478" i="2" s="1"/>
  <c r="Z470" i="2"/>
  <c r="AA470" i="2" s="1"/>
  <c r="AC470" i="2" s="1"/>
  <c r="AD470" i="2" s="1"/>
  <c r="Z462" i="2"/>
  <c r="AA462" i="2" s="1"/>
  <c r="AC462" i="2" s="1"/>
  <c r="AD462" i="2" s="1"/>
  <c r="Z454" i="2"/>
  <c r="AA454" i="2" s="1"/>
  <c r="AC454" i="2" s="1"/>
  <c r="AD454" i="2" s="1"/>
  <c r="Z446" i="2"/>
  <c r="AA446" i="2" s="1"/>
  <c r="AC446" i="2" s="1"/>
  <c r="AD446" i="2" s="1"/>
  <c r="Z438" i="2"/>
  <c r="AA438" i="2" s="1"/>
  <c r="AC438" i="2" s="1"/>
  <c r="AD438" i="2" s="1"/>
  <c r="Z430" i="2"/>
  <c r="AA430" i="2" s="1"/>
  <c r="AC430" i="2" s="1"/>
  <c r="AD430" i="2" s="1"/>
  <c r="Z422" i="2"/>
  <c r="AA422" i="2" s="1"/>
  <c r="AC422" i="2" s="1"/>
  <c r="AD422" i="2" s="1"/>
  <c r="Z414" i="2"/>
  <c r="AA414" i="2" s="1"/>
  <c r="AC414" i="2" s="1"/>
  <c r="AD414" i="2" s="1"/>
  <c r="Z406" i="2"/>
  <c r="AA406" i="2" s="1"/>
  <c r="AC406" i="2" s="1"/>
  <c r="AD406" i="2" s="1"/>
  <c r="Z398" i="2"/>
  <c r="AA398" i="2" s="1"/>
  <c r="AC398" i="2" s="1"/>
  <c r="AD398" i="2" s="1"/>
  <c r="Z390" i="2"/>
  <c r="AA390" i="2" s="1"/>
  <c r="AC390" i="2" s="1"/>
  <c r="AD390" i="2" s="1"/>
  <c r="Z382" i="2"/>
  <c r="AA382" i="2" s="1"/>
  <c r="AC382" i="2" s="1"/>
  <c r="AD382" i="2" s="1"/>
  <c r="Z374" i="2"/>
  <c r="AA374" i="2" s="1"/>
  <c r="AC374" i="2" s="1"/>
  <c r="AD374" i="2" s="1"/>
  <c r="Z366" i="2"/>
  <c r="AA366" i="2" s="1"/>
  <c r="AC366" i="2" s="1"/>
  <c r="AD366" i="2" s="1"/>
  <c r="Z358" i="2"/>
  <c r="AA358" i="2" s="1"/>
  <c r="AC358" i="2" s="1"/>
  <c r="AD358" i="2" s="1"/>
  <c r="Z350" i="2"/>
  <c r="AA350" i="2" s="1"/>
  <c r="AC350" i="2" s="1"/>
  <c r="AD350" i="2" s="1"/>
  <c r="Z342" i="2"/>
  <c r="AA342" i="2" s="1"/>
  <c r="AC342" i="2" s="1"/>
  <c r="AD342" i="2" s="1"/>
  <c r="Z334" i="2"/>
  <c r="AA334" i="2" s="1"/>
  <c r="AC334" i="2" s="1"/>
  <c r="AD334" i="2" s="1"/>
  <c r="Z326" i="2"/>
  <c r="AA326" i="2" s="1"/>
  <c r="AC326" i="2" s="1"/>
  <c r="AD326" i="2" s="1"/>
  <c r="Z318" i="2"/>
  <c r="AA318" i="2" s="1"/>
  <c r="AC318" i="2" s="1"/>
  <c r="AD318" i="2" s="1"/>
  <c r="Z310" i="2"/>
  <c r="AA310" i="2" s="1"/>
  <c r="AC310" i="2" s="1"/>
  <c r="AD310" i="2" s="1"/>
  <c r="Z302" i="2"/>
  <c r="AA302" i="2" s="1"/>
  <c r="AC302" i="2" s="1"/>
  <c r="AD302" i="2" s="1"/>
  <c r="Z294" i="2"/>
  <c r="AA294" i="2" s="1"/>
  <c r="AC294" i="2" s="1"/>
  <c r="AD294" i="2" s="1"/>
  <c r="Z286" i="2"/>
  <c r="AA286" i="2" s="1"/>
  <c r="AC286" i="2" s="1"/>
  <c r="AD286" i="2" s="1"/>
  <c r="Z278" i="2"/>
  <c r="AA278" i="2" s="1"/>
  <c r="AC278" i="2" s="1"/>
  <c r="AD278" i="2" s="1"/>
  <c r="Z270" i="2"/>
  <c r="AA270" i="2" s="1"/>
  <c r="AC270" i="2" s="1"/>
  <c r="AD270" i="2" s="1"/>
  <c r="Z262" i="2"/>
  <c r="AA262" i="2" s="1"/>
  <c r="AC262" i="2" s="1"/>
  <c r="AD262" i="2" s="1"/>
  <c r="Z254" i="2"/>
  <c r="AA254" i="2" s="1"/>
  <c r="AC254" i="2" s="1"/>
  <c r="AD254" i="2" s="1"/>
  <c r="Z246" i="2"/>
  <c r="AA246" i="2" s="1"/>
  <c r="AC246" i="2" s="1"/>
  <c r="AD246" i="2" s="1"/>
  <c r="Z238" i="2"/>
  <c r="AA238" i="2" s="1"/>
  <c r="AC238" i="2" s="1"/>
  <c r="AD238" i="2" s="1"/>
  <c r="Z230" i="2"/>
  <c r="AA230" i="2" s="1"/>
  <c r="AC230" i="2" s="1"/>
  <c r="AD230" i="2" s="1"/>
  <c r="Z222" i="2"/>
  <c r="AA222" i="2" s="1"/>
  <c r="AC222" i="2" s="1"/>
  <c r="AD222" i="2" s="1"/>
  <c r="Z214" i="2"/>
  <c r="AA214" i="2" s="1"/>
  <c r="AC214" i="2" s="1"/>
  <c r="AD214" i="2" s="1"/>
  <c r="Z206" i="2"/>
  <c r="AA206" i="2" s="1"/>
  <c r="AC206" i="2" s="1"/>
  <c r="AD206" i="2" s="1"/>
  <c r="Z198" i="2"/>
  <c r="AA198" i="2" s="1"/>
  <c r="AC198" i="2" s="1"/>
  <c r="AD198" i="2" s="1"/>
  <c r="Z190" i="2"/>
  <c r="AA190" i="2" s="1"/>
  <c r="AC190" i="2" s="1"/>
  <c r="AD190" i="2" s="1"/>
  <c r="Z182" i="2"/>
  <c r="AA182" i="2" s="1"/>
  <c r="AC182" i="2" s="1"/>
  <c r="AD182" i="2" s="1"/>
  <c r="Z174" i="2"/>
  <c r="AA174" i="2" s="1"/>
  <c r="AC174" i="2" s="1"/>
  <c r="AD174" i="2" s="1"/>
  <c r="Z166" i="2"/>
  <c r="AA166" i="2" s="1"/>
  <c r="AC166" i="2" s="1"/>
  <c r="AD166" i="2" s="1"/>
  <c r="Z158" i="2"/>
  <c r="AA158" i="2" s="1"/>
  <c r="AC158" i="2" s="1"/>
  <c r="AD158" i="2" s="1"/>
  <c r="Z150" i="2"/>
  <c r="AA150" i="2" s="1"/>
  <c r="AC150" i="2" s="1"/>
  <c r="AD150" i="2" s="1"/>
  <c r="Z142" i="2"/>
  <c r="AA142" i="2" s="1"/>
  <c r="AC142" i="2" s="1"/>
  <c r="AD142" i="2" s="1"/>
  <c r="Z134" i="2"/>
  <c r="AA134" i="2" s="1"/>
  <c r="AC134" i="2" s="1"/>
  <c r="AD134" i="2" s="1"/>
  <c r="Z126" i="2"/>
  <c r="AA126" i="2" s="1"/>
  <c r="AC126" i="2" s="1"/>
  <c r="AD126" i="2" s="1"/>
  <c r="Z118" i="2"/>
  <c r="AA118" i="2" s="1"/>
  <c r="AC118" i="2" s="1"/>
  <c r="AD118" i="2" s="1"/>
  <c r="Z110" i="2"/>
  <c r="AA110" i="2" s="1"/>
  <c r="AC110" i="2" s="1"/>
  <c r="AD110" i="2" s="1"/>
  <c r="Z102" i="2"/>
  <c r="AA102" i="2" s="1"/>
  <c r="AC102" i="2" s="1"/>
  <c r="AD102" i="2" s="1"/>
  <c r="Z94" i="2"/>
  <c r="AA94" i="2" s="1"/>
  <c r="AC94" i="2" s="1"/>
  <c r="AD94" i="2" s="1"/>
  <c r="Z86" i="2"/>
  <c r="AA86" i="2" s="1"/>
  <c r="AC86" i="2" s="1"/>
  <c r="AD86" i="2" s="1"/>
  <c r="Z78" i="2"/>
  <c r="AA78" i="2" s="1"/>
  <c r="AC78" i="2" s="1"/>
  <c r="AD78" i="2" s="1"/>
  <c r="Z70" i="2"/>
  <c r="AA70" i="2" s="1"/>
  <c r="AC70" i="2" s="1"/>
  <c r="AD70" i="2" s="1"/>
  <c r="Z62" i="2"/>
  <c r="AA62" i="2" s="1"/>
  <c r="AC62" i="2" s="1"/>
  <c r="AD62" i="2" s="1"/>
  <c r="Z54" i="2"/>
  <c r="AA54" i="2" s="1"/>
  <c r="AC54" i="2" s="1"/>
  <c r="AD54" i="2" s="1"/>
  <c r="Z46" i="2"/>
  <c r="AA46" i="2" s="1"/>
  <c r="AC46" i="2" s="1"/>
  <c r="AD46" i="2" s="1"/>
  <c r="Z38" i="2"/>
  <c r="AA38" i="2" s="1"/>
  <c r="Z30" i="2"/>
  <c r="AA30" i="2" s="1"/>
  <c r="AC30" i="2" s="1"/>
  <c r="AD30" i="2" s="1"/>
  <c r="Z22" i="2"/>
  <c r="AA22" i="2" s="1"/>
  <c r="AC22" i="2" s="1"/>
  <c r="AD22" i="2" s="1"/>
  <c r="Z14" i="2"/>
  <c r="AA14" i="2" s="1"/>
  <c r="AC14" i="2" s="1"/>
  <c r="AD14" i="2" s="1"/>
  <c r="Z6" i="2"/>
  <c r="AA6" i="2" s="1"/>
  <c r="Z634" i="2"/>
  <c r="AA634" i="2" s="1"/>
  <c r="AC634" i="2" s="1"/>
  <c r="AD634" i="2" s="1"/>
  <c r="Z506" i="2"/>
  <c r="AA506" i="2" s="1"/>
  <c r="AC506" i="2" s="1"/>
  <c r="AD506" i="2" s="1"/>
  <c r="Z378" i="2"/>
  <c r="AA378" i="2" s="1"/>
  <c r="AC378" i="2" s="1"/>
  <c r="AD378" i="2" s="1"/>
  <c r="AA718" i="2"/>
  <c r="AC718" i="2" s="1"/>
  <c r="AD718" i="2" s="1"/>
  <c r="AA710" i="2"/>
  <c r="AC710" i="2" s="1"/>
  <c r="AD710" i="2" s="1"/>
  <c r="AA702" i="2"/>
  <c r="AC702" i="2" s="1"/>
  <c r="AD702" i="2" s="1"/>
  <c r="AA694" i="2"/>
  <c r="AC694" i="2" s="1"/>
  <c r="AD694" i="2" s="1"/>
  <c r="AA686" i="2"/>
  <c r="AC686" i="2" s="1"/>
  <c r="AD686" i="2" s="1"/>
  <c r="AA657" i="2"/>
  <c r="AC657" i="2" s="1"/>
  <c r="AD657" i="2" s="1"/>
  <c r="AA593" i="2"/>
  <c r="AC593" i="2" s="1"/>
  <c r="AD593" i="2" s="1"/>
  <c r="AA529" i="2"/>
  <c r="AC529" i="2" s="1"/>
  <c r="AD529" i="2" s="1"/>
  <c r="AA465" i="2"/>
  <c r="AC465" i="2" s="1"/>
  <c r="AD465" i="2" s="1"/>
  <c r="AA401" i="2"/>
  <c r="AC401" i="2" s="1"/>
  <c r="AD401" i="2" s="1"/>
  <c r="AA337" i="2"/>
  <c r="AC337" i="2" s="1"/>
  <c r="AD337" i="2" s="1"/>
  <c r="AA273" i="2"/>
  <c r="AC273" i="2" s="1"/>
  <c r="AD273" i="2" s="1"/>
  <c r="AA209" i="2"/>
  <c r="AC209" i="2" s="1"/>
  <c r="AD209" i="2" s="1"/>
  <c r="AA145" i="2"/>
  <c r="AC145" i="2" s="1"/>
  <c r="AD145" i="2" s="1"/>
  <c r="AA81" i="2"/>
  <c r="AC81" i="2" s="1"/>
  <c r="AD81" i="2" s="1"/>
  <c r="AA17" i="2"/>
  <c r="AC17" i="2" s="1"/>
  <c r="AD17" i="2" s="1"/>
  <c r="Z677" i="2"/>
  <c r="AA677" i="2" s="1"/>
  <c r="AC677" i="2" s="1"/>
  <c r="AD677" i="2" s="1"/>
  <c r="Z669" i="2"/>
  <c r="AA669" i="2" s="1"/>
  <c r="AC669" i="2" s="1"/>
  <c r="AD669" i="2" s="1"/>
  <c r="Z661" i="2"/>
  <c r="AA661" i="2" s="1"/>
  <c r="AC661" i="2" s="1"/>
  <c r="AD661" i="2" s="1"/>
  <c r="Z653" i="2"/>
  <c r="AA653" i="2" s="1"/>
  <c r="AC653" i="2" s="1"/>
  <c r="AD653" i="2" s="1"/>
  <c r="Z645" i="2"/>
  <c r="AA645" i="2" s="1"/>
  <c r="AC645" i="2" s="1"/>
  <c r="AD645" i="2" s="1"/>
  <c r="Z637" i="2"/>
  <c r="AA637" i="2" s="1"/>
  <c r="AC637" i="2" s="1"/>
  <c r="AD637" i="2" s="1"/>
  <c r="Z629" i="2"/>
  <c r="AA629" i="2" s="1"/>
  <c r="AC629" i="2" s="1"/>
  <c r="AD629" i="2" s="1"/>
  <c r="Z621" i="2"/>
  <c r="AA621" i="2" s="1"/>
  <c r="AC621" i="2" s="1"/>
  <c r="AD621" i="2" s="1"/>
  <c r="Z613" i="2"/>
  <c r="AA613" i="2" s="1"/>
  <c r="AC613" i="2" s="1"/>
  <c r="AD613" i="2" s="1"/>
  <c r="Z605" i="2"/>
  <c r="AA605" i="2" s="1"/>
  <c r="AC605" i="2" s="1"/>
  <c r="AD605" i="2" s="1"/>
  <c r="Z597" i="2"/>
  <c r="AA597" i="2" s="1"/>
  <c r="AC597" i="2" s="1"/>
  <c r="AD597" i="2" s="1"/>
  <c r="Z589" i="2"/>
  <c r="AA589" i="2" s="1"/>
  <c r="AC589" i="2" s="1"/>
  <c r="AD589" i="2" s="1"/>
  <c r="Z581" i="2"/>
  <c r="AA581" i="2" s="1"/>
  <c r="AC581" i="2" s="1"/>
  <c r="AD581" i="2" s="1"/>
  <c r="Z573" i="2"/>
  <c r="AA573" i="2" s="1"/>
  <c r="AC573" i="2" s="1"/>
  <c r="AD573" i="2" s="1"/>
  <c r="Z565" i="2"/>
  <c r="AA565" i="2" s="1"/>
  <c r="AC565" i="2" s="1"/>
  <c r="AD565" i="2" s="1"/>
  <c r="Z557" i="2"/>
  <c r="AA557" i="2" s="1"/>
  <c r="AC557" i="2" s="1"/>
  <c r="AD557" i="2" s="1"/>
  <c r="Z549" i="2"/>
  <c r="AA549" i="2" s="1"/>
  <c r="AC549" i="2" s="1"/>
  <c r="AD549" i="2" s="1"/>
  <c r="Z541" i="2"/>
  <c r="AA541" i="2" s="1"/>
  <c r="AC541" i="2" s="1"/>
  <c r="AD541" i="2" s="1"/>
  <c r="Z533" i="2"/>
  <c r="AA533" i="2" s="1"/>
  <c r="AC533" i="2" s="1"/>
  <c r="AD533" i="2" s="1"/>
  <c r="Z525" i="2"/>
  <c r="AA525" i="2" s="1"/>
  <c r="AC525" i="2" s="1"/>
  <c r="AD525" i="2" s="1"/>
  <c r="Z517" i="2"/>
  <c r="AA517" i="2" s="1"/>
  <c r="AC517" i="2" s="1"/>
  <c r="AD517" i="2" s="1"/>
  <c r="Z509" i="2"/>
  <c r="AA509" i="2" s="1"/>
  <c r="AC509" i="2" s="1"/>
  <c r="AD509" i="2" s="1"/>
  <c r="Z501" i="2"/>
  <c r="AA501" i="2" s="1"/>
  <c r="AC501" i="2" s="1"/>
  <c r="AD501" i="2" s="1"/>
  <c r="Z493" i="2"/>
  <c r="AA493" i="2" s="1"/>
  <c r="AC493" i="2" s="1"/>
  <c r="AD493" i="2" s="1"/>
  <c r="Z485" i="2"/>
  <c r="AA485" i="2" s="1"/>
  <c r="AC485" i="2" s="1"/>
  <c r="AD485" i="2" s="1"/>
  <c r="Z477" i="2"/>
  <c r="AA477" i="2" s="1"/>
  <c r="AC477" i="2" s="1"/>
  <c r="AD477" i="2" s="1"/>
  <c r="Z469" i="2"/>
  <c r="AA469" i="2" s="1"/>
  <c r="AC469" i="2" s="1"/>
  <c r="AD469" i="2" s="1"/>
  <c r="Z461" i="2"/>
  <c r="AA461" i="2" s="1"/>
  <c r="AC461" i="2" s="1"/>
  <c r="AD461" i="2" s="1"/>
  <c r="Z453" i="2"/>
  <c r="AA453" i="2" s="1"/>
  <c r="AC453" i="2" s="1"/>
  <c r="AD453" i="2" s="1"/>
  <c r="Z445" i="2"/>
  <c r="AA445" i="2" s="1"/>
  <c r="AC445" i="2" s="1"/>
  <c r="AD445" i="2" s="1"/>
  <c r="Z437" i="2"/>
  <c r="AA437" i="2" s="1"/>
  <c r="AC437" i="2" s="1"/>
  <c r="AD437" i="2" s="1"/>
  <c r="Z429" i="2"/>
  <c r="AA429" i="2" s="1"/>
  <c r="AC429" i="2" s="1"/>
  <c r="AD429" i="2" s="1"/>
  <c r="Z421" i="2"/>
  <c r="AA421" i="2" s="1"/>
  <c r="AC421" i="2" s="1"/>
  <c r="AD421" i="2" s="1"/>
  <c r="Z413" i="2"/>
  <c r="AA413" i="2" s="1"/>
  <c r="AC413" i="2" s="1"/>
  <c r="AD413" i="2" s="1"/>
  <c r="Z405" i="2"/>
  <c r="AA405" i="2" s="1"/>
  <c r="AC405" i="2" s="1"/>
  <c r="AD405" i="2" s="1"/>
  <c r="Z397" i="2"/>
  <c r="AA397" i="2" s="1"/>
  <c r="AC397" i="2" s="1"/>
  <c r="AD397" i="2" s="1"/>
  <c r="Z389" i="2"/>
  <c r="AA389" i="2" s="1"/>
  <c r="AC389" i="2" s="1"/>
  <c r="AD389" i="2" s="1"/>
  <c r="Z381" i="2"/>
  <c r="AA381" i="2" s="1"/>
  <c r="AC381" i="2" s="1"/>
  <c r="AD381" i="2" s="1"/>
  <c r="Z373" i="2"/>
  <c r="AA373" i="2" s="1"/>
  <c r="AC373" i="2" s="1"/>
  <c r="AD373" i="2" s="1"/>
  <c r="Z365" i="2"/>
  <c r="AA365" i="2" s="1"/>
  <c r="AC365" i="2" s="1"/>
  <c r="AD365" i="2" s="1"/>
  <c r="Z357" i="2"/>
  <c r="AA357" i="2" s="1"/>
  <c r="AC357" i="2" s="1"/>
  <c r="AD357" i="2" s="1"/>
  <c r="Z349" i="2"/>
  <c r="AA349" i="2" s="1"/>
  <c r="AC349" i="2" s="1"/>
  <c r="AD349" i="2" s="1"/>
  <c r="Z341" i="2"/>
  <c r="AA341" i="2" s="1"/>
  <c r="AC341" i="2" s="1"/>
  <c r="AD341" i="2" s="1"/>
  <c r="Z333" i="2"/>
  <c r="AA333" i="2" s="1"/>
  <c r="AC333" i="2" s="1"/>
  <c r="AD333" i="2" s="1"/>
  <c r="Z325" i="2"/>
  <c r="AA325" i="2" s="1"/>
  <c r="AC325" i="2" s="1"/>
  <c r="AD325" i="2" s="1"/>
  <c r="Z317" i="2"/>
  <c r="AA317" i="2" s="1"/>
  <c r="AC317" i="2" s="1"/>
  <c r="AD317" i="2" s="1"/>
  <c r="Z309" i="2"/>
  <c r="AA309" i="2" s="1"/>
  <c r="AC309" i="2" s="1"/>
  <c r="AD309" i="2" s="1"/>
  <c r="Z301" i="2"/>
  <c r="AA301" i="2" s="1"/>
  <c r="AC301" i="2" s="1"/>
  <c r="AD301" i="2" s="1"/>
  <c r="Z293" i="2"/>
  <c r="AA293" i="2" s="1"/>
  <c r="AC293" i="2" s="1"/>
  <c r="AD293" i="2" s="1"/>
  <c r="Z285" i="2"/>
  <c r="AA285" i="2" s="1"/>
  <c r="AC285" i="2" s="1"/>
  <c r="AD285" i="2" s="1"/>
  <c r="Z277" i="2"/>
  <c r="AA277" i="2" s="1"/>
  <c r="AC277" i="2" s="1"/>
  <c r="AD277" i="2" s="1"/>
  <c r="Z269" i="2"/>
  <c r="AA269" i="2" s="1"/>
  <c r="AC269" i="2" s="1"/>
  <c r="AD269" i="2" s="1"/>
  <c r="Z261" i="2"/>
  <c r="AA261" i="2" s="1"/>
  <c r="AC261" i="2" s="1"/>
  <c r="AD261" i="2" s="1"/>
  <c r="Z253" i="2"/>
  <c r="AA253" i="2" s="1"/>
  <c r="AC253" i="2" s="1"/>
  <c r="AD253" i="2" s="1"/>
  <c r="Z245" i="2"/>
  <c r="AA245" i="2" s="1"/>
  <c r="AC245" i="2" s="1"/>
  <c r="AD245" i="2" s="1"/>
  <c r="Z237" i="2"/>
  <c r="AA237" i="2" s="1"/>
  <c r="AC237" i="2" s="1"/>
  <c r="AD237" i="2" s="1"/>
  <c r="Z229" i="2"/>
  <c r="AA229" i="2" s="1"/>
  <c r="AC229" i="2" s="1"/>
  <c r="AD229" i="2" s="1"/>
  <c r="Z221" i="2"/>
  <c r="AA221" i="2" s="1"/>
  <c r="AC221" i="2" s="1"/>
  <c r="AD221" i="2" s="1"/>
  <c r="Z213" i="2"/>
  <c r="AA213" i="2" s="1"/>
  <c r="AC213" i="2" s="1"/>
  <c r="AD213" i="2" s="1"/>
  <c r="Z205" i="2"/>
  <c r="AA205" i="2" s="1"/>
  <c r="AC205" i="2" s="1"/>
  <c r="AD205" i="2" s="1"/>
  <c r="Z197" i="2"/>
  <c r="AA197" i="2" s="1"/>
  <c r="AC197" i="2" s="1"/>
  <c r="AD197" i="2" s="1"/>
  <c r="Z189" i="2"/>
  <c r="AA189" i="2" s="1"/>
  <c r="AC189" i="2" s="1"/>
  <c r="AD189" i="2" s="1"/>
  <c r="Z181" i="2"/>
  <c r="AA181" i="2" s="1"/>
  <c r="AC181" i="2" s="1"/>
  <c r="AD181" i="2" s="1"/>
  <c r="Z173" i="2"/>
  <c r="AA173" i="2" s="1"/>
  <c r="AC173" i="2" s="1"/>
  <c r="AD173" i="2" s="1"/>
  <c r="Z165" i="2"/>
  <c r="AA165" i="2" s="1"/>
  <c r="AC165" i="2" s="1"/>
  <c r="AD165" i="2" s="1"/>
  <c r="Z157" i="2"/>
  <c r="AA157" i="2" s="1"/>
  <c r="AC157" i="2" s="1"/>
  <c r="AD157" i="2" s="1"/>
  <c r="Z149" i="2"/>
  <c r="AA149" i="2" s="1"/>
  <c r="AC149" i="2" s="1"/>
  <c r="AD149" i="2" s="1"/>
  <c r="Z141" i="2"/>
  <c r="AA141" i="2" s="1"/>
  <c r="AC141" i="2" s="1"/>
  <c r="AD141" i="2" s="1"/>
  <c r="Z133" i="2"/>
  <c r="AA133" i="2" s="1"/>
  <c r="AC133" i="2" s="1"/>
  <c r="AD133" i="2" s="1"/>
  <c r="Z125" i="2"/>
  <c r="AA125" i="2" s="1"/>
  <c r="AC125" i="2" s="1"/>
  <c r="AD125" i="2" s="1"/>
  <c r="Z117" i="2"/>
  <c r="AA117" i="2" s="1"/>
  <c r="AC117" i="2" s="1"/>
  <c r="AD117" i="2" s="1"/>
  <c r="Z109" i="2"/>
  <c r="AA109" i="2" s="1"/>
  <c r="AC109" i="2" s="1"/>
  <c r="AD109" i="2" s="1"/>
  <c r="Z101" i="2"/>
  <c r="AA101" i="2" s="1"/>
  <c r="AC101" i="2" s="1"/>
  <c r="AD101" i="2" s="1"/>
  <c r="Z93" i="2"/>
  <c r="AA93" i="2" s="1"/>
  <c r="AC93" i="2" s="1"/>
  <c r="AD93" i="2" s="1"/>
  <c r="Z85" i="2"/>
  <c r="AA85" i="2" s="1"/>
  <c r="AC85" i="2" s="1"/>
  <c r="AD85" i="2" s="1"/>
  <c r="Z77" i="2"/>
  <c r="AA77" i="2" s="1"/>
  <c r="AC77" i="2" s="1"/>
  <c r="AD77" i="2" s="1"/>
  <c r="Z69" i="2"/>
  <c r="AA69" i="2" s="1"/>
  <c r="AC69" i="2" s="1"/>
  <c r="AD69" i="2" s="1"/>
  <c r="Z61" i="2"/>
  <c r="AA61" i="2" s="1"/>
  <c r="AC61" i="2" s="1"/>
  <c r="AD61" i="2" s="1"/>
  <c r="Z53" i="2"/>
  <c r="AA53" i="2" s="1"/>
  <c r="AC53" i="2" s="1"/>
  <c r="AD53" i="2" s="1"/>
  <c r="Z45" i="2"/>
  <c r="AA45" i="2" s="1"/>
  <c r="AC45" i="2" s="1"/>
  <c r="AD45" i="2" s="1"/>
  <c r="Z37" i="2"/>
  <c r="AA37" i="2" s="1"/>
  <c r="AC37" i="2" s="1"/>
  <c r="AD37" i="2" s="1"/>
  <c r="Z29" i="2"/>
  <c r="AA29" i="2" s="1"/>
  <c r="AC29" i="2" s="1"/>
  <c r="AD29" i="2" s="1"/>
  <c r="Z21" i="2"/>
  <c r="AA21" i="2" s="1"/>
  <c r="AC21" i="2" s="1"/>
  <c r="AD21" i="2" s="1"/>
  <c r="Z13" i="2"/>
  <c r="AA13" i="2" s="1"/>
  <c r="AC13" i="2" s="1"/>
  <c r="AD13" i="2" s="1"/>
  <c r="Z5" i="2"/>
  <c r="AA5" i="2" s="1"/>
  <c r="Z138" i="2"/>
  <c r="AA138" i="2" s="1"/>
  <c r="AC138" i="2" s="1"/>
  <c r="AD138" i="2" s="1"/>
  <c r="AA717" i="2"/>
  <c r="AC717" i="2" s="1"/>
  <c r="AD717" i="2" s="1"/>
  <c r="AA709" i="2"/>
  <c r="AC709" i="2" s="1"/>
  <c r="AD709" i="2" s="1"/>
  <c r="AA701" i="2"/>
  <c r="AC701" i="2" s="1"/>
  <c r="AD701" i="2" s="1"/>
  <c r="AA693" i="2"/>
  <c r="AC693" i="2" s="1"/>
  <c r="AD693" i="2" s="1"/>
  <c r="AA685" i="2"/>
  <c r="AC685" i="2" s="1"/>
  <c r="AD685" i="2" s="1"/>
  <c r="AA649" i="2"/>
  <c r="AC649" i="2" s="1"/>
  <c r="AD649" i="2" s="1"/>
  <c r="AA585" i="2"/>
  <c r="AC585" i="2" s="1"/>
  <c r="AD585" i="2" s="1"/>
  <c r="AA521" i="2"/>
  <c r="AC521" i="2" s="1"/>
  <c r="AD521" i="2" s="1"/>
  <c r="AA457" i="2"/>
  <c r="AC457" i="2" s="1"/>
  <c r="AD457" i="2" s="1"/>
  <c r="AA393" i="2"/>
  <c r="AC393" i="2" s="1"/>
  <c r="AD393" i="2" s="1"/>
  <c r="AA329" i="2"/>
  <c r="AC329" i="2" s="1"/>
  <c r="AD329" i="2" s="1"/>
  <c r="AA265" i="2"/>
  <c r="AC265" i="2" s="1"/>
  <c r="AD265" i="2" s="1"/>
  <c r="AA201" i="2"/>
  <c r="AC201" i="2" s="1"/>
  <c r="AD201" i="2" s="1"/>
  <c r="AA137" i="2"/>
  <c r="AC137" i="2" s="1"/>
  <c r="AD137" i="2" s="1"/>
  <c r="AA73" i="2"/>
  <c r="AC73" i="2" s="1"/>
  <c r="AD73" i="2" s="1"/>
  <c r="AA9" i="2"/>
  <c r="AC9" i="2" s="1"/>
  <c r="AD9" i="2" s="1"/>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AC5" i="2" l="1"/>
  <c r="AD5" i="2" s="1"/>
  <c r="B5" i="7"/>
  <c r="AC6" i="2"/>
  <c r="AD6" i="2" s="1"/>
  <c r="B13" i="7"/>
  <c r="AC7" i="2"/>
  <c r="AD7" i="2" s="1"/>
  <c r="B6" i="7"/>
  <c r="AC2" i="2"/>
  <c r="AD2" i="2" s="1"/>
  <c r="B2" i="7"/>
  <c r="AC33" i="2"/>
  <c r="AD33" i="2" s="1"/>
  <c r="B12" i="7"/>
  <c r="AC43" i="2"/>
  <c r="AD43" i="2" s="1"/>
  <c r="B11" i="7"/>
  <c r="AC16" i="2"/>
  <c r="AD16" i="2" s="1"/>
  <c r="B3" i="7"/>
  <c r="AC38" i="2"/>
  <c r="AD38" i="2" s="1"/>
  <c r="B8" i="7"/>
  <c r="AC32" i="2"/>
  <c r="AD32" i="2" s="1"/>
  <c r="B9" i="7"/>
  <c r="AC3" i="2"/>
  <c r="AD3" i="2" s="1"/>
  <c r="B10" i="7"/>
  <c r="AC11" i="2"/>
  <c r="AD11" i="2" s="1"/>
  <c r="B4" i="7"/>
  <c r="AC20" i="2"/>
  <c r="AD20" i="2" s="1"/>
  <c r="B7" i="7"/>
  <c r="B14" i="7" l="1"/>
  <c r="D2" i="7"/>
  <c r="E2" i="7"/>
  <c r="D3" i="7"/>
  <c r="E3" i="7"/>
  <c r="D4" i="7"/>
  <c r="E5" i="7"/>
  <c r="D6" i="7"/>
  <c r="E4" i="7"/>
  <c r="E12" i="7"/>
  <c r="D10" i="7"/>
  <c r="E10" i="7"/>
  <c r="D8" i="7"/>
  <c r="D13" i="7"/>
  <c r="E11" i="7"/>
  <c r="E9" i="7"/>
  <c r="D9" i="7"/>
  <c r="E8" i="7"/>
  <c r="D5" i="7"/>
  <c r="E13" i="7"/>
  <c r="D7" i="7"/>
  <c r="D11" i="7"/>
  <c r="E6" i="7"/>
  <c r="D12" i="7"/>
  <c r="E7" i="7"/>
  <c r="E14" i="7" l="1"/>
  <c r="D14" i="7"/>
</calcChain>
</file>

<file path=xl/sharedStrings.xml><?xml version="1.0" encoding="utf-8"?>
<sst xmlns="http://schemas.openxmlformats.org/spreadsheetml/2006/main" count="7475" uniqueCount="1422">
  <si>
    <t>Excel Portfolio Project #1 — Northstar Retail Sales Analysis</t>
  </si>
  <si>
    <t>Business Scenario</t>
  </si>
  <si>
    <t>You are a junior data analyst at Northstar Retail Canada. Management wants a 2025 performance review showing sales, profit, customers, products, channels, returns and performance versus monthly targets. The raw export is intentionally messy. Your job is to clean it, validate it, analyze it and build an executive Excel dashboard.</t>
  </si>
  <si>
    <t>Your Build — Do NOT skip steps</t>
  </si>
  <si>
    <t>Stage</t>
  </si>
  <si>
    <t>What you should build</t>
  </si>
  <si>
    <t>Core Excel concepts</t>
  </si>
  <si>
    <t>1. Audit</t>
  </si>
  <si>
    <t>Check row count, blanks, duplicate Order_IDs, inconsistent categories, key quality.</t>
  </si>
  <si>
    <t>COUNTIF/COUNTIFS, filters, conditional formatting</t>
  </si>
  <si>
    <t>2. Clean</t>
  </si>
  <si>
    <t>Create a new Cleaned_Data sheet. Normalize spaces/text and standardize categories.</t>
  </si>
  <si>
    <t>TRIM, CLEAN, SUBSTITUTE, UPPER/LOWER/PROPER, IF</t>
  </si>
  <si>
    <t>3. Parse</t>
  </si>
  <si>
    <t>Extract Customer Name, City and Segment from Customer_Info.</t>
  </si>
  <si>
    <t>FIND, MID, LEFT, RIGHT, LEN — including finding the 2nd comma</t>
  </si>
  <si>
    <t>4. Enrich</t>
  </si>
  <si>
    <t>Bring Product, Category, Unit Cost, Region and customer segment into Cleaned_Data.</t>
  </si>
  <si>
    <t>XLOOKUP; then redo one lookup with INDEX+MATCH</t>
  </si>
  <si>
    <t>5. Calculate</t>
  </si>
  <si>
    <t>Create Gross Sales, Discount Amount, Net Sales, Total Cost, Profit, Profit Margin.</t>
  </si>
  <si>
    <t>Arithmetic, IF/IFERROR, absolute/relative references</t>
  </si>
  <si>
    <t>6. Date fields</t>
  </si>
  <si>
    <t>Create Month, Month Number, Quarter and Year.</t>
  </si>
  <si>
    <t>YEAR, MONTH, TEXT, date logic</t>
  </si>
  <si>
    <t>7. Analyze</t>
  </si>
  <si>
    <t>Answer the business questions below using PivotTables and/or SUMIFS/COUNTIFS.</t>
  </si>
  <si>
    <t>PivotTables, SUMIFS, COUNTIFS, aggregation</t>
  </si>
  <si>
    <t>8. Dashboard</t>
  </si>
  <si>
    <t>Build one-page dashboard with KPIs + charts + filters/slicers.</t>
  </si>
  <si>
    <t>PivotCharts, charts, KPI design, formatting</t>
  </si>
  <si>
    <t>9. QA</t>
  </si>
  <si>
    <t>Reconcile dashboard totals to cleaned transactions and document assumptions.</t>
  </si>
  <si>
    <t>Data validation, error checks, reconciliation</t>
  </si>
  <si>
    <t>10. GitHub</t>
  </si>
  <si>
    <t>Publish workbook + README + screenshots + key findings.</t>
  </si>
  <si>
    <t>Portfolio storytelling</t>
  </si>
  <si>
    <t>Business Questions Your Analysis Must Answer</t>
  </si>
  <si>
    <t>1</t>
  </si>
  <si>
    <t>What were total Net Sales, Profit, Profit Margin and unique Orders in 2025?</t>
  </si>
  <si>
    <t>2</t>
  </si>
  <si>
    <t>Which months beat or missed sales and profit targets?</t>
  </si>
  <si>
    <t>3</t>
  </si>
  <si>
    <t>Which product categories and products generated the most sales and profit?</t>
  </si>
  <si>
    <t>4</t>
  </si>
  <si>
    <t>Which regions and customer segments are most valuable?</t>
  </si>
  <si>
    <t>5</t>
  </si>
  <si>
    <t>How do Online, Retail Store and Marketplace channels compare?</t>
  </si>
  <si>
    <t>6</t>
  </si>
  <si>
    <t>Which products have high sales but weak profit margin?</t>
  </si>
  <si>
    <t>7</t>
  </si>
  <si>
    <t>Do larger discounts appear to improve revenue at the expense of margin?</t>
  </si>
  <si>
    <t>8</t>
  </si>
  <si>
    <t>Which channels/regions have the highest return rate?</t>
  </si>
  <si>
    <t>9</t>
  </si>
  <si>
    <t>What are the top 10 customers by Net Sales?</t>
  </si>
  <si>
    <t>10</t>
  </si>
  <si>
    <t>What 3 actions would you recommend to management based on your analysis?</t>
  </si>
  <si>
    <t>Final GitHub Deliverables</t>
  </si>
  <si>
    <t>File</t>
  </si>
  <si>
    <t>Purpose</t>
  </si>
  <si>
    <t>Northstar_Retail_Analysis.xlsx</t>
  </si>
  <si>
    <t>Your completed cleaned data, analysis and dashboard.</t>
  </si>
  <si>
    <t>README.md</t>
  </si>
  <si>
    <t>Business problem, cleaning steps, analysis, findings and recommendations.</t>
  </si>
  <si>
    <t>dashboard.png</t>
  </si>
  <si>
    <t>Screenshot of your final dashboard for the repo landing page.</t>
  </si>
  <si>
    <t>Optional: cleaned_sales.csv</t>
  </si>
  <si>
    <t>Cleaned dataset for future SQL/Python reuse.</t>
  </si>
  <si>
    <t>Order_ID</t>
  </si>
  <si>
    <t>Order_Date</t>
  </si>
  <si>
    <t>Customer_ID</t>
  </si>
  <si>
    <t>Product_ID</t>
  </si>
  <si>
    <t>Customer_Info</t>
  </si>
  <si>
    <t>Store_Raw</t>
  </si>
  <si>
    <t>Salesperson</t>
  </si>
  <si>
    <t>Channel_Raw</t>
  </si>
  <si>
    <t>Quantity</t>
  </si>
  <si>
    <t>Unit_Price</t>
  </si>
  <si>
    <t>Discount_Pct</t>
  </si>
  <si>
    <t>Payment_Method_Raw</t>
  </si>
  <si>
    <t>Delivery_Days</t>
  </si>
  <si>
    <t>Return_Status</t>
  </si>
  <si>
    <t>ORD-2025-00001</t>
  </si>
  <si>
    <t>C0113</t>
  </si>
  <si>
    <t>P1025</t>
  </si>
  <si>
    <t>Olivia Johnson, Surrey, Consumer</t>
  </si>
  <si>
    <t>Online Fulfillment</t>
  </si>
  <si>
    <t>J. Tremblay</t>
  </si>
  <si>
    <t>Online</t>
  </si>
  <si>
    <t>PayPal</t>
  </si>
  <si>
    <t>No</t>
  </si>
  <si>
    <t>ORD-2025-00002</t>
  </si>
  <si>
    <t>C0084</t>
  </si>
  <si>
    <t>P1033</t>
  </si>
  <si>
    <t>Ryan Clark, Montreal, Corporate</t>
  </si>
  <si>
    <t>L. Chen</t>
  </si>
  <si>
    <t>Retail Store</t>
  </si>
  <si>
    <t>Debit Card</t>
  </si>
  <si>
    <t>ORD-2025-00003</t>
  </si>
  <si>
    <t>C0003</t>
  </si>
  <si>
    <t>P1021</t>
  </si>
  <si>
    <t>Amelia Young, Ottawa, Corporate</t>
  </si>
  <si>
    <t>Vancouver West</t>
  </si>
  <si>
    <t>N. Brown</t>
  </si>
  <si>
    <t>Marketplace</t>
  </si>
  <si>
    <t>Credit Card</t>
  </si>
  <si>
    <t>ORD-2025-00004</t>
  </si>
  <si>
    <t>C0071</t>
  </si>
  <si>
    <t>P1032</t>
  </si>
  <si>
    <t>Ethan Lee, Surrey, Consumer</t>
  </si>
  <si>
    <t>Montreal Central</t>
  </si>
  <si>
    <t>ORD-2025-00005</t>
  </si>
  <si>
    <t>C0083</t>
  </si>
  <si>
    <t>P1034</t>
  </si>
  <si>
    <t>Amine King, Edmonton, Consumer</t>
  </si>
  <si>
    <t>Toronto Downtown</t>
  </si>
  <si>
    <t>A. Morgan</t>
  </si>
  <si>
    <t>ORD-2025-00006</t>
  </si>
  <si>
    <t>C0057</t>
  </si>
  <si>
    <t>P1015</t>
  </si>
  <si>
    <t>Adam Khan, Edmonton, Small Business</t>
  </si>
  <si>
    <t>E. Roy</t>
  </si>
  <si>
    <t>ORD-2025-00007</t>
  </si>
  <si>
    <t>C0021</t>
  </si>
  <si>
    <t>P1027</t>
  </si>
  <si>
    <t>Nora King, Halifax, Corporate</t>
  </si>
  <si>
    <t>ORD-2025-00008</t>
  </si>
  <si>
    <t>C0015</t>
  </si>
  <si>
    <t>Zoe Singh, Halifax, Consumer</t>
  </si>
  <si>
    <t>M. Wilson</t>
  </si>
  <si>
    <t>ORD-2025-00009</t>
  </si>
  <si>
    <t>C0104</t>
  </si>
  <si>
    <t>P1039</t>
  </si>
  <si>
    <t>Ava Scott, Edmonton, Corporate</t>
  </si>
  <si>
    <t>ORD-2025-00010</t>
  </si>
  <si>
    <t>P1003</t>
  </si>
  <si>
    <t>ORD-2025-00011</t>
  </si>
  <si>
    <t>C0106</t>
  </si>
  <si>
    <t>P1012</t>
  </si>
  <si>
    <t>Liam Gagnon, Ottawa, Small Business</t>
  </si>
  <si>
    <t>ORD-2025-00012</t>
  </si>
  <si>
    <t>C0002</t>
  </si>
  <si>
    <t>P1038</t>
  </si>
  <si>
    <t>Ryan Johnson, Montreal, Small Business</t>
  </si>
  <si>
    <t>Calgary North</t>
  </si>
  <si>
    <t>Gift  Card</t>
  </si>
  <si>
    <t>Yes</t>
  </si>
  <si>
    <t>ORD-2025-00013</t>
  </si>
  <si>
    <t>P1011</t>
  </si>
  <si>
    <t>ORD-2025-00014</t>
  </si>
  <si>
    <t>C0014</t>
  </si>
  <si>
    <t>P1008</t>
  </si>
  <si>
    <t>Zoe Scott, Montreal, Small Business</t>
  </si>
  <si>
    <t>Gift Card</t>
  </si>
  <si>
    <t>ORD-2025-00015</t>
  </si>
  <si>
    <t>C0112</t>
  </si>
  <si>
    <t>P1009</t>
  </si>
  <si>
    <t>Ava Bennett, Halifax, Consumer</t>
  </si>
  <si>
    <t>ORD-2025-00016</t>
  </si>
  <si>
    <t>C0073</t>
  </si>
  <si>
    <t>Olivia Singh, Mississauga, Consumer</t>
  </si>
  <si>
    <t>ORD-2025-00017</t>
  </si>
  <si>
    <t>ORD-2025-00018</t>
  </si>
  <si>
    <t>C0032</t>
  </si>
  <si>
    <t>P1024</t>
  </si>
  <si>
    <t>Nora Bennett, Surrey, Consumer</t>
  </si>
  <si>
    <t>MARKETPLACE</t>
  </si>
  <si>
    <t>ORD-2025-00019</t>
  </si>
  <si>
    <t>C0064</t>
  </si>
  <si>
    <t>Amine Khan, Edmonton, Consumer</t>
  </si>
  <si>
    <t>S. Patel</t>
  </si>
  <si>
    <t>ORD-2025-00020</t>
  </si>
  <si>
    <t>C0077</t>
  </si>
  <si>
    <t>P1002</t>
  </si>
  <si>
    <t>Amine Taylor, Surrey, Small Business</t>
  </si>
  <si>
    <t>ORD-2025-00021</t>
  </si>
  <si>
    <t>C0041</t>
  </si>
  <si>
    <t>Amine Chen, Halifax, Small Business</t>
  </si>
  <si>
    <t>ORD-2025-00022</t>
  </si>
  <si>
    <t>C0085</t>
  </si>
  <si>
    <t>P1007</t>
  </si>
  <si>
    <t>Yasmine Clark, Calgary, Consumer</t>
  </si>
  <si>
    <t>R. Singh</t>
  </si>
  <si>
    <t>ORD-2025-00023</t>
  </si>
  <si>
    <t>C0036</t>
  </si>
  <si>
    <t>Sarah Wilson, Montreal, Corporate</t>
  </si>
  <si>
    <t>Vancouver  West</t>
  </si>
  <si>
    <t>ORD-2025-00024</t>
  </si>
  <si>
    <t>C0054</t>
  </si>
  <si>
    <t>P1004</t>
  </si>
  <si>
    <t>Maya Hall , Surrey , Small Business</t>
  </si>
  <si>
    <t>ORD-2025-00025</t>
  </si>
  <si>
    <t>C0023</t>
  </si>
  <si>
    <t>P1029</t>
  </si>
  <si>
    <t>Ryan Gagnon, Ottawa, Small Business</t>
  </si>
  <si>
    <t>ORD-2025-00026</t>
  </si>
  <si>
    <t>C0091</t>
  </si>
  <si>
    <t>Leo Taylor, Victoria, Small Business</t>
  </si>
  <si>
    <t>ORD-2025-00027</t>
  </si>
  <si>
    <t>C0118</t>
  </si>
  <si>
    <t>Ryan Smith, Victoria, Small Business</t>
  </si>
  <si>
    <t>ORD-2025-00028</t>
  </si>
  <si>
    <t>C0029</t>
  </si>
  <si>
    <t>Olivia White , Victoria , Consumer</t>
  </si>
  <si>
    <t>ORD-2025-00029</t>
  </si>
  <si>
    <t>C0061</t>
  </si>
  <si>
    <t>Zoe Hall, Vancouver, Consumer</t>
  </si>
  <si>
    <t>ORD-2025-00030</t>
  </si>
  <si>
    <t>C0005</t>
  </si>
  <si>
    <t>P1040</t>
  </si>
  <si>
    <t>Yasmine Taylor, Calgary, Consumer</t>
  </si>
  <si>
    <t>ORD-2025-00031</t>
  </si>
  <si>
    <t>C0001</t>
  </si>
  <si>
    <t>Ethan Roy, Halifax, Consumer</t>
  </si>
  <si>
    <t>ORD-2025-00032</t>
  </si>
  <si>
    <t>C0065</t>
  </si>
  <si>
    <t>P1006</t>
  </si>
  <si>
    <t>Mia Wilson, Quebec City, Consumer</t>
  </si>
  <si>
    <t>ORD-2025-00033</t>
  </si>
  <si>
    <t>C0067</t>
  </si>
  <si>
    <t>P1018</t>
  </si>
  <si>
    <t>Leo Bennett, Mississauga, Consumer</t>
  </si>
  <si>
    <t>Montreal  Central</t>
  </si>
  <si>
    <t>ORD-2025-00034</t>
  </si>
  <si>
    <t>C0110</t>
  </si>
  <si>
    <t>P1010</t>
  </si>
  <si>
    <t>Sarah Smith, Laval, Consumer</t>
  </si>
  <si>
    <t>ONLINE</t>
  </si>
  <si>
    <t>ORD-2025-00035</t>
  </si>
  <si>
    <t>C0063</t>
  </si>
  <si>
    <t>P1037</t>
  </si>
  <si>
    <t>Adam Singh, Laval, Small Business</t>
  </si>
  <si>
    <t>Retail  Store</t>
  </si>
  <si>
    <t>ORD-2025-00036</t>
  </si>
  <si>
    <t>ORD-2025-00037</t>
  </si>
  <si>
    <t>C0102</t>
  </si>
  <si>
    <t>Adam Roy, Edmonton, Corporate</t>
  </si>
  <si>
    <t>ORD-2025-00038</t>
  </si>
  <si>
    <t>C0089</t>
  </si>
  <si>
    <t>Lucas Martin, Vancouver, Consumer</t>
  </si>
  <si>
    <t>ORD-2025-00039</t>
  </si>
  <si>
    <t>ORD-2025-00040</t>
  </si>
  <si>
    <t>C0048</t>
  </si>
  <si>
    <t>P1005</t>
  </si>
  <si>
    <t>Amelia Brown, Quebec City, Corporate</t>
  </si>
  <si>
    <t>retail store</t>
  </si>
  <si>
    <t>ORD-2025-00041</t>
  </si>
  <si>
    <t>C0012</t>
  </si>
  <si>
    <t>P1022</t>
  </si>
  <si>
    <t>Daniel Taylor, Victoria, Corporate</t>
  </si>
  <si>
    <t>ORD-2025-00042</t>
  </si>
  <si>
    <t>P1019</t>
  </si>
  <si>
    <t>CC</t>
  </si>
  <si>
    <t>ORD-2025-00043</t>
  </si>
  <si>
    <t>P1014</t>
  </si>
  <si>
    <t>ORD-2025-00044</t>
  </si>
  <si>
    <t>C0068</t>
  </si>
  <si>
    <t>Yasmine Martin, Calgary, Consumer</t>
  </si>
  <si>
    <t>ORD-2025-00045</t>
  </si>
  <si>
    <t>C0076</t>
  </si>
  <si>
    <t>P1031</t>
  </si>
  <si>
    <t>Maya Taylor , Saskatoon , Corporate</t>
  </si>
  <si>
    <t>ORD-2025-00046</t>
  </si>
  <si>
    <t>ORD-2025-00047</t>
  </si>
  <si>
    <t>C0020</t>
  </si>
  <si>
    <t>Nora Khan, Mississauga, Consumer</t>
  </si>
  <si>
    <t>ORD-2025-00048</t>
  </si>
  <si>
    <t>C0043</t>
  </si>
  <si>
    <t>Ava Brown, Ottawa, Small Business</t>
  </si>
  <si>
    <t>ORD-2025-00049</t>
  </si>
  <si>
    <t>P1026</t>
  </si>
  <si>
    <t>ORD-2025-00050</t>
  </si>
  <si>
    <t>C0066</t>
  </si>
  <si>
    <t>Noah Clark, Laval, Consumer</t>
  </si>
  <si>
    <t>ORD-2025-00051</t>
  </si>
  <si>
    <t>ORD-2025-00052</t>
  </si>
  <si>
    <t>P1001</t>
  </si>
  <si>
    <t>ORD-2025-00053</t>
  </si>
  <si>
    <t>C0069</t>
  </si>
  <si>
    <t>Sarah White, Ottawa, Consumer</t>
  </si>
  <si>
    <t>ORD-2025-00054</t>
  </si>
  <si>
    <t>ORD-2025-00055</t>
  </si>
  <si>
    <t>C0033</t>
  </si>
  <si>
    <t>Maya Hall, Winnipeg, Consumer</t>
  </si>
  <si>
    <t>ORD-2025-00056</t>
  </si>
  <si>
    <t>C0098</t>
  </si>
  <si>
    <t>Nora Young, Winnipeg, Consumer</t>
  </si>
  <si>
    <t>ORD-2025-00057</t>
  </si>
  <si>
    <t>ORD-2025-00058</t>
  </si>
  <si>
    <t>C0116</t>
  </si>
  <si>
    <t>Lucas Brown , Mississauga , Corporate</t>
  </si>
  <si>
    <t>ORD-2025-00059</t>
  </si>
  <si>
    <t>C0007</t>
  </si>
  <si>
    <t>Lucas Wilson , Ottawa , Consumer</t>
  </si>
  <si>
    <t>ORD-2025-00060</t>
  </si>
  <si>
    <t>C0040</t>
  </si>
  <si>
    <t>Ethan Young, Surrey, Consumer</t>
  </si>
  <si>
    <t>ORD-2025-00061</t>
  </si>
  <si>
    <t>ORD-2025-00062</t>
  </si>
  <si>
    <t>C0016</t>
  </si>
  <si>
    <t>Nora Singh, Calgary, Consumer</t>
  </si>
  <si>
    <t>ORD-2025-00063</t>
  </si>
  <si>
    <t>P1036</t>
  </si>
  <si>
    <t>ORD-2025-00064</t>
  </si>
  <si>
    <t>C0055</t>
  </si>
  <si>
    <t>Sarah Scott, Surrey, Consumer</t>
  </si>
  <si>
    <t>ORD-2025-00065</t>
  </si>
  <si>
    <t>online</t>
  </si>
  <si>
    <t>ORD-2025-00066</t>
  </si>
  <si>
    <t>Toronto  Downtown</t>
  </si>
  <si>
    <t>ORD-2025-00067</t>
  </si>
  <si>
    <t>ORD-2025-00068</t>
  </si>
  <si>
    <t>C0080</t>
  </si>
  <si>
    <t>Sarah Smith, Mississauga, Corporate</t>
  </si>
  <si>
    <t>ORD-2025-00069</t>
  </si>
  <si>
    <t>C0075</t>
  </si>
  <si>
    <t>Amelia Wilson, Vancouver, Consumer</t>
  </si>
  <si>
    <t>ORD-2025-00070</t>
  </si>
  <si>
    <t>C0013</t>
  </si>
  <si>
    <t>Amelia Martin, Quebec City, Small Business</t>
  </si>
  <si>
    <t>ORD-2025-00071</t>
  </si>
  <si>
    <t>C0119</t>
  </si>
  <si>
    <t>P1023</t>
  </si>
  <si>
    <t>Liam Chen , Winnipeg , Consumer</t>
  </si>
  <si>
    <t>ORD-2025-00072</t>
  </si>
  <si>
    <t>C0092</t>
  </si>
  <si>
    <t>Lucas Tremblay, Saskatoon, Consumer</t>
  </si>
  <si>
    <t>ORD-2025-00073</t>
  </si>
  <si>
    <t>ORD-2025-00074</t>
  </si>
  <si>
    <t>C0108</t>
  </si>
  <si>
    <t>Noah Lee , Surrey , Consumer</t>
  </si>
  <si>
    <t>ORD-2025-00075</t>
  </si>
  <si>
    <t>ORD-2025-00076</t>
  </si>
  <si>
    <t>ORD-2025-00077</t>
  </si>
  <si>
    <t>C0037</t>
  </si>
  <si>
    <t>Lucas Scott, Victoria, Small Business</t>
  </si>
  <si>
    <t>ORD-2025-00078</t>
  </si>
  <si>
    <t>C0047</t>
  </si>
  <si>
    <t>Amine King, Victoria, Consumer</t>
  </si>
  <si>
    <t>ORD-2025-00079</t>
  </si>
  <si>
    <t>ORD-2025-00080</t>
  </si>
  <si>
    <t>ORD-2025-00081</t>
  </si>
  <si>
    <t>C0114</t>
  </si>
  <si>
    <t>Olivia Johnson, Ottawa, Consumer</t>
  </si>
  <si>
    <t>ORD-2025-00082</t>
  </si>
  <si>
    <t>P1030</t>
  </si>
  <si>
    <t>ORD-2025-00083</t>
  </si>
  <si>
    <t>ORD-2025-00084</t>
  </si>
  <si>
    <t>C0088</t>
  </si>
  <si>
    <t>Olivia Bennett, Vancouver, Small Business</t>
  </si>
  <si>
    <t>ORD-2025-00085</t>
  </si>
  <si>
    <t>ORD-2025-00086</t>
  </si>
  <si>
    <t>Credit  Card</t>
  </si>
  <si>
    <t>ORD-2025-00087</t>
  </si>
  <si>
    <t>ORD-2025-00088</t>
  </si>
  <si>
    <t>C0008</t>
  </si>
  <si>
    <t>Mia Wilson, Calgary, Consumer</t>
  </si>
  <si>
    <t>ORD-2025-00089</t>
  </si>
  <si>
    <t>C0044</t>
  </si>
  <si>
    <t>P1020</t>
  </si>
  <si>
    <t>Nora Young, Vancouver, Corporate</t>
  </si>
  <si>
    <t>ORD-2025-00090</t>
  </si>
  <si>
    <t>C0025</t>
  </si>
  <si>
    <t>Emma Gagnon, Surrey, Corporate</t>
  </si>
  <si>
    <t>ORD-2025-00091</t>
  </si>
  <si>
    <t>C0117</t>
  </si>
  <si>
    <t>Ethan Hall, Vancouver, Consumer</t>
  </si>
  <si>
    <t>ORD-2025-00092</t>
  </si>
  <si>
    <t>Paypal</t>
  </si>
  <si>
    <t>ORD-2025-00093</t>
  </si>
  <si>
    <t>C0049</t>
  </si>
  <si>
    <t>Olivia Scott, Quebec City, Consumer</t>
  </si>
  <si>
    <t>ORD-2025-00094</t>
  </si>
  <si>
    <t>C0035</t>
  </si>
  <si>
    <t>Amelia Scott, Edmonton, Small Business</t>
  </si>
  <si>
    <t>ORD-2025-00095</t>
  </si>
  <si>
    <t>ORD-2025-00096</t>
  </si>
  <si>
    <t>ORD-2025-00097</t>
  </si>
  <si>
    <t>C0072</t>
  </si>
  <si>
    <t>Ryan Bennett, Montreal, Corporate</t>
  </si>
  <si>
    <t>ORD-2025-00098</t>
  </si>
  <si>
    <t>ORD-2025-00099</t>
  </si>
  <si>
    <t>ORD-2025-00100</t>
  </si>
  <si>
    <t>ORD-2025-00101</t>
  </si>
  <si>
    <t>ORD-2025-00102</t>
  </si>
  <si>
    <t>C0009</t>
  </si>
  <si>
    <t>Ethan Tremblay , Mississauga , Corporate</t>
  </si>
  <si>
    <t>ORD-2025-00103</t>
  </si>
  <si>
    <t>C0103</t>
  </si>
  <si>
    <t>Zoe Singh, Saskatoon, Corporate</t>
  </si>
  <si>
    <t>ORD-2025-00104</t>
  </si>
  <si>
    <t>Mia Wilson , Quebec City , Consumer</t>
  </si>
  <si>
    <t>ORD-2025-00105</t>
  </si>
  <si>
    <t>Lucas Wilson, Ottawa, Consumer</t>
  </si>
  <si>
    <t>ORD-2025-00106</t>
  </si>
  <si>
    <t>C0058</t>
  </si>
  <si>
    <t>Mia Singh, Laval, Consumer</t>
  </si>
  <si>
    <t>ORD-2025-00107</t>
  </si>
  <si>
    <t>C0090</t>
  </si>
  <si>
    <t>Nora Young, Montreal, Small Business</t>
  </si>
  <si>
    <t>ORD-2025-00108</t>
  </si>
  <si>
    <t>C0010</t>
  </si>
  <si>
    <t>Ethan Martin, Victoria, Corporate</t>
  </si>
  <si>
    <t>ORD-2025-00109</t>
  </si>
  <si>
    <t>ORD-2025-00110</t>
  </si>
  <si>
    <t>C0038</t>
  </si>
  <si>
    <t>Noah Brown, Montreal, Consumer</t>
  </si>
  <si>
    <t>ORD-2025-00111</t>
  </si>
  <si>
    <t>ORD-2025-00112</t>
  </si>
  <si>
    <t>C0093</t>
  </si>
  <si>
    <t>Ethan Roy, Winnipeg, Consumer</t>
  </si>
  <si>
    <t>ORD-2025-00113</t>
  </si>
  <si>
    <t>ORD-2025-00114</t>
  </si>
  <si>
    <t>C0052</t>
  </si>
  <si>
    <t>Liam Bennett, Edmonton, Corporate</t>
  </si>
  <si>
    <t>ORD-2025-00115</t>
  </si>
  <si>
    <t>C0079</t>
  </si>
  <si>
    <t>P1028</t>
  </si>
  <si>
    <t>Sophia Scott, Ottawa, Consumer</t>
  </si>
  <si>
    <t>ORD-2025-00116</t>
  </si>
  <si>
    <t>ORD-2025-00117</t>
  </si>
  <si>
    <t>gift card</t>
  </si>
  <si>
    <t>ORD-2025-00118</t>
  </si>
  <si>
    <t>Noah Lee, Surrey, Consumer</t>
  </si>
  <si>
    <t>ORD-2025-00119</t>
  </si>
  <si>
    <t>ORD-2025-00120</t>
  </si>
  <si>
    <t>C0062</t>
  </si>
  <si>
    <t>Yasmine Scott, Toronto, Consumer</t>
  </si>
  <si>
    <t>ORD-2025-00121</t>
  </si>
  <si>
    <t>C0056</t>
  </si>
  <si>
    <t>Sarah Wilson, Halifax, Consumer</t>
  </si>
  <si>
    <t>PAYPAL</t>
  </si>
  <si>
    <t>ORD-2025-00122</t>
  </si>
  <si>
    <t>ORD-2025-00123</t>
  </si>
  <si>
    <t>Amine Khan , Edmonton , Consumer</t>
  </si>
  <si>
    <t>ORD-2025-00124</t>
  </si>
  <si>
    <t>ORD-2025-00125</t>
  </si>
  <si>
    <t>C0028</t>
  </si>
  <si>
    <t>Mia Clark, Victoria, Consumer</t>
  </si>
  <si>
    <t>ORD-2025-00126</t>
  </si>
  <si>
    <t>credit card</t>
  </si>
  <si>
    <t>ORD-2025-00127</t>
  </si>
  <si>
    <t>ORD-2025-00128</t>
  </si>
  <si>
    <t>ORD-2025-00129</t>
  </si>
  <si>
    <t>ORD-2025-00130</t>
  </si>
  <si>
    <t>ORD-2025-00131</t>
  </si>
  <si>
    <t>ORD-2025-00132</t>
  </si>
  <si>
    <t>C0074</t>
  </si>
  <si>
    <t>Sophia Chen , Vancouver , Corporate</t>
  </si>
  <si>
    <t>ORD-2025-00133</t>
  </si>
  <si>
    <t>ORD-2025-00134</t>
  </si>
  <si>
    <t>ORD-2025-00135</t>
  </si>
  <si>
    <t>C0070</t>
  </si>
  <si>
    <t>Sophia Young, Halifax, Corporate</t>
  </si>
  <si>
    <t>ORD-2025-00136</t>
  </si>
  <si>
    <t>ORD-2025-00137</t>
  </si>
  <si>
    <t>Maya Hall, Surrey, Small Business</t>
  </si>
  <si>
    <t>ORD-2025-00138</t>
  </si>
  <si>
    <t>ORD-2025-00139</t>
  </si>
  <si>
    <t>ORD-2025-00140</t>
  </si>
  <si>
    <t>ORD-2025-00141</t>
  </si>
  <si>
    <t>ORD-2025-00142</t>
  </si>
  <si>
    <t>C0030</t>
  </si>
  <si>
    <t>Emma Lee, Calgary, Corporate</t>
  </si>
  <si>
    <t>ORD-2025-00143</t>
  </si>
  <si>
    <t>C0096</t>
  </si>
  <si>
    <t>Ryan Roy, Laval, Corporate</t>
  </si>
  <si>
    <t>ORD-2025-00144</t>
  </si>
  <si>
    <t>P1035</t>
  </si>
  <si>
    <t>Liam Chen, Winnipeg, Consumer</t>
  </si>
  <si>
    <t>ORD-2025-00145</t>
  </si>
  <si>
    <t>C0018</t>
  </si>
  <si>
    <t>Sophia Tremblay, Laval, Small Business</t>
  </si>
  <si>
    <t>ORD-2025-00146</t>
  </si>
  <si>
    <t>ORD-2025-00147</t>
  </si>
  <si>
    <t>ORD-2025-00148</t>
  </si>
  <si>
    <t>ORD-2025-00149</t>
  </si>
  <si>
    <t>market place</t>
  </si>
  <si>
    <t>ORD-2025-00150</t>
  </si>
  <si>
    <t>C0053</t>
  </si>
  <si>
    <t>Ryan Lee, Laval, Consumer</t>
  </si>
  <si>
    <t>ORD-2025-00151</t>
  </si>
  <si>
    <t>ORD-2025-00152</t>
  </si>
  <si>
    <t>ORD-2025-00153</t>
  </si>
  <si>
    <t>ORD-2025-00154</t>
  </si>
  <si>
    <t>ORD-2025-00155</t>
  </si>
  <si>
    <t>C0105</t>
  </si>
  <si>
    <t>Liam Martin , Calgary , Consumer</t>
  </si>
  <si>
    <t>ORD-2025-00156</t>
  </si>
  <si>
    <t>ORD-2025-00157</t>
  </si>
  <si>
    <t>C0045</t>
  </si>
  <si>
    <t>Lucas Chen, Ottawa, Corporate</t>
  </si>
  <si>
    <t>ORD-2025-00158</t>
  </si>
  <si>
    <t>C0017</t>
  </si>
  <si>
    <t>Yasmine Khan, Mississauga, Corporate</t>
  </si>
  <si>
    <t>ORD-2025-00159</t>
  </si>
  <si>
    <t>C0022</t>
  </si>
  <si>
    <t>Adam White, Victoria, Consumer</t>
  </si>
  <si>
    <t>ORD-2025-00160</t>
  </si>
  <si>
    <t>C0059</t>
  </si>
  <si>
    <t>Lucas Chen, Vancouver, Corporate</t>
  </si>
  <si>
    <t>ORD-2025-00161</t>
  </si>
  <si>
    <t>P1013</t>
  </si>
  <si>
    <t>Debit  Card</t>
  </si>
  <si>
    <t>ORD-2025-00162</t>
  </si>
  <si>
    <t>ORD-2025-00163</t>
  </si>
  <si>
    <t>C0078</t>
  </si>
  <si>
    <t>Sarah Smith, Edmonton, Corporate</t>
  </si>
  <si>
    <t>ORD-2025-00164</t>
  </si>
  <si>
    <t>ORD-2025-00165</t>
  </si>
  <si>
    <t>ORD-2025-00166</t>
  </si>
  <si>
    <t>C0082</t>
  </si>
  <si>
    <t>Ryan King, Winnipeg, Small Business</t>
  </si>
  <si>
    <t>ORD-2025-00167</t>
  </si>
  <si>
    <t>ORD-2025-00168</t>
  </si>
  <si>
    <t>C0120</t>
  </si>
  <si>
    <t>Ethan King, Mississauga, Small Business</t>
  </si>
  <si>
    <t>ORD-2025-00169</t>
  </si>
  <si>
    <t>ORD-2025-00170</t>
  </si>
  <si>
    <t>P1017</t>
  </si>
  <si>
    <t>debit card</t>
  </si>
  <si>
    <t>ORD-2025-00171</t>
  </si>
  <si>
    <t>C0115</t>
  </si>
  <si>
    <t>Nora Lee, Calgary, Consumer</t>
  </si>
  <si>
    <t>ORD-2025-00172</t>
  </si>
  <si>
    <t>ORD-2025-00173</t>
  </si>
  <si>
    <t>ORD-2025-00174</t>
  </si>
  <si>
    <t>ORD-2025-00175</t>
  </si>
  <si>
    <t>ORD-2025-00176</t>
  </si>
  <si>
    <t>ORD-2025-00177</t>
  </si>
  <si>
    <t>C0042</t>
  </si>
  <si>
    <t>Emma King, Quebec City, Consumer</t>
  </si>
  <si>
    <t>ORD-2025-00178</t>
  </si>
  <si>
    <t>ORD-2025-00179</t>
  </si>
  <si>
    <t>ORD-2025-00180</t>
  </si>
  <si>
    <t>C0039</t>
  </si>
  <si>
    <t>ORD-2025-00181</t>
  </si>
  <si>
    <t>C0086</t>
  </si>
  <si>
    <t>Adam Gagnon, Winnipeg, Consumer</t>
  </si>
  <si>
    <t>ORD-2025-00182</t>
  </si>
  <si>
    <t>ORD-2025-00183</t>
  </si>
  <si>
    <t>ORD-2025-00184</t>
  </si>
  <si>
    <t>C0031</t>
  </si>
  <si>
    <t>Leo Gagnon, Surrey, Small Business</t>
  </si>
  <si>
    <t>ORD-2025-00185</t>
  </si>
  <si>
    <t>ORD-2025-00186</t>
  </si>
  <si>
    <t>ORD-2025-00187</t>
  </si>
  <si>
    <t>C0099</t>
  </si>
  <si>
    <t>Amine Gagnon , Laval , Small Business</t>
  </si>
  <si>
    <t>ORD-2025-00188</t>
  </si>
  <si>
    <t>C0094</t>
  </si>
  <si>
    <t>Mia Singh, Quebec City, Consumer</t>
  </si>
  <si>
    <t>ORD-2025-00189</t>
  </si>
  <si>
    <t>ORD-2025-00190</t>
  </si>
  <si>
    <t>ORD-2025-00191</t>
  </si>
  <si>
    <t>ORD-2025-00192</t>
  </si>
  <si>
    <t>ORD-2025-00193</t>
  </si>
  <si>
    <t>ORD-2025-00194</t>
  </si>
  <si>
    <t>ORD-2025-00195</t>
  </si>
  <si>
    <t>Lucas Martin , Vancouver , Consumer</t>
  </si>
  <si>
    <t>ORD-2025-00196</t>
  </si>
  <si>
    <t>Maya Taylor, Saskatoon, Corporate</t>
  </si>
  <si>
    <t>ORD-2025-00197</t>
  </si>
  <si>
    <t>C0095</t>
  </si>
  <si>
    <t>Maya White, Quebec City, Corporate</t>
  </si>
  <si>
    <t>ORD-2025-00198</t>
  </si>
  <si>
    <t>ORD-2025-00199</t>
  </si>
  <si>
    <t>ORD-2025-00200</t>
  </si>
  <si>
    <t>C0087</t>
  </si>
  <si>
    <t>Daniel Johnson, Halifax, Consumer</t>
  </si>
  <si>
    <t>ORD-2025-00201</t>
  </si>
  <si>
    <t>ORD-2025-00202</t>
  </si>
  <si>
    <t>Olivia White, Victoria, Consumer</t>
  </si>
  <si>
    <t>ORD-2025-00203</t>
  </si>
  <si>
    <t>ORD-2025-00204</t>
  </si>
  <si>
    <t>Ethan Tremblay, Mississauga, Corporate</t>
  </si>
  <si>
    <t>ORD-2025-00205</t>
  </si>
  <si>
    <t>ORD-2025-00206</t>
  </si>
  <si>
    <t>ORD-2025-00207</t>
  </si>
  <si>
    <t>ORD-2025-00208</t>
  </si>
  <si>
    <t>ORD-2025-00209</t>
  </si>
  <si>
    <t>ORD-2025-00210</t>
  </si>
  <si>
    <t>ORD-2025-00211</t>
  </si>
  <si>
    <t>ORD-2025-00212</t>
  </si>
  <si>
    <t>Amine Gagnon, Laval, Small Business</t>
  </si>
  <si>
    <t>ORD-2025-00213</t>
  </si>
  <si>
    <t>ORD-2025-00214</t>
  </si>
  <si>
    <t>ORD-2025-00215</t>
  </si>
  <si>
    <t>Leo Gagnon , Surrey , Small Business</t>
  </si>
  <si>
    <t>ORD-2025-00216</t>
  </si>
  <si>
    <t>ORD-2025-00217</t>
  </si>
  <si>
    <t>ORD-2025-00218</t>
  </si>
  <si>
    <t>ORD-2025-00219</t>
  </si>
  <si>
    <t>C0027</t>
  </si>
  <si>
    <t>Nora Wilson, Toronto, Small Business</t>
  </si>
  <si>
    <t>ORD-2025-00220</t>
  </si>
  <si>
    <t>C0004</t>
  </si>
  <si>
    <t>Mia Bennett, Laval, Consumer</t>
  </si>
  <si>
    <t>ORD-2025-00221</t>
  </si>
  <si>
    <t>C0109</t>
  </si>
  <si>
    <t>Emma Wilson, Victoria, Consumer</t>
  </si>
  <si>
    <t>ORD-2025-00222</t>
  </si>
  <si>
    <t>ORD-2025-00223</t>
  </si>
  <si>
    <t>ORD-2025-00224</t>
  </si>
  <si>
    <t>ORD-2025-00225</t>
  </si>
  <si>
    <t>ORD-2025-00226</t>
  </si>
  <si>
    <t>ORD-2025-00227</t>
  </si>
  <si>
    <t>ORD-2025-00228</t>
  </si>
  <si>
    <t>ORD-2025-00229</t>
  </si>
  <si>
    <t>C0051</t>
  </si>
  <si>
    <t>Daniel Brown, Vancouver, Small Business</t>
  </si>
  <si>
    <t>ORD-2025-00230</t>
  </si>
  <si>
    <t>C0060</t>
  </si>
  <si>
    <t>Sarah Wilson , Quebec City , Corporate</t>
  </si>
  <si>
    <t>ORD-2025-00231</t>
  </si>
  <si>
    <t>Sarah Smith , Laval , Consumer</t>
  </si>
  <si>
    <t>ORD-2025-00232</t>
  </si>
  <si>
    <t>ORD-2025-00233</t>
  </si>
  <si>
    <t>ORD-2025-00234</t>
  </si>
  <si>
    <t>ORD-2025-00235</t>
  </si>
  <si>
    <t>ORD-2025-00236</t>
  </si>
  <si>
    <t>ORD-2025-00237</t>
  </si>
  <si>
    <t>ORD-2025-00238</t>
  </si>
  <si>
    <t>ORD-2025-00239</t>
  </si>
  <si>
    <t>ORD-2025-00240</t>
  </si>
  <si>
    <t>ORD-2025-00241</t>
  </si>
  <si>
    <t>ORD-2025-00242</t>
  </si>
  <si>
    <t>ORD-2025-00243</t>
  </si>
  <si>
    <t>Olivia Johnson , Surrey , Consumer</t>
  </si>
  <si>
    <t>ORD-2025-00244</t>
  </si>
  <si>
    <t>ORD-2025-00245</t>
  </si>
  <si>
    <t>ORD-2025-00246</t>
  </si>
  <si>
    <t>ORD-2025-00247</t>
  </si>
  <si>
    <t>ORD-2025-00248</t>
  </si>
  <si>
    <t>Emma Wilson , Victoria , Consumer</t>
  </si>
  <si>
    <t>ORD-2025-00249</t>
  </si>
  <si>
    <t>C0024</t>
  </si>
  <si>
    <t>Ryan King, Mississauga, Consumer</t>
  </si>
  <si>
    <t>ORD-2025-00250</t>
  </si>
  <si>
    <t>ORD-2025-00251</t>
  </si>
  <si>
    <t>ORD-2025-00252</t>
  </si>
  <si>
    <t>ORD-2025-00253</t>
  </si>
  <si>
    <t>ORD-2025-00254</t>
  </si>
  <si>
    <t>C0011</t>
  </si>
  <si>
    <t>Ethan Hall, Quebec City, Consumer</t>
  </si>
  <si>
    <t>ORD-2025-00255</t>
  </si>
  <si>
    <t>C0050</t>
  </si>
  <si>
    <t>Sarah Singh, Mississauga, Consumer</t>
  </si>
  <si>
    <t>ORD-2025-00256</t>
  </si>
  <si>
    <t>ORD-2025-00257</t>
  </si>
  <si>
    <t>ORD-2025-00258</t>
  </si>
  <si>
    <t>ORD-2025-00259</t>
  </si>
  <si>
    <t>C0100</t>
  </si>
  <si>
    <t>Yasmine Smith, Mississauga, Consumer</t>
  </si>
  <si>
    <t>Online  Fulfillment</t>
  </si>
  <si>
    <t>ORD-2025-00260</t>
  </si>
  <si>
    <t>ORD-2025-00261</t>
  </si>
  <si>
    <t>ORD-2025-00262</t>
  </si>
  <si>
    <t>ORD-2025-00263</t>
  </si>
  <si>
    <t>ORD-2025-00264</t>
  </si>
  <si>
    <t>C0111</t>
  </si>
  <si>
    <t>Noah Khan, Halifax, Consumer</t>
  </si>
  <si>
    <t>ORD-2025-00265</t>
  </si>
  <si>
    <t>ORD-2025-00266</t>
  </si>
  <si>
    <t>ORD-2025-00267</t>
  </si>
  <si>
    <t>ORD-2025-00268</t>
  </si>
  <si>
    <t>ORD-2025-00269</t>
  </si>
  <si>
    <t>ORD-2025-00270</t>
  </si>
  <si>
    <t>ORD-2025-00271</t>
  </si>
  <si>
    <t>C0107</t>
  </si>
  <si>
    <t>Ava Lee, Calgary, Small Business</t>
  </si>
  <si>
    <t>ORD-2025-00272</t>
  </si>
  <si>
    <t>ORD-2025-00273</t>
  </si>
  <si>
    <t>ORD-2025-00274</t>
  </si>
  <si>
    <t>C0101</t>
  </si>
  <si>
    <t>Noah Martin, Saskatoon, Small Business</t>
  </si>
  <si>
    <t>ORD-2025-00275</t>
  </si>
  <si>
    <t>Daniel Taylor , Victoria , Corporate</t>
  </si>
  <si>
    <t>ORD-2025-00276</t>
  </si>
  <si>
    <t>ORD-2025-00277</t>
  </si>
  <si>
    <t>ORD-2025-00278</t>
  </si>
  <si>
    <t>Amine Chen , Halifax , Small Business</t>
  </si>
  <si>
    <t>ORD-2025-00279</t>
  </si>
  <si>
    <t>ORD-2025-00280</t>
  </si>
  <si>
    <t>ORD-2025-00281</t>
  </si>
  <si>
    <t>ORD-2025-00282</t>
  </si>
  <si>
    <t>ORD-2025-00283</t>
  </si>
  <si>
    <t>ORD-2025-00284</t>
  </si>
  <si>
    <t>ORD-2025-00285</t>
  </si>
  <si>
    <t>ORD-2025-00286</t>
  </si>
  <si>
    <t>ORD-2025-00287</t>
  </si>
  <si>
    <t>ORD-2025-00288</t>
  </si>
  <si>
    <t>ORD-2025-00289</t>
  </si>
  <si>
    <t>ORD-2025-00290</t>
  </si>
  <si>
    <t>C0019</t>
  </si>
  <si>
    <t>Lucas Taylor, Montreal, Small Business</t>
  </si>
  <si>
    <t>ORD-2025-00291</t>
  </si>
  <si>
    <t>ORD-2025-00292</t>
  </si>
  <si>
    <t>C0097</t>
  </si>
  <si>
    <t>Sarah Khan, Montreal, Consumer</t>
  </si>
  <si>
    <t>ORD-2025-00293</t>
  </si>
  <si>
    <t>ORD-2025-00294</t>
  </si>
  <si>
    <t>ORD-2025-00295</t>
  </si>
  <si>
    <t>ORD-2025-00296</t>
  </si>
  <si>
    <t>ORD-2025-00297</t>
  </si>
  <si>
    <t>C0006</t>
  </si>
  <si>
    <t>Nora Wilson, Laval, Consumer</t>
  </si>
  <si>
    <t>ORD-2025-00298</t>
  </si>
  <si>
    <t>ORD-2025-00299</t>
  </si>
  <si>
    <t>Sarah Wilson, Quebec City, Corporate</t>
  </si>
  <si>
    <t>ORD-2025-00300</t>
  </si>
  <si>
    <t>ORD-2025-00301</t>
  </si>
  <si>
    <t>ORD-2025-00302</t>
  </si>
  <si>
    <t>ORD-2025-00303</t>
  </si>
  <si>
    <t>ORD-2025-00304</t>
  </si>
  <si>
    <t>ORD-2025-00305</t>
  </si>
  <si>
    <t>ORD-2025-00306</t>
  </si>
  <si>
    <t>ORD-2025-00307</t>
  </si>
  <si>
    <t>ORD-2025-00308</t>
  </si>
  <si>
    <t>ORD-2025-00309</t>
  </si>
  <si>
    <t>ORD-2025-00310</t>
  </si>
  <si>
    <t>ORD-2025-00311</t>
  </si>
  <si>
    <t>ORD-2025-00312</t>
  </si>
  <si>
    <t>ORD-2025-00313</t>
  </si>
  <si>
    <t>ORD-2025-00314</t>
  </si>
  <si>
    <t>ORD-2025-00315</t>
  </si>
  <si>
    <t>ORD-2025-00316</t>
  </si>
  <si>
    <t>ORD-2025-00317</t>
  </si>
  <si>
    <t>ORD-2025-00318</t>
  </si>
  <si>
    <t>ORD-2025-00319</t>
  </si>
  <si>
    <t>ORD-2025-00320</t>
  </si>
  <si>
    <t>Lucas Brown, Mississauga, Corporate</t>
  </si>
  <si>
    <t>ORD-2025-00321</t>
  </si>
  <si>
    <t>ORD-2025-00322</t>
  </si>
  <si>
    <t>ORD-2025-00323</t>
  </si>
  <si>
    <t>ORD-2025-00324</t>
  </si>
  <si>
    <t>ORD-2025-00325</t>
  </si>
  <si>
    <t>P1016</t>
  </si>
  <si>
    <t>ORD-2025-00326</t>
  </si>
  <si>
    <t>ORD-2025-00327</t>
  </si>
  <si>
    <t>ORD-2025-00328</t>
  </si>
  <si>
    <t>ORD-2025-00329</t>
  </si>
  <si>
    <t>ORD-2025-00330</t>
  </si>
  <si>
    <t>ORD-2025-00331</t>
  </si>
  <si>
    <t>ORD-2025-00332</t>
  </si>
  <si>
    <t>ORD-2025-00333</t>
  </si>
  <si>
    <t>ORD-2025-00334</t>
  </si>
  <si>
    <t>ORD-2025-00335</t>
  </si>
  <si>
    <t>ORD-2025-00336</t>
  </si>
  <si>
    <t>ORD-2025-00337</t>
  </si>
  <si>
    <t>ORD-2025-00338</t>
  </si>
  <si>
    <t>ORD-2025-00339</t>
  </si>
  <si>
    <t>ORD-2025-00340</t>
  </si>
  <si>
    <t>ORD-2025-00341</t>
  </si>
  <si>
    <t>ORD-2025-00342</t>
  </si>
  <si>
    <t>ORD-2025-00343</t>
  </si>
  <si>
    <t>ORD-2025-00344</t>
  </si>
  <si>
    <t>C0034</t>
  </si>
  <si>
    <t>Noah Tremblay, Toronto, Corporate</t>
  </si>
  <si>
    <t>ORD-2025-00345</t>
  </si>
  <si>
    <t>ORD-2025-00346</t>
  </si>
  <si>
    <t>ORD-2025-00347</t>
  </si>
  <si>
    <t>ORD-2025-00348</t>
  </si>
  <si>
    <t>ORD-2025-00349</t>
  </si>
  <si>
    <t>ORD-2025-00350</t>
  </si>
  <si>
    <t>ORD-2025-00351</t>
  </si>
  <si>
    <t>ORD-2025-00352</t>
  </si>
  <si>
    <t>Leo Taylor , Victoria , Small Business</t>
  </si>
  <si>
    <t>ORD-2025-00353</t>
  </si>
  <si>
    <t>ORD-2025-00354</t>
  </si>
  <si>
    <t>ORD-2025-00355</t>
  </si>
  <si>
    <t>ORD-2025-00356</t>
  </si>
  <si>
    <t>Ryan Lee , Laval , Consumer</t>
  </si>
  <si>
    <t>ORD-2025-00357</t>
  </si>
  <si>
    <t>ORD-2025-00358</t>
  </si>
  <si>
    <t>ORD-2025-00359</t>
  </si>
  <si>
    <t>ORD-2025-00360</t>
  </si>
  <si>
    <t>ORD-2025-00361</t>
  </si>
  <si>
    <t>ORD-2025-00362</t>
  </si>
  <si>
    <t>ORD-2025-00363</t>
  </si>
  <si>
    <t>ORD-2025-00364</t>
  </si>
  <si>
    <t>ORD-2025-00365</t>
  </si>
  <si>
    <t>ORD-2025-00366</t>
  </si>
  <si>
    <t>ORD-2025-00367</t>
  </si>
  <si>
    <t>ORD-2025-00368</t>
  </si>
  <si>
    <t>ORD-2025-00369</t>
  </si>
  <si>
    <t>ORD-2025-00370</t>
  </si>
  <si>
    <t>ORD-2025-00371</t>
  </si>
  <si>
    <t>ORD-2025-00372</t>
  </si>
  <si>
    <t>Sophia Chen, Vancouver, Corporate</t>
  </si>
  <si>
    <t>ORD-2025-00373</t>
  </si>
  <si>
    <t>ORD-2025-00374</t>
  </si>
  <si>
    <t>ORD-2025-00375</t>
  </si>
  <si>
    <t>ORD-2025-00376</t>
  </si>
  <si>
    <t>ORD-2025-00377</t>
  </si>
  <si>
    <t>ORD-2025-00378</t>
  </si>
  <si>
    <t>ORD-2025-00379</t>
  </si>
  <si>
    <t>ORD-2025-00380</t>
  </si>
  <si>
    <t>ORD-2025-00381</t>
  </si>
  <si>
    <t>ORD-2025-00382</t>
  </si>
  <si>
    <t>ORD-2025-00383</t>
  </si>
  <si>
    <t>ORD-2025-00384</t>
  </si>
  <si>
    <t>ORD-2025-00385</t>
  </si>
  <si>
    <t>ORD-2025-00386</t>
  </si>
  <si>
    <t>ORD-2025-00387</t>
  </si>
  <si>
    <t>Liam Martin, Calgary, Consumer</t>
  </si>
  <si>
    <t>ORD-2025-00388</t>
  </si>
  <si>
    <t>ORD-2025-00389</t>
  </si>
  <si>
    <t>C0046</t>
  </si>
  <si>
    <t>Amelia Bennett, Laval, Consumer</t>
  </si>
  <si>
    <t>ORD-2025-00390</t>
  </si>
  <si>
    <t>ORD-2025-00391</t>
  </si>
  <si>
    <t>ORD-2025-00392</t>
  </si>
  <si>
    <t>ORD-2025-00393</t>
  </si>
  <si>
    <t>ORD-2025-00394</t>
  </si>
  <si>
    <t>ORD-2025-00395</t>
  </si>
  <si>
    <t>ORD-2025-00396</t>
  </si>
  <si>
    <t>ORD-2025-00397</t>
  </si>
  <si>
    <t>ORD-2025-00398</t>
  </si>
  <si>
    <t>ORD-2025-00399</t>
  </si>
  <si>
    <t>ORD-2025-00400</t>
  </si>
  <si>
    <t>ORD-2025-00401</t>
  </si>
  <si>
    <t>Zoe Hall , Vancouver , Consumer</t>
  </si>
  <si>
    <t>ORD-2025-00402</t>
  </si>
  <si>
    <t>Amelia Scott , Edmonton , Small Business</t>
  </si>
  <si>
    <t>ORD-2025-00403</t>
  </si>
  <si>
    <t>Zoe Scott , Montreal , Small Business</t>
  </si>
  <si>
    <t>ORD-2025-00404</t>
  </si>
  <si>
    <t>ORD-2025-00405</t>
  </si>
  <si>
    <t>ORD-2025-00406</t>
  </si>
  <si>
    <t>ORD-2025-00407</t>
  </si>
  <si>
    <t>ORD-2025-00408</t>
  </si>
  <si>
    <t>ORD-2025-00409</t>
  </si>
  <si>
    <t>ORD-2025-00410</t>
  </si>
  <si>
    <t>ORD-2025-00411</t>
  </si>
  <si>
    <t>ORD-2025-00412</t>
  </si>
  <si>
    <t>ORD-2025-00413</t>
  </si>
  <si>
    <t>ORD-2025-00414</t>
  </si>
  <si>
    <t>ORD-2025-00415</t>
  </si>
  <si>
    <t>ORD-2025-00416</t>
  </si>
  <si>
    <t>ORD-2025-00417</t>
  </si>
  <si>
    <t>ORD-2025-00418</t>
  </si>
  <si>
    <t>Nora Wilson , Laval , Consumer</t>
  </si>
  <si>
    <t>ORD-2025-00419</t>
  </si>
  <si>
    <t>ORD-2025-00420</t>
  </si>
  <si>
    <t>Lucas Chen , Vancouver , Corporate</t>
  </si>
  <si>
    <t>ORD-2025-00421</t>
  </si>
  <si>
    <t>ORD-2025-00422</t>
  </si>
  <si>
    <t>Calgary  North</t>
  </si>
  <si>
    <t>ORD-2025-00423</t>
  </si>
  <si>
    <t>C0026</t>
  </si>
  <si>
    <t>Adam Hall, Surrey, Corporate</t>
  </si>
  <si>
    <t>ORD-2025-00424</t>
  </si>
  <si>
    <t>ORD-2025-00425</t>
  </si>
  <si>
    <t>ORD-2025-00426</t>
  </si>
  <si>
    <t>ORD-2025-00427</t>
  </si>
  <si>
    <t>ORD-2025-00428</t>
  </si>
  <si>
    <t>ORD-2025-00429</t>
  </si>
  <si>
    <t>ORD-2025-00430</t>
  </si>
  <si>
    <t>ORD-2025-00431</t>
  </si>
  <si>
    <t>ORD-2025-00432</t>
  </si>
  <si>
    <t>ORD-2025-00433</t>
  </si>
  <si>
    <t>ORD-2025-00434</t>
  </si>
  <si>
    <t>ORD-2025-00435</t>
  </si>
  <si>
    <t>ORD-2025-00436</t>
  </si>
  <si>
    <t>ORD-2025-00437</t>
  </si>
  <si>
    <t>ORD-2025-00438</t>
  </si>
  <si>
    <t>ORD-2025-00439</t>
  </si>
  <si>
    <t>ORD-2025-00440</t>
  </si>
  <si>
    <t>ORD-2025-00441</t>
  </si>
  <si>
    <t>ORD-2025-00442</t>
  </si>
  <si>
    <t>ORD-2025-00443</t>
  </si>
  <si>
    <t>ORD-2025-00444</t>
  </si>
  <si>
    <t>ORD-2025-00445</t>
  </si>
  <si>
    <t>ORD-2025-00446</t>
  </si>
  <si>
    <t>ORD-2025-00447</t>
  </si>
  <si>
    <t>ORD-2025-00448</t>
  </si>
  <si>
    <t>ORD-2025-00449</t>
  </si>
  <si>
    <t>ORD-2025-00450</t>
  </si>
  <si>
    <t>ORD-2025-00451</t>
  </si>
  <si>
    <t>ORD-2025-00452</t>
  </si>
  <si>
    <t>Mia Clark , Victoria , Consumer</t>
  </si>
  <si>
    <t>ORD-2025-00453</t>
  </si>
  <si>
    <t>ORD-2025-00454</t>
  </si>
  <si>
    <t>ORD-2025-00455</t>
  </si>
  <si>
    <t>ORD-2025-00456</t>
  </si>
  <si>
    <t>ORD-2025-00457</t>
  </si>
  <si>
    <t>ORD-2025-00458</t>
  </si>
  <si>
    <t>ORD-2025-00459</t>
  </si>
  <si>
    <t>ORD-2025-00460</t>
  </si>
  <si>
    <t>ORD-2025-00461</t>
  </si>
  <si>
    <t>ORD-2025-00462</t>
  </si>
  <si>
    <t>ORD-2025-00463</t>
  </si>
  <si>
    <t>ORD-2025-00464</t>
  </si>
  <si>
    <t>ORD-2025-00465</t>
  </si>
  <si>
    <t>ORD-2025-00466</t>
  </si>
  <si>
    <t>ORD-2025-00467</t>
  </si>
  <si>
    <t>ORD-2025-00468</t>
  </si>
  <si>
    <t>ORD-2025-00469</t>
  </si>
  <si>
    <t>ORD-2025-00470</t>
  </si>
  <si>
    <t>ORD-2025-00471</t>
  </si>
  <si>
    <t>ORD-2025-00472</t>
  </si>
  <si>
    <t>ORD-2025-00473</t>
  </si>
  <si>
    <t>ORD-2025-00474</t>
  </si>
  <si>
    <t>ORD-2025-00475</t>
  </si>
  <si>
    <t>ORD-2025-00476</t>
  </si>
  <si>
    <t>Ethan Roy , Halifax , Consumer</t>
  </si>
  <si>
    <t>ORD-2025-00477</t>
  </si>
  <si>
    <t>Adam Singh , Laval , Small Business</t>
  </si>
  <si>
    <t>ORD-2025-00478</t>
  </si>
  <si>
    <t>ORD-2025-00479</t>
  </si>
  <si>
    <t>ORD-2025-00480</t>
  </si>
  <si>
    <t>ORD-2025-00481</t>
  </si>
  <si>
    <t>ORD-2025-00482</t>
  </si>
  <si>
    <t>ORD-2025-00483</t>
  </si>
  <si>
    <t>ORD-2025-00484</t>
  </si>
  <si>
    <t>ORD-2025-00485</t>
  </si>
  <si>
    <t>ORD-2025-00486</t>
  </si>
  <si>
    <t>ORD-2025-00487</t>
  </si>
  <si>
    <t>ORD-2025-00488</t>
  </si>
  <si>
    <t>ORD-2025-00489</t>
  </si>
  <si>
    <t>ORD-2025-00490</t>
  </si>
  <si>
    <t>ORD-2025-00491</t>
  </si>
  <si>
    <t>ORD-2025-00492</t>
  </si>
  <si>
    <t>ORD-2025-00493</t>
  </si>
  <si>
    <t>ORD-2025-00494</t>
  </si>
  <si>
    <t>ORD-2025-00495</t>
  </si>
  <si>
    <t>ORD-2025-00496</t>
  </si>
  <si>
    <t>ORD-2025-00497</t>
  </si>
  <si>
    <t>ORD-2025-00498</t>
  </si>
  <si>
    <t>ORD-2025-00499</t>
  </si>
  <si>
    <t>ORD-2025-00500</t>
  </si>
  <si>
    <t>C0081</t>
  </si>
  <si>
    <t>Yasmine Bennett, Saskatoon, Small Business</t>
  </si>
  <si>
    <t>ORD-2025-00501</t>
  </si>
  <si>
    <t>ORD-2025-00502</t>
  </si>
  <si>
    <t>ORD-2025-00503</t>
  </si>
  <si>
    <t>ORD-2025-00504</t>
  </si>
  <si>
    <t>ORD-2025-00505</t>
  </si>
  <si>
    <t>ORD-2025-00506</t>
  </si>
  <si>
    <t>ORD-2025-00507</t>
  </si>
  <si>
    <t>ORD-2025-00508</t>
  </si>
  <si>
    <t>ORD-2025-00509</t>
  </si>
  <si>
    <t>ORD-2025-00510</t>
  </si>
  <si>
    <t>ORD-2025-00511</t>
  </si>
  <si>
    <t>ORD-2025-00512</t>
  </si>
  <si>
    <t>ORD-2025-00513</t>
  </si>
  <si>
    <t>ORD-2025-00514</t>
  </si>
  <si>
    <t>ORD-2025-00515</t>
  </si>
  <si>
    <t>Yasmine Martin , Calgary , Consumer</t>
  </si>
  <si>
    <t>ORD-2025-00516</t>
  </si>
  <si>
    <t>ORD-2025-00517</t>
  </si>
  <si>
    <t>ORD-2025-00518</t>
  </si>
  <si>
    <t>ORD-2025-00519</t>
  </si>
  <si>
    <t>ORD-2025-00520</t>
  </si>
  <si>
    <t>ORD-2025-00521</t>
  </si>
  <si>
    <t>ORD-2025-00522</t>
  </si>
  <si>
    <t>ORD-2025-00523</t>
  </si>
  <si>
    <t>ORD-2025-00524</t>
  </si>
  <si>
    <t>ORD-2025-00525</t>
  </si>
  <si>
    <t>ORD-2025-00526</t>
  </si>
  <si>
    <t>ORD-2025-00527</t>
  </si>
  <si>
    <t>ORD-2025-00528</t>
  </si>
  <si>
    <t>ORD-2025-00529</t>
  </si>
  <si>
    <t>ORD-2025-00530</t>
  </si>
  <si>
    <t>ORD-2025-00531</t>
  </si>
  <si>
    <t>ORD-2025-00532</t>
  </si>
  <si>
    <t>ORD-2025-00533</t>
  </si>
  <si>
    <t>ORD-2025-00534</t>
  </si>
  <si>
    <t>ORD-2025-00535</t>
  </si>
  <si>
    <t>ORD-2025-00536</t>
  </si>
  <si>
    <t>ORD-2025-00537</t>
  </si>
  <si>
    <t>Ava Bennett , Halifax , Consumer</t>
  </si>
  <si>
    <t>ORD-2025-00538</t>
  </si>
  <si>
    <t>ORD-2025-00539</t>
  </si>
  <si>
    <t>Adam Khan , Edmonton , Small Business</t>
  </si>
  <si>
    <t>ORD-2025-00540</t>
  </si>
  <si>
    <t>ORD-2025-00541</t>
  </si>
  <si>
    <t>ORD-2025-00542</t>
  </si>
  <si>
    <t>ORD-2025-00543</t>
  </si>
  <si>
    <t>Nora Young , Vancouver , Corporate</t>
  </si>
  <si>
    <t>ORD-2025-00544</t>
  </si>
  <si>
    <t>ORD-2025-00545</t>
  </si>
  <si>
    <t>ORD-2025-00546</t>
  </si>
  <si>
    <t>ORD-2025-00547</t>
  </si>
  <si>
    <t>ORD-2025-00548</t>
  </si>
  <si>
    <t>ORD-2025-00549</t>
  </si>
  <si>
    <t>ORD-2025-00550</t>
  </si>
  <si>
    <t>ORD-2025-00551</t>
  </si>
  <si>
    <t>ORD-2025-00552</t>
  </si>
  <si>
    <t>ORD-2025-00553</t>
  </si>
  <si>
    <t>ORD-2025-00554</t>
  </si>
  <si>
    <t>ORD-2025-00555</t>
  </si>
  <si>
    <t>ORD-2025-00556</t>
  </si>
  <si>
    <t>ORD-2025-00557</t>
  </si>
  <si>
    <t>ORD-2025-00558</t>
  </si>
  <si>
    <t>ORD-2025-00559</t>
  </si>
  <si>
    <t>ORD-2025-00560</t>
  </si>
  <si>
    <t>ORD-2025-00561</t>
  </si>
  <si>
    <t>ORD-2025-00562</t>
  </si>
  <si>
    <t>ORD-2025-00563</t>
  </si>
  <si>
    <t>ORD-2025-00564</t>
  </si>
  <si>
    <t>ORD-2025-00565</t>
  </si>
  <si>
    <t>ORD-2025-00566</t>
  </si>
  <si>
    <t>ORD-2025-00567</t>
  </si>
  <si>
    <t>Ethan Martin , Victoria , Corporate</t>
  </si>
  <si>
    <t>ORD-2025-00568</t>
  </si>
  <si>
    <t>ORD-2025-00569</t>
  </si>
  <si>
    <t>ORD-2025-00570</t>
  </si>
  <si>
    <t>ORD-2025-00571</t>
  </si>
  <si>
    <t>ORD-2025-00572</t>
  </si>
  <si>
    <t>ORD-2025-00573</t>
  </si>
  <si>
    <t>ORD-2025-00574</t>
  </si>
  <si>
    <t>ORD-2025-00575</t>
  </si>
  <si>
    <t>ORD-2025-00576</t>
  </si>
  <si>
    <t>ORD-2025-00577</t>
  </si>
  <si>
    <t>ORD-2025-00578</t>
  </si>
  <si>
    <t>ORD-2025-00579</t>
  </si>
  <si>
    <t>ORD-2025-00580</t>
  </si>
  <si>
    <t>ORD-2025-00581</t>
  </si>
  <si>
    <t>Adam Hall , Surrey , Corporate</t>
  </si>
  <si>
    <t>ORD-2025-00582</t>
  </si>
  <si>
    <t>ORD-2025-00583</t>
  </si>
  <si>
    <t>ORD-2025-00584</t>
  </si>
  <si>
    <t>ORD-2025-00585</t>
  </si>
  <si>
    <t>ORD-2025-00586</t>
  </si>
  <si>
    <t>ORD-2025-00587</t>
  </si>
  <si>
    <t>ORD-2025-00588</t>
  </si>
  <si>
    <t>ORD-2025-00589</t>
  </si>
  <si>
    <t>ORD-2025-00590</t>
  </si>
  <si>
    <t>ORD-2025-00591</t>
  </si>
  <si>
    <t>Adam White , Victoria , Consumer</t>
  </si>
  <si>
    <t>ORD-2025-00592</t>
  </si>
  <si>
    <t>ORD-2025-00593</t>
  </si>
  <si>
    <t>ORD-2025-00594</t>
  </si>
  <si>
    <t>ORD-2025-00595</t>
  </si>
  <si>
    <t>ORD-2025-00596</t>
  </si>
  <si>
    <t>ORD-2025-00597</t>
  </si>
  <si>
    <t>ORD-2025-00598</t>
  </si>
  <si>
    <t>ORD-2025-00599</t>
  </si>
  <si>
    <t>ORD-2025-00600</t>
  </si>
  <si>
    <t>ORD-2025-00601</t>
  </si>
  <si>
    <t>ORD-2025-00602</t>
  </si>
  <si>
    <t>ORD-2025-00603</t>
  </si>
  <si>
    <t>ORD-2025-00604</t>
  </si>
  <si>
    <t>ORD-2025-00605</t>
  </si>
  <si>
    <t>ORD-2025-00606</t>
  </si>
  <si>
    <t>ORD-2025-00607</t>
  </si>
  <si>
    <t>ORD-2025-00608</t>
  </si>
  <si>
    <t>ORD-2025-00609</t>
  </si>
  <si>
    <t>Lucas Scott , Victoria , Small Business</t>
  </si>
  <si>
    <t>ORD-2025-00610</t>
  </si>
  <si>
    <t>ORD-2025-00611</t>
  </si>
  <si>
    <t>ORD-2025-00612</t>
  </si>
  <si>
    <t>ORD-2025-00613</t>
  </si>
  <si>
    <t>ORD-2025-00614</t>
  </si>
  <si>
    <t>ORD-2025-00615</t>
  </si>
  <si>
    <t>ORD-2025-00616</t>
  </si>
  <si>
    <t>ORD-2025-00617</t>
  </si>
  <si>
    <t>ORD-2025-00618</t>
  </si>
  <si>
    <t>ORD-2025-00619</t>
  </si>
  <si>
    <t>ORD-2025-00620</t>
  </si>
  <si>
    <t>ORD-2025-00621</t>
  </si>
  <si>
    <t>ORD-2025-00622</t>
  </si>
  <si>
    <t>ORD-2025-00623</t>
  </si>
  <si>
    <t>ORD-2025-00624</t>
  </si>
  <si>
    <t>ORD-2025-00625</t>
  </si>
  <si>
    <t>ORD-2025-00626</t>
  </si>
  <si>
    <t>Maya White , Quebec City , Corporate</t>
  </si>
  <si>
    <t>ORD-2025-00627</t>
  </si>
  <si>
    <t>ORD-2025-00628</t>
  </si>
  <si>
    <t>ORD-2025-00629</t>
  </si>
  <si>
    <t>Amine King , Edmonton , Consumer</t>
  </si>
  <si>
    <t>ORD-2025-00630</t>
  </si>
  <si>
    <t>ORD-2025-00631</t>
  </si>
  <si>
    <t>ORD-2025-00632</t>
  </si>
  <si>
    <t>ORD-2025-00633</t>
  </si>
  <si>
    <t>Noah Brown , Montreal , Consumer</t>
  </si>
  <si>
    <t>ORD-2025-00634</t>
  </si>
  <si>
    <t>ORD-2025-00635</t>
  </si>
  <si>
    <t>Ava Scott , Edmonton , Corporate</t>
  </si>
  <si>
    <t>ORD-2025-00636</t>
  </si>
  <si>
    <t>ORD-2025-00637</t>
  </si>
  <si>
    <t>ORD-2025-00638</t>
  </si>
  <si>
    <t>ORD-2025-00639</t>
  </si>
  <si>
    <t>ORD-2025-00640</t>
  </si>
  <si>
    <t>ORD-2025-00641</t>
  </si>
  <si>
    <t>ORD-2025-00642</t>
  </si>
  <si>
    <t>ORD-2025-00643</t>
  </si>
  <si>
    <t>Adam Roy , Edmonton , Corporate</t>
  </si>
  <si>
    <t>ORD-2025-00644</t>
  </si>
  <si>
    <t>ORD-2025-00645</t>
  </si>
  <si>
    <t>ORD-2025-00646</t>
  </si>
  <si>
    <t>ORD-2025-00647</t>
  </si>
  <si>
    <t>Nora King , Halifax , Corporate</t>
  </si>
  <si>
    <t>ORD-2025-00648</t>
  </si>
  <si>
    <t>ORD-2025-00649</t>
  </si>
  <si>
    <t>ORD-2025-00650</t>
  </si>
  <si>
    <t>Adam Gagnon , Winnipeg , Consumer</t>
  </si>
  <si>
    <t>ORD-2025-00651</t>
  </si>
  <si>
    <t>ORD-2025-00652</t>
  </si>
  <si>
    <t>ORD-2025-00653</t>
  </si>
  <si>
    <t>ORD-2025-00654</t>
  </si>
  <si>
    <t>ORD-2025-00655</t>
  </si>
  <si>
    <t>ORD-2025-00656</t>
  </si>
  <si>
    <t>ORD-2025-00657</t>
  </si>
  <si>
    <t>ORD-2025-00658</t>
  </si>
  <si>
    <t>ORD-2025-00659</t>
  </si>
  <si>
    <t>ORD-2025-00660</t>
  </si>
  <si>
    <t>Ryan Roy , Laval , Corporate</t>
  </si>
  <si>
    <t>ORD-2025-00661</t>
  </si>
  <si>
    <t>ORD-2025-00662</t>
  </si>
  <si>
    <t>ORD-2025-00663</t>
  </si>
  <si>
    <t>Nora Wilson , Toronto , Small Business</t>
  </si>
  <si>
    <t>ORD-2025-00664</t>
  </si>
  <si>
    <t>ORD-2025-00665</t>
  </si>
  <si>
    <t>ORD-2025-00666</t>
  </si>
  <si>
    <t>ORD-2025-00667</t>
  </si>
  <si>
    <t>ORD-2025-00668</t>
  </si>
  <si>
    <t>ORD-2025-00669</t>
  </si>
  <si>
    <t>ORD-2025-00670</t>
  </si>
  <si>
    <t>ORD-2025-00671</t>
  </si>
  <si>
    <t>ORD-2025-00672</t>
  </si>
  <si>
    <t>ORD-2025-00673</t>
  </si>
  <si>
    <t>ORD-2025-00674</t>
  </si>
  <si>
    <t>ORD-2025-00675</t>
  </si>
  <si>
    <t>ORD-2025-00676</t>
  </si>
  <si>
    <t>ORD-2025-00677</t>
  </si>
  <si>
    <t>ORD-2025-00678</t>
  </si>
  <si>
    <t>ORD-2025-00679</t>
  </si>
  <si>
    <t>ORD-2025-00680</t>
  </si>
  <si>
    <t>ORD-2025-00681</t>
  </si>
  <si>
    <t>ORD-2025-00682</t>
  </si>
  <si>
    <t>ORD-2025-00683</t>
  </si>
  <si>
    <t>ORD-2025-00684</t>
  </si>
  <si>
    <t>ORD-2025-00685</t>
  </si>
  <si>
    <t>ORD-2025-00686</t>
  </si>
  <si>
    <t>ORD-2025-00687</t>
  </si>
  <si>
    <t>ORD-2025-00688</t>
  </si>
  <si>
    <t>ORD-2025-00689</t>
  </si>
  <si>
    <t>ORD-2025-00690</t>
  </si>
  <si>
    <t>ORD-2025-00691</t>
  </si>
  <si>
    <t>ORD-2025-00692</t>
  </si>
  <si>
    <t>ORD-2025-00693</t>
  </si>
  <si>
    <t>ORD-2025-00694</t>
  </si>
  <si>
    <t>ORD-2025-00695</t>
  </si>
  <si>
    <t>ORD-2025-00696</t>
  </si>
  <si>
    <t>ORD-2025-00697</t>
  </si>
  <si>
    <t>ORD-2025-00698</t>
  </si>
  <si>
    <t>ORD-2025-00699</t>
  </si>
  <si>
    <t>ORD-2025-00700</t>
  </si>
  <si>
    <t>ORD-2025-00701</t>
  </si>
  <si>
    <t>ORD-2025-00702</t>
  </si>
  <si>
    <t>ORD-2025-00703</t>
  </si>
  <si>
    <t>ORD-2025-00704</t>
  </si>
  <si>
    <t>ORD-2025-00705</t>
  </si>
  <si>
    <t>ORD-2025-00706</t>
  </si>
  <si>
    <t>ORD-2025-00707</t>
  </si>
  <si>
    <t>ORD-2025-00708</t>
  </si>
  <si>
    <t>ORD-2025-00709</t>
  </si>
  <si>
    <t>ORD-2025-00710</t>
  </si>
  <si>
    <t>Ethan King , Mississauga , Small Business</t>
  </si>
  <si>
    <t>ORD-2025-00711</t>
  </si>
  <si>
    <t>ORD-2025-00712</t>
  </si>
  <si>
    <t>ORD-2025-00713</t>
  </si>
  <si>
    <t>ORD-2025-00714</t>
  </si>
  <si>
    <t>ORD-2025-00715</t>
  </si>
  <si>
    <t>ORD-2025-00716</t>
  </si>
  <si>
    <t>ORD-2025-00717</t>
  </si>
  <si>
    <t>ORD-2025-00718</t>
  </si>
  <si>
    <t>ORD-2025-00719</t>
  </si>
  <si>
    <t>ORD-2025-00720</t>
  </si>
  <si>
    <t>Product_Name</t>
  </si>
  <si>
    <t>Category</t>
  </si>
  <si>
    <t>Subcategory</t>
  </si>
  <si>
    <t>Unit_Cost</t>
  </si>
  <si>
    <t>List_Price</t>
  </si>
  <si>
    <t>Supplier</t>
  </si>
  <si>
    <t>Headphones</t>
  </si>
  <si>
    <t>Electronics</t>
  </si>
  <si>
    <t>Prairie Distribution</t>
  </si>
  <si>
    <t>Keyboard</t>
  </si>
  <si>
    <t>UrbanSource</t>
  </si>
  <si>
    <t>Mouse</t>
  </si>
  <si>
    <t>Pacific Imports</t>
  </si>
  <si>
    <t>Webcam</t>
  </si>
  <si>
    <t>Maple Supply Co.</t>
  </si>
  <si>
    <t>Portable SSD</t>
  </si>
  <si>
    <t>USB-C Hub</t>
  </si>
  <si>
    <t>Monitor</t>
  </si>
  <si>
    <t>Smart Speaker</t>
  </si>
  <si>
    <t>Notebook</t>
  </si>
  <si>
    <t>Office</t>
  </si>
  <si>
    <t>Desk Lamp</t>
  </si>
  <si>
    <t>Office Chair</t>
  </si>
  <si>
    <t>Standing Desk</t>
  </si>
  <si>
    <t>Whiteboard</t>
  </si>
  <si>
    <t>Document Shredder</t>
  </si>
  <si>
    <t>Desk Organizer</t>
  </si>
  <si>
    <t>Northern Wholesale</t>
  </si>
  <si>
    <t>Printer</t>
  </si>
  <si>
    <t>Coffee Maker</t>
  </si>
  <si>
    <t>Home</t>
  </si>
  <si>
    <t>Air Fryer</t>
  </si>
  <si>
    <t>Vacuum</t>
  </si>
  <si>
    <t>Blender</t>
  </si>
  <si>
    <t>Kettle</t>
  </si>
  <si>
    <t>Humidifier</t>
  </si>
  <si>
    <t>Toaster</t>
  </si>
  <si>
    <t>Food Scale</t>
  </si>
  <si>
    <t>Yoga Mat</t>
  </si>
  <si>
    <t>Fitness</t>
  </si>
  <si>
    <t>Resistance Bands</t>
  </si>
  <si>
    <t>Kettlebell</t>
  </si>
  <si>
    <t>Foam Roller</t>
  </si>
  <si>
    <t>Jump Rope</t>
  </si>
  <si>
    <t>Pull-up Bar</t>
  </si>
  <si>
    <t>Dumbbell Set</t>
  </si>
  <si>
    <t>Gym Bag</t>
  </si>
  <si>
    <t>Backpack</t>
  </si>
  <si>
    <t>Accessories</t>
  </si>
  <si>
    <t>Laptop Sleeve</t>
  </si>
  <si>
    <t>Phone Stand</t>
  </si>
  <si>
    <t>Power Bank</t>
  </si>
  <si>
    <t>Cable Set</t>
  </si>
  <si>
    <t>Water Bottle</t>
  </si>
  <si>
    <t>Travel Adapter</t>
  </si>
  <si>
    <t>Desk Pad</t>
  </si>
  <si>
    <t>Customer_Name</t>
  </si>
  <si>
    <t>City</t>
  </si>
  <si>
    <t>Region</t>
  </si>
  <si>
    <t>Segment</t>
  </si>
  <si>
    <t>Signup_Date</t>
  </si>
  <si>
    <t>Ethan Roy</t>
  </si>
  <si>
    <t>Halifax</t>
  </si>
  <si>
    <t>Nova Scotia</t>
  </si>
  <si>
    <t>Consumer</t>
  </si>
  <si>
    <t>Ryan Johnson</t>
  </si>
  <si>
    <t>Montreal</t>
  </si>
  <si>
    <t>Quebec</t>
  </si>
  <si>
    <t>Small Business</t>
  </si>
  <si>
    <t>Amelia Young</t>
  </si>
  <si>
    <t>Ottawa</t>
  </si>
  <si>
    <t>Ontario</t>
  </si>
  <si>
    <t>Corporate</t>
  </si>
  <si>
    <t>Mia Bennett</t>
  </si>
  <si>
    <t>Laval</t>
  </si>
  <si>
    <t>Yasmine Taylor</t>
  </si>
  <si>
    <t>Calgary</t>
  </si>
  <si>
    <t>Alberta</t>
  </si>
  <si>
    <t>Nora Wilson</t>
  </si>
  <si>
    <t>Lucas Wilson</t>
  </si>
  <si>
    <t>Mia Wilson</t>
  </si>
  <si>
    <t>Ethan Tremblay</t>
  </si>
  <si>
    <t>Mississauga</t>
  </si>
  <si>
    <t>Ethan Martin</t>
  </si>
  <si>
    <t>Victoria</t>
  </si>
  <si>
    <t>British Columbia</t>
  </si>
  <si>
    <t>Ethan Hall</t>
  </si>
  <si>
    <t>Quebec City</t>
  </si>
  <si>
    <t>Daniel Taylor</t>
  </si>
  <si>
    <t>Amelia Martin</t>
  </si>
  <si>
    <t>Zoe Scott</t>
  </si>
  <si>
    <t>Zoe Singh</t>
  </si>
  <si>
    <t>Nora Singh</t>
  </si>
  <si>
    <t>Yasmine Khan</t>
  </si>
  <si>
    <t>Sophia Tremblay</t>
  </si>
  <si>
    <t>Lucas Taylor</t>
  </si>
  <si>
    <t>Nora Khan</t>
  </si>
  <si>
    <t>Nora King</t>
  </si>
  <si>
    <t>Adam White</t>
  </si>
  <si>
    <t>Ryan Gagnon</t>
  </si>
  <si>
    <t>Ryan King</t>
  </si>
  <si>
    <t>Emma Gagnon</t>
  </si>
  <si>
    <t>Surrey</t>
  </si>
  <si>
    <t>Adam Hall</t>
  </si>
  <si>
    <t>Toronto</t>
  </si>
  <si>
    <t>Mia Clark</t>
  </si>
  <si>
    <t>Olivia White</t>
  </si>
  <si>
    <t>Emma Lee</t>
  </si>
  <si>
    <t>Leo Gagnon</t>
  </si>
  <si>
    <t>Nora Bennett</t>
  </si>
  <si>
    <t>Maya Hall</t>
  </si>
  <si>
    <t>Winnipeg</t>
  </si>
  <si>
    <t>Manitoba</t>
  </si>
  <si>
    <t>Noah Tremblay</t>
  </si>
  <si>
    <t>Amelia Scott</t>
  </si>
  <si>
    <t>Edmonton</t>
  </si>
  <si>
    <t>Sarah Wilson</t>
  </si>
  <si>
    <t>Lucas Scott</t>
  </si>
  <si>
    <t>Noah Brown</t>
  </si>
  <si>
    <t>Ethan Young</t>
  </si>
  <si>
    <t>Amine Chen</t>
  </si>
  <si>
    <t>Emma King</t>
  </si>
  <si>
    <t>Ava Brown</t>
  </si>
  <si>
    <t>Nora Young</t>
  </si>
  <si>
    <t>Vancouver</t>
  </si>
  <si>
    <t>Lucas Chen</t>
  </si>
  <si>
    <t>Amelia Bennett</t>
  </si>
  <si>
    <t>Amine King</t>
  </si>
  <si>
    <t>Amelia Brown</t>
  </si>
  <si>
    <t>Olivia Scott</t>
  </si>
  <si>
    <t>Sarah Singh</t>
  </si>
  <si>
    <t>Daniel Brown</t>
  </si>
  <si>
    <t>Liam Bennett</t>
  </si>
  <si>
    <t>Ryan Lee</t>
  </si>
  <si>
    <t>Sarah Scott</t>
  </si>
  <si>
    <t>Adam Khan</t>
  </si>
  <si>
    <t>Mia Singh</t>
  </si>
  <si>
    <t>Zoe Hall</t>
  </si>
  <si>
    <t>Yasmine Scott</t>
  </si>
  <si>
    <t>Adam Singh</t>
  </si>
  <si>
    <t>Amine Khan</t>
  </si>
  <si>
    <t>Noah Clark</t>
  </si>
  <si>
    <t>Leo Bennett</t>
  </si>
  <si>
    <t>Yasmine Martin</t>
  </si>
  <si>
    <t>Sarah White</t>
  </si>
  <si>
    <t>Sophia Young</t>
  </si>
  <si>
    <t>Ethan Lee</t>
  </si>
  <si>
    <t>Ryan Bennett</t>
  </si>
  <si>
    <t>Olivia Singh</t>
  </si>
  <si>
    <t>Sophia Chen</t>
  </si>
  <si>
    <t>Amelia Wilson</t>
  </si>
  <si>
    <t>Maya Taylor</t>
  </si>
  <si>
    <t>Saskatoon</t>
  </si>
  <si>
    <t>Saskatchewan</t>
  </si>
  <si>
    <t>Amine Taylor</t>
  </si>
  <si>
    <t>Sarah Smith</t>
  </si>
  <si>
    <t>Sophia Scott</t>
  </si>
  <si>
    <t>Yasmine Bennett</t>
  </si>
  <si>
    <t>Ryan Clark</t>
  </si>
  <si>
    <t>Yasmine Clark</t>
  </si>
  <si>
    <t>Adam Gagnon</t>
  </si>
  <si>
    <t>Daniel Johnson</t>
  </si>
  <si>
    <t>Olivia Bennett</t>
  </si>
  <si>
    <t>Lucas Martin</t>
  </si>
  <si>
    <t>Leo Taylor</t>
  </si>
  <si>
    <t>Lucas Tremblay</t>
  </si>
  <si>
    <t>Maya White</t>
  </si>
  <si>
    <t>Ryan Roy</t>
  </si>
  <si>
    <t>Sarah Khan</t>
  </si>
  <si>
    <t>Amine Gagnon</t>
  </si>
  <si>
    <t>Yasmine Smith</t>
  </si>
  <si>
    <t>Noah Martin</t>
  </si>
  <si>
    <t>Adam Roy</t>
  </si>
  <si>
    <t>Ava Scott</t>
  </si>
  <si>
    <t>Liam Martin</t>
  </si>
  <si>
    <t>Liam Gagnon</t>
  </si>
  <si>
    <t>Ava Lee</t>
  </si>
  <si>
    <t>Noah Lee</t>
  </si>
  <si>
    <t>Emma Wilson</t>
  </si>
  <si>
    <t>Noah Khan</t>
  </si>
  <si>
    <t>Ava Bennett</t>
  </si>
  <si>
    <t>Olivia Johnson</t>
  </si>
  <si>
    <t>Nora Lee</t>
  </si>
  <si>
    <t>Lucas Brown</t>
  </si>
  <si>
    <t>Ryan Smith</t>
  </si>
  <si>
    <t>Liam Chen</t>
  </si>
  <si>
    <t>Ethan King</t>
  </si>
  <si>
    <t>Month</t>
  </si>
  <si>
    <t>Sales_Target</t>
  </si>
  <si>
    <t>Profit_Target</t>
  </si>
  <si>
    <t>Orders_Target</t>
  </si>
  <si>
    <t>Sheet</t>
  </si>
  <si>
    <t>Field</t>
  </si>
  <si>
    <t>Meaning / Expected Use</t>
  </si>
  <si>
    <t>Raw_Sales</t>
  </si>
  <si>
    <t>Transaction identifier; use it to detect duplicates.</t>
  </si>
  <si>
    <t>Order date. Create Month, Quarter, Year fields from it.</t>
  </si>
  <si>
    <t>Customer key. Some values contain accidental spaces.</t>
  </si>
  <si>
    <t>Product key. Some values contain accidental spaces.</t>
  </si>
  <si>
    <t>Combined Name, City, Segment text. Practice FIND/MID/TRIM.</t>
  </si>
  <si>
    <t>Store/location text with intentional spacing issues.</t>
  </si>
  <si>
    <t>Sales channel with inconsistent capitalization/spelling/spacing.</t>
  </si>
  <si>
    <t>Units sold.</t>
  </si>
  <si>
    <t>Actual unit selling price before discount.</t>
  </si>
  <si>
    <t>Discount rate.</t>
  </si>
  <si>
    <t>Payment method with inconsistent labels and some blanks.</t>
  </si>
  <si>
    <t>Days from order to delivery/collection.</t>
  </si>
  <si>
    <t>Whether the order was returned.</t>
  </si>
  <si>
    <t>Products</t>
  </si>
  <si>
    <t>Product cost; use lookup to calculate cost and profit.</t>
  </si>
  <si>
    <t>Customers</t>
  </si>
  <si>
    <t>Region / Segment</t>
  </si>
  <si>
    <t>Use lookup to enrich transactions and analyze customers.</t>
  </si>
  <si>
    <t>Monthly_Targets</t>
  </si>
  <si>
    <t>Targets</t>
  </si>
  <si>
    <t>Compare actual sales/profit/orders against monthly business goals.</t>
  </si>
  <si>
    <t>Channel_clean</t>
  </si>
  <si>
    <t>Store_clean</t>
  </si>
  <si>
    <t>Payment_Method_clean</t>
  </si>
  <si>
    <t>Customer_ID_clean</t>
  </si>
  <si>
    <t>Customer_City</t>
  </si>
  <si>
    <t>Customer_Segment</t>
  </si>
  <si>
    <t>Gross_Sales</t>
  </si>
  <si>
    <t>Discount_Amount</t>
  </si>
  <si>
    <t>Net_Sales</t>
  </si>
  <si>
    <t>Total_Cost</t>
  </si>
  <si>
    <t>Profit</t>
  </si>
  <si>
    <t>Profit_Margin</t>
  </si>
  <si>
    <t>Return_Flag</t>
  </si>
  <si>
    <t>Year</t>
  </si>
  <si>
    <t>Month_Number</t>
  </si>
  <si>
    <t>Quarter</t>
  </si>
  <si>
    <t>Actual_Sales</t>
  </si>
  <si>
    <t>Target_Sales</t>
  </si>
  <si>
    <t>Variance</t>
  </si>
  <si>
    <t>Achievement_Rate</t>
  </si>
  <si>
    <t>Month_Start</t>
  </si>
  <si>
    <t>Total</t>
  </si>
  <si>
    <t>Étiquettes de lignes</t>
  </si>
  <si>
    <t>Somme de Profit</t>
  </si>
  <si>
    <t>Total général</t>
  </si>
  <si>
    <t>Somme de Net_Sales</t>
  </si>
  <si>
    <t>Moyenne de Return_Flag</t>
  </si>
  <si>
    <t>Northstar Retail | Tableau de bord de performance commerciale</t>
  </si>
  <si>
    <t>Ventes nettes</t>
  </si>
  <si>
    <t>Profit total</t>
  </si>
  <si>
    <t>Commandes totales</t>
  </si>
  <si>
    <t>Atteinte de l’objectif</t>
  </si>
  <si>
    <r>
      <rPr>
        <b/>
        <i/>
        <u/>
        <sz val="16"/>
        <color theme="9"/>
        <rFont val="Carlito"/>
      </rPr>
      <t>POINTS CLÉS — VUE GLOBALE</t>
    </r>
    <r>
      <rPr>
        <b/>
        <sz val="16"/>
        <rFont val="Carlito"/>
      </rPr>
      <t xml:space="preserve">
• British Columbia est la région la plus performante,
  avec 83 660 $ de ventes nettes.
• Office présente le taux de retour le plus élevé :
  10,2 %.
• Le meilleur taux d’atteinte mensuel est observé
  en janvier : 58 %.</t>
    </r>
  </si>
</sst>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0.00"/>
    <numFmt numFmtId="165" formatCode="yyyy\-mm\-dd"/>
    <numFmt numFmtId="166" formatCode="mmm\-yyyy"/>
    <numFmt numFmtId="167" formatCode="\$#,##0"/>
    <numFmt numFmtId="168" formatCode="0.0%"/>
    <numFmt numFmtId="169" formatCode="mmmm\ yyyy"/>
    <numFmt numFmtId="174" formatCode="#,##0.00\ &quot;€&quot;"/>
  </numFmts>
  <fonts count="14">
    <font>
      <sz val="11"/>
      <name val="Carlito"/>
    </font>
    <font>
      <b/>
      <sz val="11"/>
      <color rgb="FFFFFFFF"/>
      <name val="Carlito"/>
    </font>
    <font>
      <b/>
      <sz val="16"/>
      <color rgb="FFFFFFFF"/>
      <name val="Carlito"/>
    </font>
    <font>
      <b/>
      <sz val="11"/>
      <color rgb="FF17365D"/>
      <name val="Carlito"/>
    </font>
    <font>
      <sz val="11"/>
      <name val="Carlito"/>
    </font>
    <font>
      <sz val="10"/>
      <name val="Arial Unicode MS"/>
      <family val="2"/>
    </font>
    <font>
      <sz val="11"/>
      <color theme="1"/>
      <name val="Carlito"/>
    </font>
    <font>
      <b/>
      <sz val="14"/>
      <name val="Carlito"/>
    </font>
    <font>
      <b/>
      <sz val="16"/>
      <name val="Carlito"/>
    </font>
    <font>
      <sz val="12"/>
      <name val="Arial Unicode MS"/>
      <family val="2"/>
    </font>
    <font>
      <sz val="14"/>
      <name val="Carlito"/>
    </font>
    <font>
      <sz val="14"/>
      <name val="Arial Unicode MS"/>
      <family val="2"/>
    </font>
    <font>
      <sz val="18"/>
      <name val="Carlito"/>
    </font>
    <font>
      <b/>
      <i/>
      <u/>
      <sz val="16"/>
      <color theme="9"/>
      <name val="Carlito"/>
    </font>
  </fonts>
  <fills count="11">
    <fill>
      <patternFill patternType="none"/>
    </fill>
    <fill>
      <patternFill patternType="gray125"/>
    </fill>
    <fill>
      <patternFill patternType="solid">
        <fgColor rgb="FF4472C4"/>
      </patternFill>
    </fill>
    <fill>
      <patternFill patternType="solid">
        <fgColor rgb="FF17365D"/>
      </patternFill>
    </fill>
    <fill>
      <patternFill patternType="solid">
        <fgColor rgb="FFD9EAF7"/>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00B050"/>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theme="5" tint="0.39997558519241921"/>
        <bgColor indexed="64"/>
      </patternFill>
    </fill>
  </fills>
  <borders count="10">
    <border>
      <left/>
      <right/>
      <top/>
      <bottom/>
      <diagonal/>
    </border>
    <border>
      <left style="thin">
        <color theme="4" tint="0.39997558519241921"/>
      </left>
      <right/>
      <top style="thin">
        <color theme="4" tint="0.39997558519241921"/>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4" fillId="0" borderId="0" applyFont="0" applyFill="0" applyBorder="0" applyAlignment="0" applyProtection="0"/>
  </cellStyleXfs>
  <cellXfs count="46">
    <xf numFmtId="0" fontId="0" fillId="0" borderId="0" xfId="0"/>
    <xf numFmtId="0" fontId="1" fillId="2" borderId="0" xfId="0" applyNumberFormat="1" applyFont="1" applyFill="1" applyBorder="1" applyAlignment="1">
      <alignment horizontal="center" vertical="center" wrapText="1"/>
    </xf>
    <xf numFmtId="164" fontId="0" fillId="0" borderId="0" xfId="0" applyNumberFormat="1" applyFont="1" applyFill="1" applyBorder="1"/>
    <xf numFmtId="165" fontId="0" fillId="0" borderId="0" xfId="0" applyNumberFormat="1" applyFont="1" applyFill="1" applyBorder="1"/>
    <xf numFmtId="9" fontId="0" fillId="0" borderId="0" xfId="0" applyNumberFormat="1" applyFont="1" applyFill="1" applyBorder="1"/>
    <xf numFmtId="166" fontId="0" fillId="0" borderId="0" xfId="0" applyNumberFormat="1" applyFont="1" applyFill="1" applyBorder="1"/>
    <xf numFmtId="167" fontId="0" fillId="0" borderId="0" xfId="0" applyNumberFormat="1" applyFont="1" applyFill="1" applyBorder="1"/>
    <xf numFmtId="0" fontId="0" fillId="0" borderId="0" xfId="0" applyNumberFormat="1" applyFont="1" applyFill="1" applyBorder="1" applyAlignment="1">
      <alignment wrapText="1"/>
    </xf>
    <xf numFmtId="0" fontId="0" fillId="0" borderId="0" xfId="0" applyNumberFormat="1"/>
    <xf numFmtId="168" fontId="0" fillId="0" borderId="0" xfId="1" applyNumberFormat="1" applyFont="1"/>
    <xf numFmtId="0" fontId="5" fillId="0" borderId="0" xfId="0" applyFont="1"/>
    <xf numFmtId="166" fontId="6" fillId="5" borderId="1" xfId="0" applyNumberFormat="1" applyFont="1" applyFill="1" applyBorder="1"/>
    <xf numFmtId="166" fontId="6" fillId="0" borderId="1" xfId="0" applyNumberFormat="1" applyFont="1" applyBorder="1"/>
    <xf numFmtId="169" fontId="0" fillId="0" borderId="0" xfId="0" applyNumberFormat="1"/>
    <xf numFmtId="9" fontId="0" fillId="0" borderId="0" xfId="1" applyFont="1"/>
    <xf numFmtId="2" fontId="0" fillId="0" borderId="0" xfId="1" applyNumberFormat="1" applyFont="1"/>
    <xf numFmtId="0" fontId="7" fillId="0" borderId="0" xfId="0" applyFont="1"/>
    <xf numFmtId="2" fontId="7" fillId="0" borderId="0" xfId="1" applyNumberFormat="1" applyFont="1"/>
    <xf numFmtId="168" fontId="7" fillId="0" borderId="0" xfId="1" applyNumberFormat="1" applyFont="1"/>
    <xf numFmtId="0" fontId="0" fillId="0" borderId="0" xfId="0" pivotButton="1"/>
    <xf numFmtId="0" fontId="0" fillId="0" borderId="0" xfId="0" applyAlignment="1">
      <alignment horizontal="left"/>
    </xf>
    <xf numFmtId="9" fontId="0" fillId="0" borderId="0" xfId="0" applyNumberFormat="1"/>
    <xf numFmtId="168" fontId="0" fillId="0" borderId="0" xfId="0" applyNumberFormat="1"/>
    <xf numFmtId="2" fontId="7" fillId="0" borderId="0" xfId="0" applyNumberFormat="1" applyFont="1"/>
    <xf numFmtId="0" fontId="3" fillId="4" borderId="0" xfId="0" applyNumberFormat="1" applyFont="1" applyFill="1" applyBorder="1" applyAlignment="1">
      <alignment vertical="center"/>
    </xf>
    <xf numFmtId="0" fontId="2" fillId="3" borderId="0" xfId="0" applyNumberFormat="1" applyFont="1" applyFill="1" applyBorder="1" applyAlignment="1">
      <alignment horizontal="left" vertical="center"/>
    </xf>
    <xf numFmtId="0" fontId="0" fillId="0" borderId="0" xfId="0" applyNumberFormat="1" applyFont="1" applyFill="1" applyBorder="1" applyAlignment="1">
      <alignment vertical="top" wrapText="1"/>
    </xf>
    <xf numFmtId="0" fontId="7" fillId="0" borderId="0" xfId="0" applyFont="1" applyBorder="1"/>
    <xf numFmtId="0" fontId="0" fillId="0" borderId="3" xfId="0" applyBorder="1"/>
    <xf numFmtId="0" fontId="0" fillId="0" borderId="4" xfId="0" applyBorder="1"/>
    <xf numFmtId="0" fontId="0" fillId="0" borderId="5" xfId="0" applyBorder="1"/>
    <xf numFmtId="0" fontId="0" fillId="0" borderId="0" xfId="0" applyBorder="1"/>
    <xf numFmtId="0" fontId="0" fillId="0" borderId="6" xfId="0" applyBorder="1"/>
    <xf numFmtId="0" fontId="0" fillId="0" borderId="7" xfId="0" applyBorder="1"/>
    <xf numFmtId="0" fontId="0" fillId="0" borderId="8" xfId="0" applyBorder="1"/>
    <xf numFmtId="0" fontId="0" fillId="0" borderId="9" xfId="0" applyBorder="1"/>
    <xf numFmtId="0" fontId="10" fillId="6" borderId="0" xfId="0" applyFont="1" applyFill="1"/>
    <xf numFmtId="174" fontId="11" fillId="6" borderId="0" xfId="0" applyNumberFormat="1" applyFont="1" applyFill="1" applyAlignment="1">
      <alignment vertical="center"/>
    </xf>
    <xf numFmtId="0" fontId="10" fillId="7" borderId="0" xfId="0" applyFont="1" applyFill="1"/>
    <xf numFmtId="174" fontId="11" fillId="7" borderId="0" xfId="0" applyNumberFormat="1" applyFont="1" applyFill="1" applyAlignment="1">
      <alignment vertical="center"/>
    </xf>
    <xf numFmtId="0" fontId="10" fillId="8" borderId="0" xfId="0" applyFont="1" applyFill="1"/>
    <xf numFmtId="1" fontId="11" fillId="8" borderId="0" xfId="0" applyNumberFormat="1" applyFont="1" applyFill="1" applyAlignment="1">
      <alignment vertical="center"/>
    </xf>
    <xf numFmtId="0" fontId="9" fillId="10" borderId="0" xfId="0" applyFont="1" applyFill="1" applyAlignment="1">
      <alignment vertical="center"/>
    </xf>
    <xf numFmtId="168" fontId="9" fillId="10" borderId="0" xfId="1" applyNumberFormat="1" applyFont="1" applyFill="1" applyAlignment="1">
      <alignment vertical="center"/>
    </xf>
    <xf numFmtId="0" fontId="12" fillId="9" borderId="0" xfId="0" applyFont="1" applyFill="1" applyAlignment="1">
      <alignment horizontal="center"/>
    </xf>
    <xf numFmtId="0" fontId="8" fillId="0" borderId="2" xfId="0" applyFont="1" applyBorder="1" applyAlignment="1">
      <alignment wrapText="1"/>
    </xf>
  </cellXfs>
  <cellStyles count="2">
    <cellStyle name="Normal" xfId="0" builtinId="0"/>
    <cellStyle name="Pourcentage" xfId="1" builtinId="5"/>
  </cellStyles>
  <dxfs count="67">
    <dxf>
      <numFmt numFmtId="13" formatCode="0%"/>
    </dxf>
    <dxf>
      <numFmt numFmtId="168" formatCode="0.0%"/>
    </dxf>
    <dxf>
      <numFmt numFmtId="13" formatCode="0%"/>
    </dxf>
    <dxf>
      <numFmt numFmtId="168" formatCode="0.0%"/>
    </dxf>
    <dxf>
      <numFmt numFmtId="13" formatCode="0%"/>
    </dxf>
    <dxf>
      <numFmt numFmtId="168" formatCode="0.0%"/>
    </dxf>
    <dxf>
      <numFmt numFmtId="13" formatCode="0%"/>
    </dxf>
    <dxf>
      <numFmt numFmtId="168" formatCode="0.0%"/>
    </dxf>
    <dxf>
      <numFmt numFmtId="13" formatCode="0%"/>
    </dxf>
    <dxf>
      <numFmt numFmtId="168" formatCode="0.0%"/>
    </dxf>
    <dxf>
      <numFmt numFmtId="13" formatCode="0%"/>
    </dxf>
    <dxf>
      <numFmt numFmtId="168" formatCode="0.0%"/>
    </dxf>
    <dxf>
      <numFmt numFmtId="13" formatCode="0%"/>
    </dxf>
    <dxf>
      <numFmt numFmtId="168" formatCode="0.0%"/>
    </dxf>
    <dxf>
      <numFmt numFmtId="13" formatCode="0%"/>
    </dxf>
    <dxf>
      <numFmt numFmtId="168" formatCode="0.0%"/>
    </dxf>
    <dxf>
      <numFmt numFmtId="13" formatCode="0%"/>
    </dxf>
    <dxf>
      <numFmt numFmtId="168" formatCode="0.0%"/>
    </dxf>
    <dxf>
      <numFmt numFmtId="13" formatCode="0%"/>
    </dxf>
    <dxf>
      <numFmt numFmtId="168" formatCode="0.0%"/>
    </dxf>
    <dxf>
      <numFmt numFmtId="13" formatCode="0%"/>
    </dxf>
    <dxf>
      <numFmt numFmtId="168" formatCode="0.0%"/>
    </dxf>
    <dxf>
      <numFmt numFmtId="13" formatCode="0%"/>
    </dxf>
    <dxf>
      <numFmt numFmtId="168" formatCode="0.0%"/>
    </dxf>
    <dxf>
      <numFmt numFmtId="13" formatCode="0%"/>
    </dxf>
    <dxf>
      <numFmt numFmtId="168" formatCode="0.0%"/>
    </dxf>
    <dxf>
      <numFmt numFmtId="13" formatCode="0%"/>
    </dxf>
    <dxf>
      <numFmt numFmtId="168" formatCode="0.0%"/>
    </dxf>
    <dxf>
      <numFmt numFmtId="13" formatCode="0%"/>
    </dxf>
    <dxf>
      <numFmt numFmtId="168" formatCode="0.0%"/>
    </dxf>
    <dxf>
      <numFmt numFmtId="13" formatCode="0%"/>
    </dxf>
    <dxf>
      <numFmt numFmtId="168" formatCode="0.0%"/>
    </dxf>
    <dxf>
      <numFmt numFmtId="13" formatCode="0%"/>
    </dxf>
    <dxf>
      <numFmt numFmtId="168" formatCode="0.0%"/>
    </dxf>
    <dxf>
      <numFmt numFmtId="13" formatCode="0%"/>
    </dxf>
    <dxf>
      <numFmt numFmtId="168" formatCode="0.0%"/>
    </dxf>
    <dxf>
      <numFmt numFmtId="13" formatCode="0%"/>
    </dxf>
    <dxf>
      <numFmt numFmtId="168" formatCode="0.0%"/>
    </dxf>
    <dxf>
      <numFmt numFmtId="13" formatCode="0%"/>
    </dxf>
    <dxf>
      <numFmt numFmtId="168" formatCode="0.0%"/>
    </dxf>
    <dxf>
      <numFmt numFmtId="168" formatCode="0.0%"/>
    </dxf>
    <dxf>
      <numFmt numFmtId="13" formatCode="0%"/>
    </dxf>
    <dxf>
      <numFmt numFmtId="0" formatCode="General"/>
    </dxf>
    <dxf>
      <numFmt numFmtId="169" formatCode="mmmm\ yyyy"/>
    </dxf>
    <dxf>
      <numFmt numFmtId="0" formatCode="General"/>
    </dxf>
    <dxf>
      <numFmt numFmtId="0" formatCode="General"/>
    </dxf>
    <dxf>
      <numFmt numFmtId="0" formatCode="General"/>
    </dxf>
    <dxf>
      <numFmt numFmtId="0" formatCode="General"/>
    </dxf>
    <dxf>
      <numFmt numFmtId="0" formatCode="General"/>
    </dxf>
    <dxf>
      <numFmt numFmtId="168"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rgb="FF4472C4"/>
          <bgColor rgb="FFFFFFFF"/>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Évolution mensuelle des ventes nettes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Analysis!$B$1</c:f>
              <c:strCache>
                <c:ptCount val="1"/>
                <c:pt idx="0">
                  <c:v>Actual_Sales</c:v>
                </c:pt>
              </c:strCache>
            </c:strRef>
          </c:tx>
          <c:spPr>
            <a:solidFill>
              <a:schemeClr val="accent1"/>
            </a:solidFill>
            <a:ln>
              <a:noFill/>
            </a:ln>
            <a:effectLst/>
          </c:spPr>
          <c:invertIfNegative val="0"/>
          <c:cat>
            <c:numRef>
              <c:f>Analysis!$A$2:$A$13</c:f>
              <c:numCache>
                <c:formatCode>mmm\-yyyy</c:formatCode>
                <c:ptCount val="12"/>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numCache>
            </c:numRef>
          </c:cat>
          <c:val>
            <c:numRef>
              <c:f>Analysis!$B$2:$B$13</c:f>
              <c:numCache>
                <c:formatCode>General</c:formatCode>
                <c:ptCount val="12"/>
                <c:pt idx="0">
                  <c:v>31702.062999999991</c:v>
                </c:pt>
                <c:pt idx="1">
                  <c:v>27095.088500000002</c:v>
                </c:pt>
                <c:pt idx="2">
                  <c:v>25880.701999999997</c:v>
                </c:pt>
                <c:pt idx="3">
                  <c:v>22955.643500000002</c:v>
                </c:pt>
                <c:pt idx="4">
                  <c:v>27801.915499999999</c:v>
                </c:pt>
                <c:pt idx="5">
                  <c:v>19397.3995</c:v>
                </c:pt>
                <c:pt idx="6">
                  <c:v>24262.9035</c:v>
                </c:pt>
                <c:pt idx="7">
                  <c:v>24991.073499999999</c:v>
                </c:pt>
                <c:pt idx="8">
                  <c:v>20135.739000000009</c:v>
                </c:pt>
                <c:pt idx="9">
                  <c:v>25102.286</c:v>
                </c:pt>
                <c:pt idx="10">
                  <c:v>27689.658999999996</c:v>
                </c:pt>
                <c:pt idx="11">
                  <c:v>23136.78799999999</c:v>
                </c:pt>
              </c:numCache>
            </c:numRef>
          </c:val>
        </c:ser>
        <c:dLbls>
          <c:showLegendKey val="0"/>
          <c:showVal val="0"/>
          <c:showCatName val="0"/>
          <c:showSerName val="0"/>
          <c:showPercent val="0"/>
          <c:showBubbleSize val="0"/>
        </c:dLbls>
        <c:gapWidth val="219"/>
        <c:overlap val="-27"/>
        <c:axId val="-748871072"/>
        <c:axId val="-748866176"/>
      </c:barChart>
      <c:dateAx>
        <c:axId val="-748871072"/>
        <c:scaling>
          <c:orientation val="minMax"/>
        </c:scaling>
        <c:delete val="0"/>
        <c:axPos val="b"/>
        <c:numFmt formatCode="m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866176"/>
        <c:crosses val="autoZero"/>
        <c:auto val="1"/>
        <c:lblOffset val="100"/>
        <c:baseTimeUnit val="months"/>
      </c:dateAx>
      <c:valAx>
        <c:axId val="-748866176"/>
        <c:scaling>
          <c:orientation val="minMax"/>
        </c:scaling>
        <c:delete val="0"/>
        <c:axPos val="l"/>
        <c:majorGridlines>
          <c:spPr>
            <a:ln w="9525" cap="flat" cmpd="sng" algn="ctr">
              <a:solidFill>
                <a:schemeClr val="tx1">
                  <a:lumMod val="15000"/>
                  <a:lumOff val="85000"/>
                </a:schemeClr>
              </a:solidFill>
              <a:round/>
            </a:ln>
            <a:effectLst/>
          </c:spPr>
        </c:majorGridlines>
        <c:numFmt formatCode="#,##0\ &quo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871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[Northstar_Retail_Excel_Project_Analysis.xlsx]Analysis!Tableau croisé dynamique4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Ventes et profit par région</a:t>
            </a:r>
            <a:endParaRPr lang="en-US"/>
          </a:p>
        </c:rich>
      </c:tx>
      <c:layout>
        <c:manualLayout>
          <c:xMode val="edge"/>
          <c:yMode val="edge"/>
          <c:x val="0.3737290026246719"/>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35870516185476"/>
          <c:y val="0.26328484981044037"/>
          <c:w val="0.58513626421697285"/>
          <c:h val="0.35589275298920969"/>
        </c:manualLayout>
      </c:layout>
      <c:barChart>
        <c:barDir val="col"/>
        <c:grouping val="clustered"/>
        <c:varyColors val="0"/>
        <c:ser>
          <c:idx val="0"/>
          <c:order val="0"/>
          <c:tx>
            <c:strRef>
              <c:f>Analysis!$H$5</c:f>
              <c:strCache>
                <c:ptCount val="1"/>
                <c:pt idx="0">
                  <c:v>Somme de Net_Sales</c:v>
                </c:pt>
              </c:strCache>
            </c:strRef>
          </c:tx>
          <c:spPr>
            <a:solidFill>
              <a:schemeClr val="accent1"/>
            </a:solidFill>
            <a:ln>
              <a:noFill/>
            </a:ln>
            <a:effectLst/>
          </c:spPr>
          <c:invertIfNegative val="0"/>
          <c:cat>
            <c:strRef>
              <c:f>Analysis!$G$6:$G$13</c:f>
              <c:strCache>
                <c:ptCount val="7"/>
                <c:pt idx="0">
                  <c:v>Saskatchewan</c:v>
                </c:pt>
                <c:pt idx="1">
                  <c:v>Manitoba</c:v>
                </c:pt>
                <c:pt idx="2">
                  <c:v>Nova Scotia</c:v>
                </c:pt>
                <c:pt idx="3">
                  <c:v>Alberta</c:v>
                </c:pt>
                <c:pt idx="4">
                  <c:v>Ontario</c:v>
                </c:pt>
                <c:pt idx="5">
                  <c:v>Quebec</c:v>
                </c:pt>
                <c:pt idx="6">
                  <c:v>British Columbia</c:v>
                </c:pt>
              </c:strCache>
            </c:strRef>
          </c:cat>
          <c:val>
            <c:numRef>
              <c:f>Analysis!$H$6:$H$13</c:f>
              <c:numCache>
                <c:formatCode>General</c:formatCode>
                <c:ptCount val="7"/>
                <c:pt idx="0">
                  <c:v>10220.334499999999</c:v>
                </c:pt>
                <c:pt idx="1">
                  <c:v>13613.973000000002</c:v>
                </c:pt>
                <c:pt idx="2">
                  <c:v>21377.3295</c:v>
                </c:pt>
                <c:pt idx="3">
                  <c:v>39540.695500000031</c:v>
                </c:pt>
                <c:pt idx="4">
                  <c:v>55456.890000000021</c:v>
                </c:pt>
                <c:pt idx="5">
                  <c:v>76281.695499999987</c:v>
                </c:pt>
                <c:pt idx="6">
                  <c:v>83660.343000000081</c:v>
                </c:pt>
              </c:numCache>
            </c:numRef>
          </c:val>
        </c:ser>
        <c:ser>
          <c:idx val="1"/>
          <c:order val="1"/>
          <c:tx>
            <c:strRef>
              <c:f>Analysis!$I$5</c:f>
              <c:strCache>
                <c:ptCount val="1"/>
                <c:pt idx="0">
                  <c:v>Somme de Profit</c:v>
                </c:pt>
              </c:strCache>
            </c:strRef>
          </c:tx>
          <c:spPr>
            <a:solidFill>
              <a:schemeClr val="accent2"/>
            </a:solidFill>
            <a:ln>
              <a:noFill/>
            </a:ln>
            <a:effectLst/>
          </c:spPr>
          <c:invertIfNegative val="0"/>
          <c:cat>
            <c:strRef>
              <c:f>Analysis!$G$6:$G$13</c:f>
              <c:strCache>
                <c:ptCount val="7"/>
                <c:pt idx="0">
                  <c:v>Saskatchewan</c:v>
                </c:pt>
                <c:pt idx="1">
                  <c:v>Manitoba</c:v>
                </c:pt>
                <c:pt idx="2">
                  <c:v>Nova Scotia</c:v>
                </c:pt>
                <c:pt idx="3">
                  <c:v>Alberta</c:v>
                </c:pt>
                <c:pt idx="4">
                  <c:v>Ontario</c:v>
                </c:pt>
                <c:pt idx="5">
                  <c:v>Quebec</c:v>
                </c:pt>
                <c:pt idx="6">
                  <c:v>British Columbia</c:v>
                </c:pt>
              </c:strCache>
            </c:strRef>
          </c:cat>
          <c:val>
            <c:numRef>
              <c:f>Analysis!$I$6:$I$13</c:f>
              <c:numCache>
                <c:formatCode>General</c:formatCode>
                <c:ptCount val="7"/>
                <c:pt idx="0">
                  <c:v>3463.7244999999998</c:v>
                </c:pt>
                <c:pt idx="1">
                  <c:v>5173.9830000000002</c:v>
                </c:pt>
                <c:pt idx="2">
                  <c:v>8279.1494999999995</c:v>
                </c:pt>
                <c:pt idx="3">
                  <c:v>14332.8655</c:v>
                </c:pt>
                <c:pt idx="4">
                  <c:v>20293.149999999994</c:v>
                </c:pt>
                <c:pt idx="5">
                  <c:v>29358.895499999991</c:v>
                </c:pt>
                <c:pt idx="6">
                  <c:v>32237.083000000006</c:v>
                </c:pt>
              </c:numCache>
            </c:numRef>
          </c:val>
        </c:ser>
        <c:dLbls>
          <c:showLegendKey val="0"/>
          <c:showVal val="0"/>
          <c:showCatName val="0"/>
          <c:showSerName val="0"/>
          <c:showPercent val="0"/>
          <c:showBubbleSize val="0"/>
        </c:dLbls>
        <c:gapWidth val="219"/>
        <c:overlap val="-27"/>
        <c:axId val="-748867808"/>
        <c:axId val="-748862368"/>
      </c:barChart>
      <c:catAx>
        <c:axId val="-74886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862368"/>
        <c:crosses val="autoZero"/>
        <c:auto val="1"/>
        <c:lblAlgn val="ctr"/>
        <c:lblOffset val="100"/>
        <c:noMultiLvlLbl val="0"/>
      </c:catAx>
      <c:valAx>
        <c:axId val="-748862368"/>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8678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[Northstar_Retail_Excel_Project_Analysis.xlsx]Analysis!Tableau croisé dynamique7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Taux de retour par catégorie</a:t>
            </a:r>
            <a:endParaRPr lang="en-US"/>
          </a:p>
        </c:rich>
      </c:tx>
      <c:layout>
        <c:manualLayout>
          <c:xMode val="edge"/>
          <c:yMode val="edge"/>
          <c:x val="0.24611120064182604"/>
          <c:y val="4.58968970367544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14279057193533"/>
          <c:y val="0.17509702415812861"/>
          <c:w val="0.78002630892813396"/>
          <c:h val="0.7228591160720943"/>
        </c:manualLayout>
      </c:layout>
      <c:barChart>
        <c:barDir val="bar"/>
        <c:grouping val="clustered"/>
        <c:varyColors val="0"/>
        <c:ser>
          <c:idx val="0"/>
          <c:order val="0"/>
          <c:tx>
            <c:strRef>
              <c:f>Analysis!$L$5</c:f>
              <c:strCache>
                <c:ptCount val="1"/>
                <c:pt idx="0">
                  <c:v>Total</c:v>
                </c:pt>
              </c:strCache>
            </c:strRef>
          </c:tx>
          <c:spPr>
            <a:solidFill>
              <a:schemeClr val="accent1"/>
            </a:solidFill>
            <a:ln>
              <a:noFill/>
            </a:ln>
            <a:effectLst/>
          </c:spPr>
          <c:invertIfNegative val="0"/>
          <c:cat>
            <c:strRef>
              <c:f>Analysis!$K$6:$K$11</c:f>
              <c:strCache>
                <c:ptCount val="5"/>
                <c:pt idx="0">
                  <c:v>Office</c:v>
                </c:pt>
                <c:pt idx="1">
                  <c:v>Electronics</c:v>
                </c:pt>
                <c:pt idx="2">
                  <c:v>Home</c:v>
                </c:pt>
                <c:pt idx="3">
                  <c:v>Accessories</c:v>
                </c:pt>
                <c:pt idx="4">
                  <c:v>Fitness</c:v>
                </c:pt>
              </c:strCache>
            </c:strRef>
          </c:cat>
          <c:val>
            <c:numRef>
              <c:f>Analysis!$L$6:$L$11</c:f>
              <c:numCache>
                <c:formatCode>0.0%</c:formatCode>
                <c:ptCount val="5"/>
                <c:pt idx="0">
                  <c:v>0.10236220472440945</c:v>
                </c:pt>
                <c:pt idx="1">
                  <c:v>0.10135135135135136</c:v>
                </c:pt>
                <c:pt idx="2">
                  <c:v>7.5342465753424653E-2</c:v>
                </c:pt>
                <c:pt idx="3">
                  <c:v>6.1224489795918366E-2</c:v>
                </c:pt>
                <c:pt idx="4">
                  <c:v>5.2631578947368418E-2</c:v>
                </c:pt>
              </c:numCache>
            </c:numRef>
          </c:val>
        </c:ser>
        <c:dLbls>
          <c:showLegendKey val="0"/>
          <c:showVal val="0"/>
          <c:showCatName val="0"/>
          <c:showSerName val="0"/>
          <c:showPercent val="0"/>
          <c:showBubbleSize val="0"/>
        </c:dLbls>
        <c:gapWidth val="182"/>
        <c:axId val="-272527840"/>
        <c:axId val="-272529472"/>
      </c:barChart>
      <c:catAx>
        <c:axId val="-272527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529472"/>
        <c:crosses val="autoZero"/>
        <c:auto val="1"/>
        <c:lblAlgn val="ctr"/>
        <c:lblOffset val="100"/>
        <c:noMultiLvlLbl val="0"/>
      </c:catAx>
      <c:valAx>
        <c:axId val="-272529472"/>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5278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0</xdr:rowOff>
    </xdr:from>
    <xdr:to>
      <xdr:col>5</xdr:col>
      <xdr:colOff>304800</xdr:colOff>
      <xdr:row>19</xdr:row>
      <xdr:rowOff>114300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669073</xdr:colOff>
      <xdr:row>4</xdr:row>
      <xdr:rowOff>0</xdr:rowOff>
    </xdr:from>
    <xdr:to>
      <xdr:col>11</xdr:col>
      <xdr:colOff>304800</xdr:colOff>
      <xdr:row>19</xdr:row>
      <xdr:rowOff>114300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613318</xdr:colOff>
      <xdr:row>3</xdr:row>
      <xdr:rowOff>148683</xdr:rowOff>
    </xdr:from>
    <xdr:to>
      <xdr:col>17</xdr:col>
      <xdr:colOff>63191</xdr:colOff>
      <xdr:row>19</xdr:row>
      <xdr:rowOff>86422</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526710</xdr:colOff>
      <xdr:row>1</xdr:row>
      <xdr:rowOff>83634</xdr:rowOff>
    </xdr:from>
    <xdr:to>
      <xdr:col>19</xdr:col>
      <xdr:colOff>645657</xdr:colOff>
      <xdr:row>7</xdr:row>
      <xdr:rowOff>66349</xdr:rowOff>
    </xdr:to>
    <mc:AlternateContent xmlns:mc="http://schemas.openxmlformats.org/markup-compatibility/2006">
      <mc:Choice xmlns:a14="http://schemas.microsoft.com/office/drawing/2010/main" Requires="a14">
        <xdr:graphicFrame macro="">
          <xdr:nvGraphicFramePr>
            <xdr:cNvPr id="8" name="Channel_clean"/>
            <xdr:cNvGraphicFramePr/>
          </xdr:nvGraphicFramePr>
          <xdr:xfrm>
            <a:off x="0" y="0"/>
            <a:ext cx="0" cy="0"/>
          </xdr:xfrm>
          <a:graphic>
            <a:graphicData uri="http://schemas.microsoft.com/office/drawing/2010/slicer">
              <sle:slicer xmlns:sle="http://schemas.microsoft.com/office/drawing/2010/slicer" name="Channel_clean"/>
            </a:graphicData>
          </a:graphic>
        </xdr:graphicFrame>
      </mc:Choice>
      <mc:Fallback>
        <xdr:sp macro="" textlink="">
          <xdr:nvSpPr>
            <xdr:cNvPr id="0" name=""/>
            <xdr:cNvSpPr>
              <a:spLocks noTextEdit="1"/>
            </xdr:cNvSpPr>
          </xdr:nvSpPr>
          <xdr:spPr>
            <a:xfrm>
              <a:off x="16996070" y="378274"/>
              <a:ext cx="1825827" cy="1161275"/>
            </a:xfrm>
            <a:prstGeom prst="rect">
              <a:avLst/>
            </a:prstGeom>
            <a:solidFill>
              <a:prstClr val="white"/>
            </a:solidFill>
            <a:ln w="1">
              <a:solidFill>
                <a:prstClr val="green"/>
              </a:solidFill>
            </a:ln>
          </xdr:spPr>
          <xdr:txBody>
            <a:bodyPr vertOverflow="clip" horzOverflow="clip"/>
            <a:lstStyle/>
            <a:p>
              <a:r>
                <a:rPr lang="en-US"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17</xdr:col>
      <xdr:colOff>523550</xdr:colOff>
      <xdr:row>7</xdr:row>
      <xdr:rowOff>173401</xdr:rowOff>
    </xdr:from>
    <xdr:to>
      <xdr:col>19</xdr:col>
      <xdr:colOff>642497</xdr:colOff>
      <xdr:row>17</xdr:row>
      <xdr:rowOff>103519</xdr:rowOff>
    </xdr:to>
    <mc:AlternateContent xmlns:mc="http://schemas.openxmlformats.org/markup-compatibility/2006">
      <mc:Choice xmlns:a14="http://schemas.microsoft.com/office/drawing/2010/main" Requires="a14">
        <xdr:graphicFrame macro="">
          <xdr:nvGraphicFramePr>
            <xdr:cNvPr id="9"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6992910" y="1646601"/>
              <a:ext cx="1825827" cy="1657318"/>
            </a:xfrm>
            <a:prstGeom prst="rect">
              <a:avLst/>
            </a:prstGeom>
            <a:solidFill>
              <a:prstClr val="white"/>
            </a:solidFill>
            <a:ln w="1">
              <a:solidFill>
                <a:prstClr val="green"/>
              </a:solidFill>
            </a:ln>
          </xdr:spPr>
          <xdr:txBody>
            <a:bodyPr vertOverflow="clip" horzOverflow="clip"/>
            <a:lstStyle/>
            <a:p>
              <a:r>
                <a:rPr lang="en-US"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17</xdr:col>
      <xdr:colOff>529682</xdr:colOff>
      <xdr:row>17</xdr:row>
      <xdr:rowOff>103519</xdr:rowOff>
    </xdr:from>
    <xdr:to>
      <xdr:col>19</xdr:col>
      <xdr:colOff>648629</xdr:colOff>
      <xdr:row>30</xdr:row>
      <xdr:rowOff>0</xdr:rowOff>
    </xdr:to>
    <mc:AlternateContent xmlns:mc="http://schemas.openxmlformats.org/markup-compatibility/2006">
      <mc:Choice xmlns:a14="http://schemas.microsoft.com/office/drawing/2010/main" Requires="a14">
        <xdr:graphicFrame macro="">
          <xdr:nvGraphicFramePr>
            <xdr:cNvPr id="10"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999042" y="3303919"/>
              <a:ext cx="1825827" cy="2152001"/>
            </a:xfrm>
            <a:prstGeom prst="rect">
              <a:avLst/>
            </a:prstGeom>
            <a:solidFill>
              <a:prstClr val="white"/>
            </a:solidFill>
            <a:ln w="1">
              <a:solidFill>
                <a:prstClr val="green"/>
              </a:solidFill>
            </a:ln>
          </xdr:spPr>
          <xdr:txBody>
            <a:bodyPr vertOverflow="clip" horzOverflow="clip"/>
            <a:lstStyle/>
            <a:p>
              <a:r>
                <a:rPr lang="en-US"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295.955757407406" createdVersion="5" refreshedVersion="5" minRefreshableVersion="3" recordCount="720">
  <cacheSource type="worksheet">
    <worksheetSource name="RawSalesTable"/>
  </cacheSource>
  <cacheFields count="37">
    <cacheField name="Order_ID" numFmtId="0">
      <sharedItems/>
    </cacheField>
    <cacheField name="Order_Date" numFmtId="165">
      <sharedItems containsSemiMixedTypes="0" containsNonDate="0" containsDate="1" containsString="0" minDate="2025-01-01T00:00:00" maxDate="2026-01-01T00:00:00"/>
    </cacheField>
    <cacheField name="Customer_ID" numFmtId="0">
      <sharedItems/>
    </cacheField>
    <cacheField name="Product_ID" numFmtId="0">
      <sharedItems/>
    </cacheField>
    <cacheField name="Customer_Info" numFmtId="0">
      <sharedItems/>
    </cacheField>
    <cacheField name="Store_Raw" numFmtId="0">
      <sharedItems/>
    </cacheField>
    <cacheField name="Salesperson" numFmtId="0">
      <sharedItems/>
    </cacheField>
    <cacheField name="Channel_Raw" numFmtId="0">
      <sharedItems/>
    </cacheField>
    <cacheField name="Quantity" numFmtId="0">
      <sharedItems containsSemiMixedTypes="0" containsString="0" containsNumber="1" containsInteger="1" minValue="1" maxValue="5"/>
    </cacheField>
    <cacheField name="Unit_Price" numFmtId="164">
      <sharedItems containsSemiMixedTypes="0" containsString="0" containsNumber="1" minValue="28.79" maxValue="440.76"/>
    </cacheField>
    <cacheField name="Discount_Pct" numFmtId="9">
      <sharedItems containsSemiMixedTypes="0" containsString="0" containsNumber="1" minValue="0" maxValue="0.25"/>
    </cacheField>
    <cacheField name="Payment_Method_Raw" numFmtId="0">
      <sharedItems containsBlank="1"/>
    </cacheField>
    <cacheField name="Delivery_Days" numFmtId="0">
      <sharedItems containsSemiMixedTypes="0" containsString="0" containsNumber="1" containsInteger="1" minValue="0" maxValue="9"/>
    </cacheField>
    <cacheField name="Return_Status" numFmtId="0">
      <sharedItems/>
    </cacheField>
    <cacheField name="Channel_clean" numFmtId="0">
      <sharedItems count="3">
        <s v="Retail Store"/>
        <s v="Marketplace"/>
        <s v="Online"/>
      </sharedItems>
    </cacheField>
    <cacheField name="Store_clean" numFmtId="0">
      <sharedItems/>
    </cacheField>
    <cacheField name="Payment_Method_clean" numFmtId="0">
      <sharedItems/>
    </cacheField>
    <cacheField name="Customer_ID_clean" numFmtId="0">
      <sharedItems/>
    </cacheField>
    <cacheField name="Customer_Name" numFmtId="0">
      <sharedItems/>
    </cacheField>
    <cacheField name="Customer_City" numFmtId="0">
      <sharedItems/>
    </cacheField>
    <cacheField name="Customer_Segment" numFmtId="0">
      <sharedItems/>
    </cacheField>
    <cacheField name="Product_Name" numFmtId="0">
      <sharedItems/>
    </cacheField>
    <cacheField name="Category" numFmtId="0">
      <sharedItems count="5">
        <s v="Electronics"/>
        <s v="Office"/>
        <s v="Fitness"/>
        <s v="Home"/>
        <s v="Accessories"/>
      </sharedItems>
    </cacheField>
    <cacheField name="Unit_Cost" numFmtId="0">
      <sharedItems containsSemiMixedTypes="0" containsString="0" containsNumber="1" minValue="14.58" maxValue="254.6"/>
    </cacheField>
    <cacheField name="Gross_Sales" numFmtId="0">
      <sharedItems containsSemiMixedTypes="0" containsString="0" containsNumber="1" minValue="29.28" maxValue="1888.75"/>
    </cacheField>
    <cacheField name="Discount_Amount" numFmtId="0">
      <sharedItems containsSemiMixedTypes="0" containsString="0" containsNumber="1" minValue="0" maxValue="357.37"/>
    </cacheField>
    <cacheField name="Net_Sales" numFmtId="0">
      <sharedItems containsSemiMixedTypes="0" containsString="0" containsNumber="1" minValue="22.822499999999998" maxValue="1869.5500000000002"/>
    </cacheField>
    <cacheField name="Total_Cost" numFmtId="0">
      <sharedItems containsSemiMixedTypes="0" containsString="0" containsNumber="1" minValue="14.58" maxValue="1273"/>
    </cacheField>
    <cacheField name="Profit" numFmtId="0">
      <sharedItems containsSemiMixedTypes="0" containsString="0" containsNumber="1" minValue="6.0574999999999974" maxValue="936.99999999999989"/>
    </cacheField>
    <cacheField name="Profit_Margin" numFmtId="168">
      <sharedItems containsSemiMixedTypes="0" containsString="0" containsNumber="1" minValue="8.6013225282045525E-2" maxValue="0.57048293865373856"/>
    </cacheField>
    <cacheField name="Return_Flag" numFmtId="0">
      <sharedItems containsSemiMixedTypes="0" containsString="0" containsNumber="1" containsInteger="1" minValue="0" maxValue="1"/>
    </cacheField>
    <cacheField name="Year" numFmtId="0">
      <sharedItems containsSemiMixedTypes="0" containsString="0" containsNumber="1" containsInteger="1" minValue="2025" maxValue="2025"/>
    </cacheField>
    <cacheField name="Month_Number" numFmtId="0">
      <sharedItems containsSemiMixedTypes="0" containsString="0" containsNumber="1" containsInteger="1" minValue="1" maxValue="12"/>
    </cacheField>
    <cacheField name="Month" numFmtId="0">
      <sharedItems/>
    </cacheField>
    <cacheField name="Quarter" numFmtId="0">
      <sharedItems/>
    </cacheField>
    <cacheField name="Month_Start" numFmtId="169">
      <sharedItems containsSemiMixedTypes="0" containsNonDate="0" containsDate="1" containsString="0" minDate="2025-01-01T00:00:00" maxDate="2025-12-02T00:00:00"/>
    </cacheField>
    <cacheField name="Region" numFmtId="0">
      <sharedItems count="7">
        <s v="Alberta"/>
        <s v="Ontario"/>
        <s v="Nova Scotia"/>
        <s v="British Columbia"/>
        <s v="Quebec"/>
        <s v="Saskatchewan"/>
        <s v="Manitoba"/>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20">
  <r>
    <s v="ORD-2025-00123"/>
    <d v="2025-01-04T00:00:00"/>
    <s v="C0064"/>
    <s v="P1002"/>
    <s v="Amine Khan , Edmonton , Consumer"/>
    <s v="Vancouver West"/>
    <s v="M. Wilson"/>
    <s v="Retail Store"/>
    <n v="1"/>
    <n v="38.4"/>
    <n v="0.15"/>
    <s v="Credit Card"/>
    <n v="4"/>
    <s v="No"/>
    <x v="0"/>
    <s v="Vancouver West"/>
    <s v="Credit Card"/>
    <s v="C0064"/>
    <s v="Amine Khan"/>
    <s v="Edmonton"/>
    <s v="Consumer"/>
    <s v="Keyboard"/>
    <x v="0"/>
    <n v="23.5"/>
    <n v="38.4"/>
    <n v="5.76"/>
    <n v="32.64"/>
    <n v="23.5"/>
    <n v="9.14"/>
    <n v="0.28002450980392157"/>
    <n v="0"/>
    <n v="2025"/>
    <n v="1"/>
    <s v="janvier"/>
    <s v="Q1"/>
    <d v="2025-01-01T00:00:00"/>
    <x v="0"/>
  </r>
  <r>
    <s v="ORD-2025-00167"/>
    <d v="2025-09-13T00:00:00"/>
    <s v="C0106"/>
    <s v="P1009"/>
    <s v="Liam Gagnon, Ottawa, Small Business"/>
    <s v="Vancouver West"/>
    <s v="M. Wilson"/>
    <s v="Retail Store"/>
    <n v="3"/>
    <n v="305.98"/>
    <n v="0.15"/>
    <s v="Credit Card"/>
    <n v="0"/>
    <s v="No"/>
    <x v="0"/>
    <s v="Vancouver West"/>
    <s v="Credit Card"/>
    <s v="C0106"/>
    <s v="Liam Gagnon"/>
    <s v="Ottawa"/>
    <s v="Small Business"/>
    <s v="Notebook"/>
    <x v="1"/>
    <n v="176.13"/>
    <n v="917.94"/>
    <n v="137.691"/>
    <n v="780.24900000000002"/>
    <n v="528.39"/>
    <n v="251.85900000000004"/>
    <n v="0.3227931083538717"/>
    <n v="0"/>
    <n v="2025"/>
    <n v="9"/>
    <s v="septembre"/>
    <s v="Q3"/>
    <d v="2025-09-01T00:00:00"/>
    <x v="1"/>
  </r>
  <r>
    <s v="ORD-2025-00244"/>
    <d v="2025-09-23T00:00:00"/>
    <s v="C0068"/>
    <s v="P1031"/>
    <s v="Yasmine Martin, Calgary, Consumer"/>
    <s v="Calgary North"/>
    <s v="L. Chen"/>
    <s v="Marketplace"/>
    <n v="3"/>
    <n v="251.49"/>
    <n v="0.15"/>
    <s v="Debit Card"/>
    <n v="6"/>
    <s v="No"/>
    <x v="1"/>
    <s v="Calgary North"/>
    <s v="Debit Card"/>
    <s v="C0068"/>
    <s v="Yasmine Martin"/>
    <s v="Calgary"/>
    <s v="Consumer"/>
    <s v="Dumbbell Set"/>
    <x v="2"/>
    <n v="131.72999999999999"/>
    <n v="754.47"/>
    <n v="113.1705"/>
    <n v="641.29950000000008"/>
    <n v="395.18999999999994"/>
    <n v="246.10950000000014"/>
    <n v="0.38376686711902958"/>
    <n v="0"/>
    <n v="2025"/>
    <n v="9"/>
    <s v="septembre"/>
    <s v="Q3"/>
    <d v="2025-09-01T00:00:00"/>
    <x v="0"/>
  </r>
  <r>
    <s v="ORD-2025-00278"/>
    <d v="2025-04-11T00:00:00"/>
    <s v="C0041"/>
    <s v="P1022"/>
    <s v="Amine Chen , Halifax , Small Business"/>
    <s v="Montreal Central"/>
    <s v="J. Tremblay"/>
    <s v="Retail Store"/>
    <n v="2"/>
    <n v="405.16"/>
    <n v="0"/>
    <s v="Credit Card"/>
    <n v="1"/>
    <s v="No"/>
    <x v="0"/>
    <s v="Montreal Central"/>
    <s v="Credit Card"/>
    <s v="C0041"/>
    <s v="Amine Chen"/>
    <s v="Halifax"/>
    <s v="Small Business"/>
    <s v="Humidifier"/>
    <x v="3"/>
    <n v="239.67"/>
    <n v="810.32"/>
    <n v="0"/>
    <n v="810.32"/>
    <n v="479.34"/>
    <n v="330.98000000000008"/>
    <n v="0.40845591864942254"/>
    <n v="0"/>
    <n v="2025"/>
    <n v="4"/>
    <s v="avril"/>
    <s v="Q2"/>
    <d v="2025-04-01T00:00:00"/>
    <x v="2"/>
  </r>
  <r>
    <s v="ORD-2025-00308"/>
    <d v="2025-12-04T00:00:00"/>
    <s v="C0091"/>
    <s v="P1039"/>
    <s v="Leo Taylor, Victoria, Small Business"/>
    <s v="Montreal Central"/>
    <s v="A. Morgan"/>
    <s v="Online"/>
    <n v="1"/>
    <n v="341.39"/>
    <n v="0"/>
    <m/>
    <n v="4"/>
    <s v="No"/>
    <x v="2"/>
    <s v="Montreal Central"/>
    <s v="Non renseigné"/>
    <s v="C0091"/>
    <s v="Leo Taylor"/>
    <s v="Victoria"/>
    <s v="Small Business"/>
    <s v="Travel Adapter"/>
    <x v="4"/>
    <n v="229.86"/>
    <n v="341.39"/>
    <n v="0"/>
    <n v="341.39"/>
    <n v="229.86"/>
    <n v="111.52999999999997"/>
    <n v="0.32669381059784991"/>
    <n v="0"/>
    <n v="2025"/>
    <n v="12"/>
    <s v="décembre"/>
    <s v="Q4"/>
    <d v="2025-12-01T00:00:00"/>
    <x v="3"/>
  </r>
  <r>
    <s v="ORD-2025-00464"/>
    <d v="2025-05-04T00:00:00"/>
    <s v="C0047"/>
    <s v="P1038"/>
    <s v="Amine King, Victoria, Consumer"/>
    <s v="Montreal Central"/>
    <s v="E. Roy"/>
    <s v="Retail Store"/>
    <n v="1"/>
    <n v="273.39"/>
    <n v="0.1"/>
    <s v="PayPal"/>
    <n v="3"/>
    <s v="No"/>
    <x v="0"/>
    <s v="Montreal Central"/>
    <s v="PayPal"/>
    <s v="C0047"/>
    <s v="Amine King"/>
    <s v="Victoria"/>
    <s v="Consumer"/>
    <s v="Water Bottle"/>
    <x v="4"/>
    <n v="119.16"/>
    <n v="273.39"/>
    <n v="27.338999999999999"/>
    <n v="246.05099999999999"/>
    <n v="119.16"/>
    <n v="126.89099999999999"/>
    <n v="0.51571015765024319"/>
    <n v="0"/>
    <n v="2025"/>
    <n v="5"/>
    <s v="mai"/>
    <s v="Q2"/>
    <d v="2025-05-01T00:00:00"/>
    <x v="3"/>
  </r>
  <r>
    <s v="ORD-2025-00521"/>
    <d v="2025-12-02T00:00:00"/>
    <s v="C0059"/>
    <s v="P1022"/>
    <s v="Lucas Chen, Vancouver, Corporate"/>
    <s v="Online  Fulfillment"/>
    <s v="A. Morgan"/>
    <s v="Online"/>
    <n v="2"/>
    <n v="416.28"/>
    <n v="0"/>
    <s v="PayPal"/>
    <n v="9"/>
    <s v="No"/>
    <x v="2"/>
    <s v="Online Fulfillment"/>
    <s v="PayPal"/>
    <s v="C0059"/>
    <s v="Lucas Chen"/>
    <s v="Vancouver"/>
    <s v="Corporate"/>
    <s v="Humidifier"/>
    <x v="3"/>
    <n v="239.67"/>
    <n v="832.56"/>
    <n v="0"/>
    <n v="832.56"/>
    <n v="479.34"/>
    <n v="353.21999999999997"/>
    <n v="0.42425771115595273"/>
    <n v="0"/>
    <n v="2025"/>
    <n v="12"/>
    <s v="décembre"/>
    <s v="Q4"/>
    <d v="2025-12-01T00:00:00"/>
    <x v="3"/>
  </r>
  <r>
    <s v="ORD-2025-00536"/>
    <d v="2025-01-12T00:00:00"/>
    <s v="C0051"/>
    <s v="P1037"/>
    <s v="Daniel Brown, Vancouver, Small Business"/>
    <s v="Vancouver West"/>
    <s v="J. Tremblay"/>
    <s v="Online"/>
    <n v="2"/>
    <n v="370.98"/>
    <n v="0.15"/>
    <s v="Credit Card"/>
    <n v="5"/>
    <s v="No"/>
    <x v="2"/>
    <s v="Vancouver West"/>
    <s v="Credit Card"/>
    <s v="C0051"/>
    <s v="Daniel Brown"/>
    <s v="Vancouver"/>
    <s v="Small Business"/>
    <s v="Cable Set"/>
    <x v="4"/>
    <n v="200.16"/>
    <n v="741.96"/>
    <n v="111.294"/>
    <n v="630.66600000000005"/>
    <n v="400.32"/>
    <n v="230.34600000000006"/>
    <n v="0.36524245797300003"/>
    <n v="0"/>
    <n v="2025"/>
    <n v="1"/>
    <s v="janvier"/>
    <s v="Q1"/>
    <d v="2025-01-01T00:00:00"/>
    <x v="3"/>
  </r>
  <r>
    <s v="ORD-2025-00552"/>
    <d v="2025-01-27T00:00:00"/>
    <s v="C0105"/>
    <s v="P1005"/>
    <s v="Liam Martin , Calgary , Consumer"/>
    <s v="Online Fulfillment"/>
    <s v="S. Patel"/>
    <s v="Marketplace"/>
    <n v="1"/>
    <n v="250.61"/>
    <n v="0"/>
    <s v="Debit Card"/>
    <n v="2"/>
    <s v="No"/>
    <x v="1"/>
    <s v="Online Fulfillment"/>
    <s v="Debit Card"/>
    <s v="C0105"/>
    <s v="Liam Martin"/>
    <s v="Calgary"/>
    <s v="Consumer"/>
    <s v="Portable SSD"/>
    <x v="0"/>
    <n v="131.19"/>
    <n v="250.61"/>
    <n v="0"/>
    <n v="250.61"/>
    <n v="131.19"/>
    <n v="119.42000000000002"/>
    <n v="0.4765172977933842"/>
    <n v="0"/>
    <n v="2025"/>
    <n v="1"/>
    <s v="janvier"/>
    <s v="Q1"/>
    <d v="2025-01-01T00:00:00"/>
    <x v="0"/>
  </r>
  <r>
    <s v="ORD-2025-00572"/>
    <d v="2025-03-30T00:00:00"/>
    <s v="C0032"/>
    <s v="P1021"/>
    <s v="Nora Bennett, Surrey, Consumer"/>
    <s v="Online Fulfillment"/>
    <s v="E. Roy"/>
    <s v="Online"/>
    <n v="1"/>
    <n v="298.7"/>
    <n v="0"/>
    <s v="Debit  Card"/>
    <n v="6"/>
    <s v="No"/>
    <x v="2"/>
    <s v="Online Fulfillment"/>
    <s v="Debit Card"/>
    <s v="C0032"/>
    <s v="Nora Bennett"/>
    <s v="Surrey"/>
    <s v="Consumer"/>
    <s v="Kettle"/>
    <x v="3"/>
    <n v="139.86000000000001"/>
    <n v="298.7"/>
    <n v="0"/>
    <n v="298.7"/>
    <n v="139.86000000000001"/>
    <n v="158.83999999999997"/>
    <n v="0.53177100770003338"/>
    <n v="0"/>
    <n v="2025"/>
    <n v="3"/>
    <s v="mars"/>
    <s v="Q1"/>
    <d v="2025-03-01T00:00:00"/>
    <x v="3"/>
  </r>
  <r>
    <s v="ORD-2025-00643"/>
    <d v="2025-12-14T00:00:00"/>
    <s v="C0102"/>
    <s v="P1001"/>
    <s v="Adam Roy , Edmonton , Corporate"/>
    <s v="Montreal Central"/>
    <s v="N. Brown"/>
    <s v="Online"/>
    <n v="1"/>
    <n v="379.66"/>
    <n v="0"/>
    <s v="PayPal"/>
    <n v="5"/>
    <s v="No"/>
    <x v="2"/>
    <s v="Montreal Central"/>
    <s v="PayPal"/>
    <s v="C0102"/>
    <s v="Adam Roy"/>
    <s v="Edmonton"/>
    <s v="Corporate"/>
    <s v="Headphones"/>
    <x v="0"/>
    <n v="254.6"/>
    <n v="379.66"/>
    <n v="0"/>
    <n v="379.66"/>
    <n v="254.6"/>
    <n v="125.06000000000003"/>
    <n v="0.32939998946425753"/>
    <n v="0"/>
    <n v="2025"/>
    <n v="12"/>
    <s v="décembre"/>
    <s v="Q4"/>
    <d v="2025-12-01T00:00:00"/>
    <x v="0"/>
  </r>
  <r>
    <s v="ORD-2025-00711"/>
    <d v="2025-04-03T00:00:00"/>
    <s v="C0006"/>
    <s v="P1003"/>
    <s v="Nora Wilson, Laval, Consumer"/>
    <s v="Montreal Central"/>
    <s v="M. Wilson"/>
    <s v="Online"/>
    <n v="1"/>
    <n v="153"/>
    <n v="0"/>
    <s v="PayPal"/>
    <n v="6"/>
    <s v="No"/>
    <x v="2"/>
    <s v="Montreal Central"/>
    <s v="PayPal"/>
    <s v="C0006"/>
    <s v="Nora Wilson"/>
    <s v="Laval"/>
    <s v="Consumer"/>
    <s v="Mouse"/>
    <x v="0"/>
    <n v="106.4"/>
    <n v="153"/>
    <n v="0"/>
    <n v="153"/>
    <n v="106.4"/>
    <n v="46.599999999999994"/>
    <n v="0.30457516339869278"/>
    <n v="0"/>
    <n v="2025"/>
    <n v="4"/>
    <s v="avril"/>
    <s v="Q2"/>
    <d v="2025-04-01T00:00:00"/>
    <x v="4"/>
  </r>
  <r>
    <s v="ORD-2025-00001"/>
    <d v="2025-09-21T00:00:00"/>
    <s v="C0113"/>
    <s v="P1025"/>
    <s v="Olivia Johnson, Surrey, Consumer"/>
    <s v="Online Fulfillment"/>
    <s v="J. Tremblay"/>
    <s v="Online"/>
    <n v="1"/>
    <n v="321.89"/>
    <n v="0"/>
    <s v="PayPal"/>
    <n v="1"/>
    <s v="No"/>
    <x v="2"/>
    <s v="Online Fulfillment"/>
    <s v="PayPal"/>
    <s v="C0113"/>
    <s v="Olivia Johnson"/>
    <s v="Surrey"/>
    <s v="Consumer"/>
    <s v="Yoga Mat"/>
    <x v="2"/>
    <n v="197.33"/>
    <n v="321.89"/>
    <n v="0"/>
    <n v="321.89"/>
    <n v="197.33"/>
    <n v="124.55999999999997"/>
    <n v="0.38696449097517777"/>
    <n v="0"/>
    <n v="2025"/>
    <n v="9"/>
    <s v="septembre"/>
    <s v="Q3"/>
    <d v="2025-09-01T00:00:00"/>
    <x v="3"/>
  </r>
  <r>
    <s v="ORD-2025-00002"/>
    <d v="2025-05-24T00:00:00"/>
    <s v="C0084"/>
    <s v="P1033"/>
    <s v="Ryan Clark, Montreal, Corporate"/>
    <s v="Online Fulfillment"/>
    <s v="L. Chen"/>
    <s v="Retail Store"/>
    <n v="4"/>
    <n v="316.17"/>
    <n v="0.15"/>
    <s v="Debit Card"/>
    <n v="3"/>
    <s v="No"/>
    <x v="0"/>
    <s v="Online Fulfillment"/>
    <s v="Debit Card"/>
    <s v="C0084"/>
    <s v="Ryan Clark"/>
    <s v="Montreal"/>
    <s v="Corporate"/>
    <s v="Backpack"/>
    <x v="4"/>
    <n v="152.55000000000001"/>
    <n v="1264.68"/>
    <n v="189.702"/>
    <n v="1074.9780000000001"/>
    <n v="610.20000000000005"/>
    <n v="464.77800000000002"/>
    <n v="0.43236047621439694"/>
    <n v="0"/>
    <n v="2025"/>
    <n v="5"/>
    <s v="mai"/>
    <s v="Q2"/>
    <d v="2025-05-01T00:00:00"/>
    <x v="4"/>
  </r>
  <r>
    <s v="ORD-2025-00003"/>
    <d v="2025-02-06T00:00:00"/>
    <s v="C0003"/>
    <s v="P1021"/>
    <s v="Amelia Young, Ottawa, Corporate"/>
    <s v="Vancouver West"/>
    <s v="N. Brown"/>
    <s v="Marketplace"/>
    <n v="2"/>
    <n v="302.17"/>
    <n v="0"/>
    <s v="Credit Card"/>
    <n v="7"/>
    <s v="No"/>
    <x v="1"/>
    <s v="Vancouver West"/>
    <s v="Credit Card"/>
    <s v="C0003"/>
    <s v="Amelia Young"/>
    <s v="Ottawa"/>
    <s v="Corporate"/>
    <s v="Kettle"/>
    <x v="3"/>
    <n v="139.86000000000001"/>
    <n v="604.34"/>
    <n v="0"/>
    <n v="604.34"/>
    <n v="279.72000000000003"/>
    <n v="324.62"/>
    <n v="0.53714796306714763"/>
    <n v="0"/>
    <n v="2025"/>
    <n v="2"/>
    <s v="février"/>
    <s v="Q1"/>
    <d v="2025-02-01T00:00:00"/>
    <x v="1"/>
  </r>
  <r>
    <s v="ORD-2025-00004"/>
    <d v="2025-01-30T00:00:00"/>
    <s v="C0071"/>
    <s v="P1032"/>
    <s v="Ethan Lee, Surrey, Consumer"/>
    <s v="Montreal Central"/>
    <s v="J. Tremblay"/>
    <s v="Online"/>
    <n v="1"/>
    <n v="197.68"/>
    <n v="0.1"/>
    <s v="PayPal"/>
    <n v="3"/>
    <s v="No"/>
    <x v="2"/>
    <s v="Montreal Central"/>
    <s v="PayPal"/>
    <s v="C0071"/>
    <s v="Ethan Lee"/>
    <s v="Surrey"/>
    <s v="Consumer"/>
    <s v="Gym Bag"/>
    <x v="2"/>
    <n v="132.72"/>
    <n v="197.68"/>
    <n v="19.768000000000001"/>
    <n v="177.91200000000001"/>
    <n v="132.72"/>
    <n v="45.192000000000007"/>
    <n v="0.25401322001888577"/>
    <n v="0"/>
    <n v="2025"/>
    <n v="1"/>
    <s v="janvier"/>
    <s v="Q1"/>
    <d v="2025-01-01T00:00:00"/>
    <x v="3"/>
  </r>
  <r>
    <s v="ORD-2025-00005"/>
    <d v="2025-03-16T00:00:00"/>
    <s v="C0083"/>
    <s v="P1034"/>
    <s v="Amine King, Edmonton, Consumer"/>
    <s v="Toronto Downtown"/>
    <s v="A. Morgan"/>
    <s v="Online"/>
    <n v="1"/>
    <n v="151.79"/>
    <n v="0"/>
    <s v="Credit Card"/>
    <n v="2"/>
    <s v="No"/>
    <x v="2"/>
    <s v="Toronto Downtown"/>
    <s v="Credit Card"/>
    <s v="C0083"/>
    <s v="Amine King"/>
    <s v="Edmonton"/>
    <s v="Consumer"/>
    <s v="Laptop Sleeve"/>
    <x v="4"/>
    <n v="78.95"/>
    <n v="151.79"/>
    <n v="0"/>
    <n v="151.79"/>
    <n v="78.95"/>
    <n v="72.839999999999989"/>
    <n v="0.47987350945385066"/>
    <n v="0"/>
    <n v="2025"/>
    <n v="3"/>
    <s v="mars"/>
    <s v="Q1"/>
    <d v="2025-03-01T00:00:00"/>
    <x v="0"/>
  </r>
  <r>
    <s v="ORD-2025-00006"/>
    <d v="2025-01-15T00:00:00"/>
    <s v="C0057"/>
    <s v="P1015"/>
    <s v="Adam Khan, Edmonton, Small Business"/>
    <s v="Toronto Downtown"/>
    <s v="E. Roy"/>
    <s v="Retail Store"/>
    <n v="2"/>
    <n v="375.75"/>
    <n v="0"/>
    <s v="Credit Card"/>
    <n v="2"/>
    <s v="No"/>
    <x v="0"/>
    <s v="Toronto Downtown"/>
    <s v="Credit Card"/>
    <s v="C0057"/>
    <s v="Adam Khan"/>
    <s v="Edmonton"/>
    <s v="Small Business"/>
    <s v="Desk Organizer"/>
    <x v="1"/>
    <n v="235.76"/>
    <n v="751.5"/>
    <n v="0"/>
    <n v="751.5"/>
    <n v="471.52"/>
    <n v="279.98"/>
    <n v="0.37256154357950766"/>
    <n v="0"/>
    <n v="2025"/>
    <n v="1"/>
    <s v="janvier"/>
    <s v="Q1"/>
    <d v="2025-01-01T00:00:00"/>
    <x v="0"/>
  </r>
  <r>
    <s v="ORD-2025-00007"/>
    <d v="2025-06-22T00:00:00"/>
    <s v="C0021"/>
    <s v="P1027"/>
    <s v="Nora King, Halifax, Corporate"/>
    <s v="Montreal Central"/>
    <s v="J. Tremblay"/>
    <s v="Retail Store"/>
    <n v="3"/>
    <n v="55.05"/>
    <n v="0.15"/>
    <s v="Debit Card"/>
    <n v="1"/>
    <s v="No"/>
    <x v="0"/>
    <s v="Montreal Central"/>
    <s v="Debit Card"/>
    <s v="C0021"/>
    <s v="Nora King"/>
    <s v="Halifax"/>
    <s v="Corporate"/>
    <s v="Kettlebell"/>
    <x v="2"/>
    <n v="25.97"/>
    <n v="165.14999999999998"/>
    <n v="24.772499999999997"/>
    <n v="140.37749999999997"/>
    <n v="77.91"/>
    <n v="62.467499999999973"/>
    <n v="0.44499652722124261"/>
    <n v="0"/>
    <n v="2025"/>
    <n v="6"/>
    <s v="juin"/>
    <s v="Q2"/>
    <d v="2025-06-01T00:00:00"/>
    <x v="2"/>
  </r>
  <r>
    <s v="ORD-2025-00008"/>
    <d v="2025-02-23T00:00:00"/>
    <s v="C0015"/>
    <s v="P1033"/>
    <s v="Zoe Singh, Halifax, Consumer"/>
    <s v="Toronto Downtown"/>
    <s v="M. Wilson"/>
    <s v="Online"/>
    <n v="2"/>
    <n v="304.06"/>
    <n v="0"/>
    <s v="PayPal"/>
    <n v="3"/>
    <s v="No"/>
    <x v="2"/>
    <s v="Toronto Downtown"/>
    <s v="PayPal"/>
    <s v="C0015"/>
    <s v="Zoe Singh"/>
    <s v="Halifax"/>
    <s v="Consumer"/>
    <s v="Backpack"/>
    <x v="4"/>
    <n v="152.55000000000001"/>
    <n v="608.12"/>
    <n v="0"/>
    <n v="608.12"/>
    <n v="305.10000000000002"/>
    <n v="303.02"/>
    <n v="0.49828981122146943"/>
    <n v="0"/>
    <n v="2025"/>
    <n v="2"/>
    <s v="février"/>
    <s v="Q1"/>
    <d v="2025-02-01T00:00:00"/>
    <x v="2"/>
  </r>
  <r>
    <s v="ORD-2025-00009"/>
    <d v="2025-12-23T00:00:00"/>
    <s v="C0104"/>
    <s v="P1039"/>
    <s v="Ava Scott, Edmonton, Corporate"/>
    <s v="Montreal Central"/>
    <s v="A. Morgan"/>
    <s v="Retail Store"/>
    <n v="1"/>
    <n v="333.75"/>
    <n v="0.05"/>
    <s v="PayPal"/>
    <n v="3"/>
    <s v="No"/>
    <x v="0"/>
    <s v="Montreal Central"/>
    <s v="PayPal"/>
    <s v="C0104"/>
    <s v="Ava Scott"/>
    <s v="Edmonton"/>
    <s v="Corporate"/>
    <s v="Travel Adapter"/>
    <x v="4"/>
    <n v="229.86"/>
    <n v="333.75"/>
    <n v="16.6875"/>
    <n v="317.0625"/>
    <n v="229.86"/>
    <n v="87.202499999999986"/>
    <n v="0.27503252513305732"/>
    <n v="0"/>
    <n v="2025"/>
    <n v="12"/>
    <s v="décembre"/>
    <s v="Q4"/>
    <d v="2025-12-01T00:00:00"/>
    <x v="0"/>
  </r>
  <r>
    <s v="ORD-2025-00010"/>
    <d v="2025-06-25T00:00:00"/>
    <s v="C0104"/>
    <s v="P1003"/>
    <s v="Ava Scott, Edmonton, Corporate"/>
    <s v="Vancouver West"/>
    <s v="E. Roy"/>
    <s v="Online"/>
    <n v="1"/>
    <n v="163.56"/>
    <n v="0.05"/>
    <s v="Credit Card"/>
    <n v="7"/>
    <s v="No"/>
    <x v="2"/>
    <s v="Vancouver West"/>
    <s v="Credit Card"/>
    <s v="C0104"/>
    <s v="Ava Scott"/>
    <s v="Edmonton"/>
    <s v="Corporate"/>
    <s v="Mouse"/>
    <x v="0"/>
    <n v="106.4"/>
    <n v="163.56"/>
    <n v="8.1780000000000008"/>
    <n v="155.38200000000001"/>
    <n v="106.4"/>
    <n v="48.981999999999999"/>
    <n v="0.31523599902176569"/>
    <n v="0"/>
    <n v="2025"/>
    <n v="6"/>
    <s v="juin"/>
    <s v="Q2"/>
    <d v="2025-06-01T00:00:00"/>
    <x v="0"/>
  </r>
  <r>
    <s v="ORD-2025-00011"/>
    <d v="2025-12-25T00:00:00"/>
    <s v="C0106"/>
    <s v="P1012"/>
    <s v="Liam Gagnon, Ottawa, Small Business"/>
    <s v="Toronto Downtown"/>
    <s v="J. Tremblay"/>
    <s v="Online"/>
    <n v="3"/>
    <n v="79.569999999999993"/>
    <n v="0"/>
    <s v="PayPal"/>
    <n v="3"/>
    <s v="No"/>
    <x v="2"/>
    <s v="Toronto Downtown"/>
    <s v="PayPal"/>
    <s v="C0106"/>
    <s v="Liam Gagnon"/>
    <s v="Ottawa"/>
    <s v="Small Business"/>
    <s v="Standing Desk"/>
    <x v="1"/>
    <n v="45.17"/>
    <n v="238.70999999999998"/>
    <n v="0"/>
    <n v="238.70999999999998"/>
    <n v="135.51"/>
    <n v="103.19999999999999"/>
    <n v="0.43232374010305391"/>
    <n v="0"/>
    <n v="2025"/>
    <n v="12"/>
    <s v="décembre"/>
    <s v="Q4"/>
    <d v="2025-12-01T00:00:00"/>
    <x v="1"/>
  </r>
  <r>
    <s v="ORD-2025-00012"/>
    <d v="2025-06-08T00:00:00"/>
    <s v="C0002"/>
    <s v="P1038"/>
    <s v="Ryan Johnson, Montreal, Small Business"/>
    <s v="Calgary North"/>
    <s v="L. Chen"/>
    <s v="Online"/>
    <n v="1"/>
    <n v="265.64"/>
    <n v="0.1"/>
    <s v="Gift  Card"/>
    <n v="9"/>
    <s v="Yes"/>
    <x v="2"/>
    <s v="Calgary North"/>
    <s v="Gift Card"/>
    <s v="C0002"/>
    <s v="Ryan Johnson"/>
    <s v="Montreal"/>
    <s v="Small Business"/>
    <s v="Water Bottle"/>
    <x v="4"/>
    <n v="119.16"/>
    <n v="265.64"/>
    <n v="26.564"/>
    <n v="239.07599999999999"/>
    <n v="119.16"/>
    <n v="119.916"/>
    <n v="0.50158108718566485"/>
    <n v="1"/>
    <n v="2025"/>
    <n v="6"/>
    <s v="juin"/>
    <s v="Q2"/>
    <d v="2025-06-01T00:00:00"/>
    <x v="4"/>
  </r>
  <r>
    <s v="ORD-2025-00013"/>
    <d v="2025-06-18T00:00:00"/>
    <s v="C0071"/>
    <s v="P1011"/>
    <s v="Ethan Lee, Surrey, Consumer"/>
    <s v="Toronto Downtown"/>
    <s v="L. Chen"/>
    <s v="Retail Store"/>
    <n v="1"/>
    <n v="82.73"/>
    <n v="0"/>
    <s v="Debit Card"/>
    <n v="3"/>
    <s v="No"/>
    <x v="0"/>
    <s v="Toronto Downtown"/>
    <s v="Debit Card"/>
    <s v="C0071"/>
    <s v="Ethan Lee"/>
    <s v="Surrey"/>
    <s v="Consumer"/>
    <s v="Office Chair"/>
    <x v="1"/>
    <n v="39.26"/>
    <n v="82.73"/>
    <n v="0"/>
    <n v="82.73"/>
    <n v="39.26"/>
    <n v="43.470000000000006"/>
    <n v="0.52544421612474324"/>
    <n v="0"/>
    <n v="2025"/>
    <n v="6"/>
    <s v="juin"/>
    <s v="Q2"/>
    <d v="2025-06-01T00:00:00"/>
    <x v="3"/>
  </r>
  <r>
    <s v="ORD-2025-00014"/>
    <d v="2025-06-12T00:00:00"/>
    <s v="C0014"/>
    <s v="P1008"/>
    <s v="Zoe Scott, Montreal, Small Business"/>
    <s v="Vancouver West"/>
    <s v="L. Chen"/>
    <s v="Online"/>
    <n v="2"/>
    <n v="127.76"/>
    <n v="0.1"/>
    <s v="Gift Card"/>
    <n v="8"/>
    <s v="No"/>
    <x v="2"/>
    <s v="Vancouver West"/>
    <s v="Gift Card"/>
    <s v="C0014"/>
    <s v="Zoe Scott"/>
    <s v="Montreal"/>
    <s v="Small Business"/>
    <s v="Smart Speaker"/>
    <x v="0"/>
    <n v="69"/>
    <n v="255.52"/>
    <n v="25.552000000000003"/>
    <n v="229.96800000000002"/>
    <n v="138"/>
    <n v="91.968000000000018"/>
    <n v="0.39991651012314761"/>
    <n v="0"/>
    <n v="2025"/>
    <n v="6"/>
    <s v="juin"/>
    <s v="Q2"/>
    <d v="2025-06-01T00:00:00"/>
    <x v="4"/>
  </r>
  <r>
    <s v="ORD-2025-00015"/>
    <d v="2025-06-02T00:00:00"/>
    <s v="C0112"/>
    <s v="P1009"/>
    <s v="Ava Bennett, Halifax, Consumer"/>
    <s v="Montreal Central"/>
    <s v="L. Chen"/>
    <s v="Retail Store"/>
    <n v="4"/>
    <n v="306.48"/>
    <n v="0.1"/>
    <s v="Credit Card"/>
    <n v="2"/>
    <s v="No"/>
    <x v="0"/>
    <s v="Montreal Central"/>
    <s v="Credit Card"/>
    <s v="C0112"/>
    <s v="Ava Bennett"/>
    <s v="Halifax"/>
    <s v="Consumer"/>
    <s v="Notebook"/>
    <x v="1"/>
    <n v="176.13"/>
    <n v="1225.92"/>
    <n v="122.59200000000001"/>
    <n v="1103.328"/>
    <n v="704.52"/>
    <n v="398.80799999999999"/>
    <n v="0.36145914904724613"/>
    <n v="0"/>
    <n v="2025"/>
    <n v="6"/>
    <s v="juin"/>
    <s v="Q2"/>
    <d v="2025-06-01T00:00:00"/>
    <x v="2"/>
  </r>
  <r>
    <s v="ORD-2025-00016"/>
    <d v="2025-06-26T00:00:00"/>
    <s v="C0073"/>
    <s v="P1015"/>
    <s v="Olivia Singh, Mississauga, Consumer"/>
    <s v="Toronto Downtown"/>
    <s v="L. Chen"/>
    <s v="Marketplace"/>
    <n v="1"/>
    <n v="361.37"/>
    <n v="0"/>
    <s v="Gift Card"/>
    <n v="3"/>
    <s v="Yes"/>
    <x v="1"/>
    <s v="Toronto Downtown"/>
    <s v="Gift Card"/>
    <s v="C0073"/>
    <s v="Olivia Singh"/>
    <s v="Mississauga"/>
    <s v="Consumer"/>
    <s v="Desk Organizer"/>
    <x v="1"/>
    <n v="235.76"/>
    <n v="361.37"/>
    <n v="0"/>
    <n v="361.37"/>
    <n v="235.76"/>
    <n v="125.61000000000001"/>
    <n v="0.34759387884993226"/>
    <n v="1"/>
    <n v="2025"/>
    <n v="6"/>
    <s v="juin"/>
    <s v="Q2"/>
    <d v="2025-06-01T00:00:00"/>
    <x v="1"/>
  </r>
  <r>
    <s v="ORD-2025-00017"/>
    <d v="2025-01-19T00:00:00"/>
    <s v="C0002"/>
    <s v="P1012"/>
    <s v="Ryan Johnson, Montreal, Small Business"/>
    <s v="Vancouver West"/>
    <s v="N. Brown"/>
    <s v="Online"/>
    <n v="1"/>
    <n v="77"/>
    <n v="0.15"/>
    <s v="PayPal"/>
    <n v="5"/>
    <s v="No"/>
    <x v="2"/>
    <s v="Vancouver West"/>
    <s v="PayPal"/>
    <s v="C0002"/>
    <s v="Ryan Johnson"/>
    <s v="Montreal"/>
    <s v="Small Business"/>
    <s v="Standing Desk"/>
    <x v="1"/>
    <n v="45.17"/>
    <n v="77"/>
    <n v="11.549999999999999"/>
    <n v="65.45"/>
    <n v="45.17"/>
    <n v="20.28"/>
    <n v="0.3098548510313216"/>
    <n v="0"/>
    <n v="2025"/>
    <n v="1"/>
    <s v="janvier"/>
    <s v="Q1"/>
    <d v="2025-01-01T00:00:00"/>
    <x v="4"/>
  </r>
  <r>
    <s v="ORD-2025-00018"/>
    <d v="2025-01-26T00:00:00"/>
    <s v="C0032"/>
    <s v="P1024"/>
    <s v="Nora Bennett, Surrey, Consumer"/>
    <s v="Toronto Downtown"/>
    <s v="E. Roy"/>
    <s v="Marketplace"/>
    <n v="2"/>
    <n v="107.26"/>
    <n v="0"/>
    <s v="PayPal"/>
    <n v="8"/>
    <s v="No"/>
    <x v="1"/>
    <s v="Toronto Downtown"/>
    <s v="PayPal"/>
    <s v="C0032"/>
    <s v="Nora Bennett"/>
    <s v="Surrey"/>
    <s v="Consumer"/>
    <s v="Food Scale"/>
    <x v="3"/>
    <n v="46.07"/>
    <n v="214.52"/>
    <n v="0"/>
    <n v="214.52"/>
    <n v="92.14"/>
    <n v="122.38000000000001"/>
    <n v="0.57048293865373856"/>
    <n v="0"/>
    <n v="2025"/>
    <n v="1"/>
    <s v="janvier"/>
    <s v="Q1"/>
    <d v="2025-01-01T00:00:00"/>
    <x v="3"/>
  </r>
  <r>
    <s v="ORD-2025-00019"/>
    <d v="2025-08-09T00:00:00"/>
    <s v="C0064"/>
    <s v="P1039"/>
    <s v="Amine Khan, Edmonton, Consumer"/>
    <s v="Montreal Central"/>
    <s v="S. Patel"/>
    <s v="Online"/>
    <n v="4"/>
    <n v="357.37"/>
    <n v="0.25"/>
    <s v="Credit Card"/>
    <n v="9"/>
    <s v="No"/>
    <x v="2"/>
    <s v="Montreal Central"/>
    <s v="Credit Card"/>
    <s v="C0064"/>
    <s v="Amine Khan"/>
    <s v="Edmonton"/>
    <s v="Consumer"/>
    <s v="Travel Adapter"/>
    <x v="4"/>
    <n v="229.86"/>
    <n v="1429.48"/>
    <n v="357.37"/>
    <n v="1072.1100000000001"/>
    <n v="919.44"/>
    <n v="152.67000000000007"/>
    <n v="0.14240143268880998"/>
    <n v="0"/>
    <n v="2025"/>
    <n v="8"/>
    <s v="août"/>
    <s v="Q3"/>
    <d v="2025-08-01T00:00:00"/>
    <x v="0"/>
  </r>
  <r>
    <s v="ORD-2025-00020"/>
    <d v="2025-11-12T00:00:00"/>
    <s v="C0077"/>
    <s v="P1002"/>
    <s v="Amine Taylor, Surrey, Small Business"/>
    <s v="Vancouver West"/>
    <s v="L. Chen"/>
    <s v="Retail Store"/>
    <n v="2"/>
    <n v="39.450000000000003"/>
    <n v="0.05"/>
    <s v="Debit Card"/>
    <n v="2"/>
    <s v="Yes"/>
    <x v="0"/>
    <s v="Vancouver West"/>
    <s v="Debit Card"/>
    <s v="C0077"/>
    <s v="Amine Taylor"/>
    <s v="Surrey"/>
    <s v="Small Business"/>
    <s v="Keyboard"/>
    <x v="0"/>
    <n v="23.5"/>
    <n v="78.900000000000006"/>
    <n v="3.9450000000000003"/>
    <n v="74.955000000000013"/>
    <n v="47"/>
    <n v="27.955000000000013"/>
    <n v="0.37295710759789219"/>
    <n v="1"/>
    <n v="2025"/>
    <n v="11"/>
    <s v="novembre"/>
    <s v="Q4"/>
    <d v="2025-11-01T00:00:00"/>
    <x v="3"/>
  </r>
  <r>
    <s v="ORD-2025-00021"/>
    <d v="2025-01-01T00:00:00"/>
    <s v="C0041"/>
    <s v="P1015"/>
    <s v="Amine Chen, Halifax, Small Business"/>
    <s v="Online Fulfillment"/>
    <s v="S. Patel"/>
    <s v="Retail Store"/>
    <n v="2"/>
    <n v="373.3"/>
    <n v="0.05"/>
    <s v="Credit Card"/>
    <n v="1"/>
    <s v="Yes"/>
    <x v="0"/>
    <s v="Online Fulfillment"/>
    <s v="Credit Card"/>
    <s v="C0041"/>
    <s v="Amine Chen"/>
    <s v="Halifax"/>
    <s v="Small Business"/>
    <s v="Desk Organizer"/>
    <x v="1"/>
    <n v="235.76"/>
    <n v="746.6"/>
    <n v="37.330000000000005"/>
    <n v="709.27"/>
    <n v="471.52"/>
    <n v="237.75"/>
    <n v="0.33520380109126285"/>
    <n v="1"/>
    <n v="2025"/>
    <n v="1"/>
    <s v="janvier"/>
    <s v="Q1"/>
    <d v="2025-01-01T00:00:00"/>
    <x v="2"/>
  </r>
  <r>
    <s v="ORD-2025-00022"/>
    <d v="2025-04-03T00:00:00"/>
    <s v="C0085"/>
    <s v="P1007"/>
    <s v="Yasmine Clark, Calgary, Consumer"/>
    <s v="Toronto Downtown"/>
    <s v="R. Singh"/>
    <s v="Online"/>
    <n v="1"/>
    <n v="339.65"/>
    <n v="0"/>
    <s v="Credit Card"/>
    <n v="3"/>
    <s v="No"/>
    <x v="2"/>
    <s v="Toronto Downtown"/>
    <s v="Credit Card"/>
    <s v="C0085"/>
    <s v="Yasmine Clark"/>
    <s v="Calgary"/>
    <s v="Consumer"/>
    <s v="Monitor"/>
    <x v="0"/>
    <n v="224.47"/>
    <n v="339.65"/>
    <n v="0"/>
    <n v="339.65"/>
    <n v="224.47"/>
    <n v="115.17999999999998"/>
    <n v="0.33911379361107019"/>
    <n v="0"/>
    <n v="2025"/>
    <n v="4"/>
    <s v="avril"/>
    <s v="Q2"/>
    <d v="2025-04-01T00:00:00"/>
    <x v="0"/>
  </r>
  <r>
    <s v="ORD-2025-00023"/>
    <d v="2025-08-10T00:00:00"/>
    <s v="C0036"/>
    <s v="P1024"/>
    <s v="Sarah Wilson, Montreal, Corporate"/>
    <s v="Vancouver  West"/>
    <s v="A. Morgan"/>
    <s v="Online"/>
    <n v="2"/>
    <n v="99.22"/>
    <n v="0.05"/>
    <s v="Debit Card"/>
    <n v="8"/>
    <s v="No"/>
    <x v="2"/>
    <s v="Vancouver West"/>
    <s v="Debit Card"/>
    <s v="C0036"/>
    <s v="Sarah Wilson"/>
    <s v="Montreal"/>
    <s v="Corporate"/>
    <s v="Food Scale"/>
    <x v="3"/>
    <n v="46.07"/>
    <n v="198.44"/>
    <n v="9.9220000000000006"/>
    <n v="188.518"/>
    <n v="92.14"/>
    <n v="96.378"/>
    <n v="0.51124030596547809"/>
    <n v="0"/>
    <n v="2025"/>
    <n v="8"/>
    <s v="août"/>
    <s v="Q3"/>
    <d v="2025-08-01T00:00:00"/>
    <x v="4"/>
  </r>
  <r>
    <s v="ORD-2025-00024"/>
    <d v="2025-11-02T00:00:00"/>
    <s v="C0054"/>
    <s v="P1004"/>
    <s v="Maya Hall , Surrey , Small Business"/>
    <s v="Calgary North"/>
    <s v="R. Singh"/>
    <s v="Online"/>
    <n v="2"/>
    <n v="277.39"/>
    <n v="0"/>
    <s v="Debit Card"/>
    <n v="6"/>
    <s v="No"/>
    <x v="2"/>
    <s v="Calgary North"/>
    <s v="Debit Card"/>
    <s v="C0054"/>
    <s v="Maya Hall"/>
    <s v="Surrey"/>
    <s v="Small Business"/>
    <s v="Webcam"/>
    <x v="0"/>
    <n v="154.72999999999999"/>
    <n v="554.78"/>
    <n v="0"/>
    <n v="554.78"/>
    <n v="309.45999999999998"/>
    <n v="245.32"/>
    <n v="0.44219330184938177"/>
    <n v="0"/>
    <n v="2025"/>
    <n v="11"/>
    <s v="novembre"/>
    <s v="Q4"/>
    <d v="2025-11-01T00:00:00"/>
    <x v="3"/>
  </r>
  <r>
    <s v="ORD-2025-00025"/>
    <d v="2025-07-14T00:00:00"/>
    <s v="C0023"/>
    <s v="P1029"/>
    <s v="Ryan Gagnon, Ottawa, Small Business"/>
    <s v="Toronto Downtown"/>
    <s v="A. Morgan"/>
    <s v="Retail Store"/>
    <n v="2"/>
    <n v="193.9"/>
    <n v="0"/>
    <s v="Credit Card"/>
    <n v="4"/>
    <s v="No"/>
    <x v="0"/>
    <s v="Toronto Downtown"/>
    <s v="Credit Card"/>
    <s v="C0023"/>
    <s v="Ryan Gagnon"/>
    <s v="Ottawa"/>
    <s v="Small Business"/>
    <s v="Jump Rope"/>
    <x v="2"/>
    <n v="101"/>
    <n v="387.8"/>
    <n v="0"/>
    <n v="387.8"/>
    <n v="202"/>
    <n v="185.8"/>
    <n v="0.47911294481691596"/>
    <n v="0"/>
    <n v="2025"/>
    <n v="7"/>
    <s v="juillet"/>
    <s v="Q3"/>
    <d v="2025-07-01T00:00:00"/>
    <x v="1"/>
  </r>
  <r>
    <s v="ORD-2025-00026"/>
    <d v="2025-04-14T00:00:00"/>
    <s v="C0091"/>
    <s v="P1007"/>
    <s v="Leo Taylor, Victoria, Small Business"/>
    <s v="Montreal Central"/>
    <s v="N. Brown"/>
    <s v="Retail Store"/>
    <n v="3"/>
    <n v="336.05"/>
    <n v="0.25"/>
    <s v="Debit Card"/>
    <n v="3"/>
    <s v="No"/>
    <x v="0"/>
    <s v="Montreal Central"/>
    <s v="Debit Card"/>
    <s v="C0091"/>
    <s v="Leo Taylor"/>
    <s v="Victoria"/>
    <s v="Small Business"/>
    <s v="Monitor"/>
    <x v="0"/>
    <n v="224.47"/>
    <n v="1008.1500000000001"/>
    <n v="252.03750000000002"/>
    <n v="756.11250000000007"/>
    <n v="673.41"/>
    <n v="82.7025000000001"/>
    <n v="0.10937856469771376"/>
    <n v="0"/>
    <n v="2025"/>
    <n v="4"/>
    <s v="avril"/>
    <s v="Q2"/>
    <d v="2025-04-01T00:00:00"/>
    <x v="3"/>
  </r>
  <r>
    <s v="ORD-2025-00027"/>
    <d v="2025-08-10T00:00:00"/>
    <s v="C0118"/>
    <s v="P1008"/>
    <s v="Ryan Smith, Victoria, Small Business"/>
    <s v="Montreal Central"/>
    <s v="E. Roy"/>
    <s v="Online"/>
    <n v="1"/>
    <n v="137.66999999999999"/>
    <n v="0.05"/>
    <s v="Gift Card"/>
    <n v="2"/>
    <s v="No"/>
    <x v="2"/>
    <s v="Montreal Central"/>
    <s v="Gift Card"/>
    <s v="C0118"/>
    <s v="Ryan Smith"/>
    <s v="Victoria"/>
    <s v="Small Business"/>
    <s v="Smart Speaker"/>
    <x v="0"/>
    <n v="69"/>
    <n v="137.66999999999999"/>
    <n v="6.8834999999999997"/>
    <n v="130.78649999999999"/>
    <n v="69"/>
    <n v="61.78649999999999"/>
    <n v="0.47242261242559436"/>
    <n v="0"/>
    <n v="2025"/>
    <n v="8"/>
    <s v="août"/>
    <s v="Q3"/>
    <d v="2025-08-01T00:00:00"/>
    <x v="3"/>
  </r>
  <r>
    <s v="ORD-2025-00028"/>
    <d v="2025-04-23T00:00:00"/>
    <s v="C0029"/>
    <s v="P1002"/>
    <s v="Olivia White , Victoria , Consumer"/>
    <s v="Vancouver West"/>
    <s v="S. Patel"/>
    <s v="Online"/>
    <n v="3"/>
    <n v="38.96"/>
    <n v="0.1"/>
    <s v="Debit Card"/>
    <n v="2"/>
    <s v="No"/>
    <x v="2"/>
    <s v="Vancouver West"/>
    <s v="Debit Card"/>
    <s v="C0029"/>
    <s v="Olivia White"/>
    <s v="Victoria"/>
    <s v="Consumer"/>
    <s v="Keyboard"/>
    <x v="0"/>
    <n v="23.5"/>
    <n v="116.88"/>
    <n v="11.688000000000001"/>
    <n v="105.19199999999999"/>
    <n v="70.5"/>
    <n v="34.691999999999993"/>
    <n v="0.32979694273328763"/>
    <n v="0"/>
    <n v="2025"/>
    <n v="4"/>
    <s v="avril"/>
    <s v="Q2"/>
    <d v="2025-04-01T00:00:00"/>
    <x v="3"/>
  </r>
  <r>
    <s v="ORD-2025-00029"/>
    <d v="2025-01-13T00:00:00"/>
    <s v="C0061"/>
    <s v="P1011"/>
    <s v="Zoe Hall, Vancouver, Consumer"/>
    <s v="Online Fulfillment"/>
    <s v="M. Wilson"/>
    <s v="Online"/>
    <n v="3"/>
    <n v="81.11"/>
    <n v="0.1"/>
    <s v="Gift Card"/>
    <n v="1"/>
    <s v="No"/>
    <x v="2"/>
    <s v="Online Fulfillment"/>
    <s v="Gift Card"/>
    <s v="C0061"/>
    <s v="Zoe Hall"/>
    <s v="Vancouver"/>
    <s v="Consumer"/>
    <s v="Office Chair"/>
    <x v="1"/>
    <n v="39.26"/>
    <n v="243.32999999999998"/>
    <n v="24.332999999999998"/>
    <n v="218.99699999999999"/>
    <n v="117.78"/>
    <n v="101.21699999999998"/>
    <n v="0.46218441348511619"/>
    <n v="0"/>
    <n v="2025"/>
    <n v="1"/>
    <s v="janvier"/>
    <s v="Q1"/>
    <d v="2025-01-01T00:00:00"/>
    <x v="3"/>
  </r>
  <r>
    <s v="ORD-2025-00030"/>
    <d v="2025-10-10T00:00:00"/>
    <s v="C0005"/>
    <s v="P1040"/>
    <s v="Yasmine Taylor, Calgary, Consumer"/>
    <s v="Toronto Downtown"/>
    <s v="S. Patel"/>
    <s v="Online"/>
    <n v="1"/>
    <n v="322.58"/>
    <n v="0.05"/>
    <s v="Credit Card"/>
    <n v="6"/>
    <s v="No"/>
    <x v="2"/>
    <s v="Toronto Downtown"/>
    <s v="Credit Card"/>
    <s v="C0005"/>
    <s v="Yasmine Taylor"/>
    <s v="Calgary"/>
    <s v="Consumer"/>
    <s v="Desk Pad"/>
    <x v="4"/>
    <n v="177.57"/>
    <n v="322.58"/>
    <n v="16.129000000000001"/>
    <n v="306.45099999999996"/>
    <n v="177.57"/>
    <n v="128.88099999999997"/>
    <n v="0.42055989375136643"/>
    <n v="0"/>
    <n v="2025"/>
    <n v="10"/>
    <s v="octobre"/>
    <s v="Q4"/>
    <d v="2025-10-01T00:00:00"/>
    <x v="0"/>
  </r>
  <r>
    <s v="ORD-2025-00031"/>
    <d v="2025-03-14T00:00:00"/>
    <s v="C0001"/>
    <s v="P1039"/>
    <s v="Ethan Roy, Halifax, Consumer"/>
    <s v="Vancouver  West"/>
    <s v="A. Morgan"/>
    <s v="Online"/>
    <n v="1"/>
    <n v="359.52"/>
    <n v="0.15"/>
    <s v="Gift Card"/>
    <n v="9"/>
    <s v="No"/>
    <x v="2"/>
    <s v="Vancouver West"/>
    <s v="Gift Card"/>
    <s v="C0001"/>
    <s v="Ethan Roy"/>
    <s v="Halifax"/>
    <s v="Consumer"/>
    <s v="Travel Adapter"/>
    <x v="4"/>
    <n v="229.86"/>
    <n v="359.52"/>
    <n v="53.927999999999997"/>
    <n v="305.59199999999998"/>
    <n v="229.86"/>
    <n v="75.731999999999971"/>
    <n v="0.24782062357653334"/>
    <n v="0"/>
    <n v="2025"/>
    <n v="3"/>
    <s v="mars"/>
    <s v="Q1"/>
    <d v="2025-03-01T00:00:00"/>
    <x v="2"/>
  </r>
  <r>
    <s v="ORD-2025-00032"/>
    <d v="2025-12-06T00:00:00"/>
    <s v="C0065"/>
    <s v="P1006"/>
    <s v="Mia Wilson, Quebec City, Consumer"/>
    <s v="Toronto Downtown"/>
    <s v="S. Patel"/>
    <s v="Marketplace"/>
    <n v="1"/>
    <n v="99.63"/>
    <n v="0"/>
    <s v="PayPal"/>
    <n v="8"/>
    <s v="No"/>
    <x v="1"/>
    <s v="Toronto Downtown"/>
    <s v="PayPal"/>
    <s v="C0065"/>
    <s v="Mia Wilson"/>
    <s v="Quebec City"/>
    <s v="Consumer"/>
    <s v="USB-C Hub"/>
    <x v="0"/>
    <n v="72"/>
    <n v="99.63"/>
    <n v="0"/>
    <n v="99.63"/>
    <n v="72"/>
    <n v="27.629999999999995"/>
    <n v="0.27732610659439927"/>
    <n v="0"/>
    <n v="2025"/>
    <n v="12"/>
    <s v="décembre"/>
    <s v="Q4"/>
    <d v="2025-12-01T00:00:00"/>
    <x v="4"/>
  </r>
  <r>
    <s v="ORD-2025-00033"/>
    <d v="2025-05-08T00:00:00"/>
    <s v="C0067"/>
    <s v="P1018"/>
    <s v="Leo Bennett, Mississauga, Consumer"/>
    <s v="Montreal  Central"/>
    <s v="N. Brown"/>
    <s v="Online"/>
    <n v="1"/>
    <n v="30.26"/>
    <n v="0.2"/>
    <s v="Credit Card"/>
    <n v="5"/>
    <s v="No"/>
    <x v="2"/>
    <s v="Montreal Central"/>
    <s v="Credit Card"/>
    <s v="C0067"/>
    <s v="Leo Bennett"/>
    <s v="Mississauga"/>
    <s v="Consumer"/>
    <s v="Air Fryer"/>
    <x v="3"/>
    <n v="14.58"/>
    <n v="30.26"/>
    <n v="6.0520000000000005"/>
    <n v="24.208000000000002"/>
    <n v="14.58"/>
    <n v="9.6280000000000019"/>
    <n v="0.39771976206212828"/>
    <n v="0"/>
    <n v="2025"/>
    <n v="5"/>
    <s v="mai"/>
    <s v="Q2"/>
    <d v="2025-05-01T00:00:00"/>
    <x v="1"/>
  </r>
  <r>
    <s v="ORD-2025-00034"/>
    <d v="2025-03-16T00:00:00"/>
    <s v="C0110"/>
    <s v="P1010"/>
    <s v="Sarah Smith, Laval, Consumer"/>
    <s v="Montreal Central"/>
    <s v="M. Wilson"/>
    <s v="Online"/>
    <n v="1"/>
    <n v="215.08"/>
    <n v="0"/>
    <s v="Debit Card"/>
    <n v="9"/>
    <s v="No"/>
    <x v="2"/>
    <s v="Montreal Central"/>
    <s v="Debit Card"/>
    <s v="C0110"/>
    <s v="Sarah Smith"/>
    <s v="Laval"/>
    <s v="Consumer"/>
    <s v="Desk Lamp"/>
    <x v="1"/>
    <n v="127.21"/>
    <n v="215.08"/>
    <n v="0"/>
    <n v="215.08"/>
    <n v="127.21"/>
    <n v="87.870000000000019"/>
    <n v="0.40854565742979365"/>
    <n v="0"/>
    <n v="2025"/>
    <n v="3"/>
    <s v="mars"/>
    <s v="Q1"/>
    <d v="2025-03-01T00:00:00"/>
    <x v="4"/>
  </r>
  <r>
    <s v="ORD-2025-00035"/>
    <d v="2025-10-31T00:00:00"/>
    <s v="C0063"/>
    <s v="P1037"/>
    <s v="Adam Singh, Laval, Small Business"/>
    <s v="Toronto Downtown"/>
    <s v="S. Patel"/>
    <s v="Retail  Store"/>
    <n v="3"/>
    <n v="370.4"/>
    <n v="0.05"/>
    <s v="Credit Card"/>
    <n v="0"/>
    <s v="No"/>
    <x v="0"/>
    <s v="Toronto Downtown"/>
    <s v="Credit Card"/>
    <s v="C0063"/>
    <s v="Adam Singh"/>
    <s v="Laval"/>
    <s v="Small Business"/>
    <s v="Cable Set"/>
    <x v="4"/>
    <n v="200.16"/>
    <n v="1111.1999999999998"/>
    <n v="55.559999999999995"/>
    <n v="1055.6399999999999"/>
    <n v="600.48"/>
    <n v="455.15999999999985"/>
    <n v="0.43116971694895978"/>
    <n v="0"/>
    <n v="2025"/>
    <n v="10"/>
    <s v="octobre"/>
    <s v="Q4"/>
    <d v="2025-10-01T00:00:00"/>
    <x v="4"/>
  </r>
  <r>
    <s v="ORD-2025-00036"/>
    <d v="2025-07-23T00:00:00"/>
    <s v="C0057"/>
    <s v="P1012"/>
    <s v="Adam Khan, Edmonton, Small Business"/>
    <s v="Vancouver West"/>
    <s v="E. Roy"/>
    <s v="Retail Store"/>
    <n v="5"/>
    <n v="82.85"/>
    <n v="0.1"/>
    <s v="Credit Card"/>
    <n v="0"/>
    <s v="No"/>
    <x v="0"/>
    <s v="Vancouver West"/>
    <s v="Credit Card"/>
    <s v="C0057"/>
    <s v="Adam Khan"/>
    <s v="Edmonton"/>
    <s v="Small Business"/>
    <s v="Standing Desk"/>
    <x v="1"/>
    <n v="45.17"/>
    <n v="414.25"/>
    <n v="41.425000000000004"/>
    <n v="372.82499999999999"/>
    <n v="225.85000000000002"/>
    <n v="146.97499999999997"/>
    <n v="0.39421980822101516"/>
    <n v="0"/>
    <n v="2025"/>
    <n v="7"/>
    <s v="juillet"/>
    <s v="Q3"/>
    <d v="2025-07-01T00:00:00"/>
    <x v="0"/>
  </r>
  <r>
    <s v="ORD-2025-00037"/>
    <d v="2025-02-15T00:00:00"/>
    <s v="C0102"/>
    <s v="P1003"/>
    <s v="Adam Roy, Edmonton, Corporate"/>
    <s v="Online Fulfillment"/>
    <s v="L. Chen"/>
    <s v="Retail Store"/>
    <n v="1"/>
    <n v="165.76"/>
    <n v="0.2"/>
    <s v="Debit Card"/>
    <n v="3"/>
    <s v="No"/>
    <x v="0"/>
    <s v="Online Fulfillment"/>
    <s v="Debit Card"/>
    <s v="C0102"/>
    <s v="Adam Roy"/>
    <s v="Edmonton"/>
    <s v="Corporate"/>
    <s v="Mouse"/>
    <x v="0"/>
    <n v="106.4"/>
    <n v="165.76"/>
    <n v="33.152000000000001"/>
    <n v="132.608"/>
    <n v="106.4"/>
    <n v="26.207999999999998"/>
    <n v="0.19763513513513511"/>
    <n v="0"/>
    <n v="2025"/>
    <n v="2"/>
    <s v="février"/>
    <s v="Q1"/>
    <d v="2025-02-01T00:00:00"/>
    <x v="0"/>
  </r>
  <r>
    <s v="ORD-2025-00038"/>
    <d v="2025-05-01T00:00:00"/>
    <s v="C0089"/>
    <s v="P1003"/>
    <s v="Lucas Martin, Vancouver, Consumer"/>
    <s v="Calgary North"/>
    <s v="N. Brown"/>
    <s v="Retail Store"/>
    <n v="1"/>
    <n v="168.75"/>
    <n v="0"/>
    <s v="Debit Card"/>
    <n v="0"/>
    <s v="Yes"/>
    <x v="0"/>
    <s v="Calgary North"/>
    <s v="Debit Card"/>
    <s v="C0089"/>
    <s v="Lucas Martin"/>
    <s v="Vancouver"/>
    <s v="Consumer"/>
    <s v="Mouse"/>
    <x v="0"/>
    <n v="106.4"/>
    <n v="168.75"/>
    <n v="0"/>
    <n v="168.75"/>
    <n v="106.4"/>
    <n v="62.349999999999994"/>
    <n v="0.36948148148148147"/>
    <n v="1"/>
    <n v="2025"/>
    <n v="5"/>
    <s v="mai"/>
    <s v="Q2"/>
    <d v="2025-05-01T00:00:00"/>
    <x v="3"/>
  </r>
  <r>
    <s v="ORD-2025-00039"/>
    <d v="2025-12-31T00:00:00"/>
    <s v="C0064"/>
    <s v="P1002"/>
    <s v="Amine Khan, Edmonton, Consumer"/>
    <s v="Montreal Central"/>
    <s v="N. Brown"/>
    <s v="Online"/>
    <n v="3"/>
    <n v="39.06"/>
    <n v="0"/>
    <s v="Debit Card"/>
    <n v="5"/>
    <s v="Yes"/>
    <x v="2"/>
    <s v="Montreal Central"/>
    <s v="Debit Card"/>
    <s v="C0064"/>
    <s v="Amine Khan"/>
    <s v="Edmonton"/>
    <s v="Consumer"/>
    <s v="Keyboard"/>
    <x v="0"/>
    <n v="23.5"/>
    <n v="117.18"/>
    <n v="0"/>
    <n v="117.18"/>
    <n v="70.5"/>
    <n v="46.680000000000007"/>
    <n v="0.39836149513568869"/>
    <n v="1"/>
    <n v="2025"/>
    <n v="12"/>
    <s v="décembre"/>
    <s v="Q4"/>
    <d v="2025-12-01T00:00:00"/>
    <x v="0"/>
  </r>
  <r>
    <s v="ORD-2025-00040"/>
    <d v="2025-09-20T00:00:00"/>
    <s v="C0048"/>
    <s v="P1005"/>
    <s v="Amelia Brown, Quebec City, Corporate"/>
    <s v="Vancouver West"/>
    <s v="M. Wilson"/>
    <s v="Retail Store"/>
    <n v="1"/>
    <n v="241.49"/>
    <n v="0.1"/>
    <s v="Credit Card"/>
    <n v="2"/>
    <s v="No"/>
    <x v="0"/>
    <s v="Vancouver West"/>
    <s v="Credit Card"/>
    <s v="C0048"/>
    <s v="Amelia Brown"/>
    <s v="Quebec City"/>
    <s v="Corporate"/>
    <s v="Portable SSD"/>
    <x v="0"/>
    <n v="131.19"/>
    <n v="241.49"/>
    <n v="24.149000000000001"/>
    <n v="217.34100000000001"/>
    <n v="131.19"/>
    <n v="86.15100000000001"/>
    <n v="0.39638632379532629"/>
    <n v="0"/>
    <n v="2025"/>
    <n v="9"/>
    <s v="septembre"/>
    <s v="Q3"/>
    <d v="2025-09-01T00:00:00"/>
    <x v="4"/>
  </r>
  <r>
    <s v="ORD-2025-00041"/>
    <d v="2025-12-24T00:00:00"/>
    <s v="C0012"/>
    <s v="P1022"/>
    <s v="Daniel Taylor, Victoria, Corporate"/>
    <s v="Toronto Downtown"/>
    <s v="E. Roy"/>
    <s v="Online"/>
    <n v="2"/>
    <n v="434.43"/>
    <n v="0.05"/>
    <s v="Debit Card"/>
    <n v="7"/>
    <s v="No"/>
    <x v="2"/>
    <s v="Toronto Downtown"/>
    <s v="Debit Card"/>
    <s v="C0012"/>
    <s v="Daniel Taylor"/>
    <s v="Victoria"/>
    <s v="Corporate"/>
    <s v="Humidifier"/>
    <x v="3"/>
    <n v="239.67"/>
    <n v="868.86"/>
    <n v="43.443000000000005"/>
    <n v="825.41700000000003"/>
    <n v="479.34"/>
    <n v="346.07700000000006"/>
    <n v="0.41927534809678024"/>
    <n v="0"/>
    <n v="2025"/>
    <n v="12"/>
    <s v="décembre"/>
    <s v="Q4"/>
    <d v="2025-12-01T00:00:00"/>
    <x v="3"/>
  </r>
  <r>
    <s v="ORD-2025-00042"/>
    <d v="2025-11-15T00:00:00"/>
    <s v="C0091"/>
    <s v="P1019"/>
    <s v="Leo Taylor, Victoria, Small Business"/>
    <s v="Calgary North"/>
    <s v="J. Tremblay"/>
    <s v="Marketplace"/>
    <n v="2"/>
    <n v="257.69"/>
    <n v="0.05"/>
    <s v="CC"/>
    <n v="7"/>
    <s v="No"/>
    <x v="1"/>
    <s v="Calgary North"/>
    <s v="Credit Card"/>
    <s v="C0091"/>
    <s v="Leo Taylor"/>
    <s v="Victoria"/>
    <s v="Small Business"/>
    <s v="Vacuum"/>
    <x v="3"/>
    <n v="186.94"/>
    <n v="515.38"/>
    <n v="25.769000000000002"/>
    <n v="489.61099999999999"/>
    <n v="373.88"/>
    <n v="115.73099999999999"/>
    <n v="0.23637336579447765"/>
    <n v="0"/>
    <n v="2025"/>
    <n v="11"/>
    <s v="novembre"/>
    <s v="Q4"/>
    <d v="2025-11-01T00:00:00"/>
    <x v="3"/>
  </r>
  <r>
    <s v="ORD-2025-00043"/>
    <d v="2025-04-18T00:00:00"/>
    <s v="C0113"/>
    <s v="P1014"/>
    <s v="Olivia Johnson, Surrey, Consumer"/>
    <s v="Vancouver West"/>
    <s v="J. Tremblay"/>
    <s v="Retail Store"/>
    <n v="5"/>
    <n v="244.71"/>
    <n v="0"/>
    <s v="PayPal"/>
    <n v="2"/>
    <s v="No"/>
    <x v="0"/>
    <s v="Vancouver West"/>
    <s v="PayPal"/>
    <s v="C0113"/>
    <s v="Olivia Johnson"/>
    <s v="Surrey"/>
    <s v="Consumer"/>
    <s v="Document Shredder"/>
    <x v="1"/>
    <n v="117.65"/>
    <n v="1223.55"/>
    <n v="0"/>
    <n v="1223.55"/>
    <n v="588.25"/>
    <n v="635.29999999999995"/>
    <n v="0.51922683993298191"/>
    <n v="0"/>
    <n v="2025"/>
    <n v="4"/>
    <s v="avril"/>
    <s v="Q2"/>
    <d v="2025-04-01T00:00:00"/>
    <x v="3"/>
  </r>
  <r>
    <s v="ORD-2025-00044"/>
    <d v="2025-03-15T00:00:00"/>
    <s v="C0068"/>
    <s v="P1012"/>
    <s v="Yasmine Martin, Calgary, Consumer"/>
    <s v="Vancouver West"/>
    <s v="N. Brown"/>
    <s v="Online"/>
    <n v="1"/>
    <n v="83.33"/>
    <n v="0"/>
    <s v="Debit Card"/>
    <n v="1"/>
    <s v="Yes"/>
    <x v="2"/>
    <s v="Vancouver West"/>
    <s v="Debit Card"/>
    <s v="C0068"/>
    <s v="Yasmine Martin"/>
    <s v="Calgary"/>
    <s v="Consumer"/>
    <s v="Standing Desk"/>
    <x v="1"/>
    <n v="45.17"/>
    <n v="83.33"/>
    <n v="0"/>
    <n v="83.33"/>
    <n v="45.17"/>
    <n v="38.159999999999997"/>
    <n v="0.45793831753270126"/>
    <n v="1"/>
    <n v="2025"/>
    <n v="3"/>
    <s v="mars"/>
    <s v="Q1"/>
    <d v="2025-03-01T00:00:00"/>
    <x v="0"/>
  </r>
  <r>
    <s v="ORD-2025-00045"/>
    <d v="2025-02-26T00:00:00"/>
    <s v="C0076"/>
    <s v="P1031"/>
    <s v="Maya Taylor , Saskatoon , Corporate"/>
    <s v="Online Fulfillment"/>
    <s v="L. Chen"/>
    <s v="Online"/>
    <n v="4"/>
    <n v="247.77"/>
    <n v="0.1"/>
    <s v="Credit Card"/>
    <n v="5"/>
    <s v="Yes"/>
    <x v="2"/>
    <s v="Online Fulfillment"/>
    <s v="Credit Card"/>
    <s v="C0076"/>
    <s v="Maya Taylor"/>
    <s v="Saskatoon"/>
    <s v="Corporate"/>
    <s v="Dumbbell Set"/>
    <x v="2"/>
    <n v="131.72999999999999"/>
    <n v="991.08"/>
    <n v="99.108000000000004"/>
    <n v="891.97199999999998"/>
    <n v="526.91999999999996"/>
    <n v="365.05200000000002"/>
    <n v="0.4092639679272444"/>
    <n v="1"/>
    <n v="2025"/>
    <n v="2"/>
    <s v="février"/>
    <s v="Q1"/>
    <d v="2025-02-01T00:00:00"/>
    <x v="5"/>
  </r>
  <r>
    <s v="ORD-2025-00046"/>
    <d v="2025-07-17T00:00:00"/>
    <s v="C0015"/>
    <s v="P1009"/>
    <s v="Zoe Singh, Halifax, Consumer"/>
    <s v="Toronto Downtown"/>
    <s v="L. Chen"/>
    <s v="Retail Store"/>
    <n v="1"/>
    <n v="299.83"/>
    <n v="0"/>
    <s v="PayPal"/>
    <n v="3"/>
    <s v="No"/>
    <x v="0"/>
    <s v="Toronto Downtown"/>
    <s v="PayPal"/>
    <s v="C0015"/>
    <s v="Zoe Singh"/>
    <s v="Halifax"/>
    <s v="Consumer"/>
    <s v="Notebook"/>
    <x v="1"/>
    <n v="176.13"/>
    <n v="299.83"/>
    <n v="0"/>
    <n v="299.83"/>
    <n v="176.13"/>
    <n v="123.69999999999999"/>
    <n v="0.4125671213687756"/>
    <n v="0"/>
    <n v="2025"/>
    <n v="7"/>
    <s v="juillet"/>
    <s v="Q3"/>
    <d v="2025-07-01T00:00:00"/>
    <x v="2"/>
  </r>
  <r>
    <s v="ORD-2025-00047"/>
    <d v="2025-10-03T00:00:00"/>
    <s v="C0020"/>
    <s v="P1005"/>
    <s v="Nora Khan, Mississauga, Consumer"/>
    <s v="Calgary North"/>
    <s v="J. Tremblay"/>
    <s v="Online"/>
    <n v="2"/>
    <n v="242.3"/>
    <n v="0.1"/>
    <s v="Debit Card"/>
    <n v="9"/>
    <s v="No"/>
    <x v="2"/>
    <s v="Calgary North"/>
    <s v="Debit Card"/>
    <s v="C0020"/>
    <s v="Nora Khan"/>
    <s v="Mississauga"/>
    <s v="Consumer"/>
    <s v="Portable SSD"/>
    <x v="0"/>
    <n v="131.19"/>
    <n v="484.6"/>
    <n v="48.460000000000008"/>
    <n v="436.14"/>
    <n v="262.38"/>
    <n v="173.76"/>
    <n v="0.39840418214334844"/>
    <n v="0"/>
    <n v="2025"/>
    <n v="10"/>
    <s v="octobre"/>
    <s v="Q4"/>
    <d v="2025-10-01T00:00:00"/>
    <x v="1"/>
  </r>
  <r>
    <s v="ORD-2025-00048"/>
    <d v="2025-05-23T00:00:00"/>
    <s v="C0043"/>
    <s v="P1019"/>
    <s v="Ava Brown, Ottawa, Small Business"/>
    <s v="Online Fulfillment"/>
    <s v="A. Morgan"/>
    <s v="Retail Store"/>
    <n v="1"/>
    <n v="274.64999999999998"/>
    <n v="0.2"/>
    <s v="Gift Card"/>
    <n v="2"/>
    <s v="No"/>
    <x v="0"/>
    <s v="Online Fulfillment"/>
    <s v="Gift Card"/>
    <s v="C0043"/>
    <s v="Ava Brown"/>
    <s v="Ottawa"/>
    <s v="Small Business"/>
    <s v="Vacuum"/>
    <x v="3"/>
    <n v="186.94"/>
    <n v="274.64999999999998"/>
    <n v="54.93"/>
    <n v="219.71999999999997"/>
    <n v="186.94"/>
    <n v="32.779999999999973"/>
    <n v="0.14918987802657918"/>
    <n v="0"/>
    <n v="2025"/>
    <n v="5"/>
    <s v="mai"/>
    <s v="Q2"/>
    <d v="2025-05-01T00:00:00"/>
    <x v="1"/>
  </r>
  <r>
    <s v="ORD-2025-00049"/>
    <d v="2025-07-23T00:00:00"/>
    <s v="C0014"/>
    <s v="P1026"/>
    <s v="Zoe Scott, Montreal, Small Business"/>
    <s v="Toronto Downtown"/>
    <s v="N. Brown"/>
    <s v="Online"/>
    <n v="3"/>
    <n v="212.19"/>
    <n v="0.2"/>
    <s v="Credit Card"/>
    <n v="3"/>
    <s v="No"/>
    <x v="2"/>
    <s v="Toronto Downtown"/>
    <s v="Credit Card"/>
    <s v="C0014"/>
    <s v="Zoe Scott"/>
    <s v="Montreal"/>
    <s v="Small Business"/>
    <s v="Resistance Bands"/>
    <x v="2"/>
    <n v="139.19999999999999"/>
    <n v="636.56999999999994"/>
    <n v="127.31399999999999"/>
    <n v="509.25599999999997"/>
    <n v="417.59999999999997"/>
    <n v="91.656000000000006"/>
    <n v="0.17998020641877566"/>
    <n v="0"/>
    <n v="2025"/>
    <n v="7"/>
    <s v="juillet"/>
    <s v="Q3"/>
    <d v="2025-07-01T00:00:00"/>
    <x v="4"/>
  </r>
  <r>
    <s v="ORD-2025-00050"/>
    <d v="2025-12-08T00:00:00"/>
    <s v="C0066"/>
    <s v="P1025"/>
    <s v="Noah Clark, Laval, Consumer"/>
    <s v="Vancouver West"/>
    <s v="N. Brown"/>
    <s v="Marketplace"/>
    <n v="1"/>
    <n v="306.63"/>
    <n v="0.1"/>
    <s v="Credit Card"/>
    <n v="2"/>
    <s v="No"/>
    <x v="1"/>
    <s v="Vancouver West"/>
    <s v="Credit Card"/>
    <s v="C0066"/>
    <s v="Noah Clark"/>
    <s v="Laval"/>
    <s v="Consumer"/>
    <s v="Yoga Mat"/>
    <x v="2"/>
    <n v="197.33"/>
    <n v="306.63"/>
    <n v="30.663"/>
    <n v="275.96699999999998"/>
    <n v="197.33"/>
    <n v="78.636999999999972"/>
    <n v="0.28495073686346545"/>
    <n v="0"/>
    <n v="2025"/>
    <n v="12"/>
    <s v="décembre"/>
    <s v="Q4"/>
    <d v="2025-12-01T00:00:00"/>
    <x v="4"/>
  </r>
  <r>
    <s v="ORD-2025-00051"/>
    <d v="2025-11-02T00:00:00"/>
    <s v="C0012"/>
    <s v="P1029"/>
    <s v="Daniel Taylor, Victoria, Corporate"/>
    <s v="Vancouver West"/>
    <s v="R. Singh"/>
    <s v="Online"/>
    <n v="3"/>
    <n v="205.39"/>
    <n v="0"/>
    <s v="Credit Card"/>
    <n v="6"/>
    <s v="No"/>
    <x v="2"/>
    <s v="Vancouver West"/>
    <s v="Credit Card"/>
    <s v="C0012"/>
    <s v="Daniel Taylor"/>
    <s v="Victoria"/>
    <s v="Corporate"/>
    <s v="Jump Rope"/>
    <x v="2"/>
    <n v="101"/>
    <n v="616.16999999999996"/>
    <n v="0"/>
    <n v="616.16999999999996"/>
    <n v="303"/>
    <n v="313.16999999999996"/>
    <n v="0.50825259262865763"/>
    <n v="0"/>
    <n v="2025"/>
    <n v="11"/>
    <s v="novembre"/>
    <s v="Q4"/>
    <d v="2025-11-01T00:00:00"/>
    <x v="3"/>
  </r>
  <r>
    <s v="ORD-2025-00052"/>
    <d v="2025-10-24T00:00:00"/>
    <s v="C0110"/>
    <s v="P1001"/>
    <s v="Sarah Smith, Laval, Consumer"/>
    <s v="Calgary North"/>
    <s v="M. Wilson"/>
    <s v="Online"/>
    <n v="1"/>
    <n v="394.09"/>
    <n v="0.2"/>
    <s v="PayPal"/>
    <n v="6"/>
    <s v="No"/>
    <x v="2"/>
    <s v="Calgary North"/>
    <s v="PayPal"/>
    <s v="C0110"/>
    <s v="Sarah Smith"/>
    <s v="Laval"/>
    <s v="Consumer"/>
    <s v="Headphones"/>
    <x v="0"/>
    <n v="254.6"/>
    <n v="394.09"/>
    <n v="78.817999999999998"/>
    <n v="315.27199999999999"/>
    <n v="254.6"/>
    <n v="60.671999999999997"/>
    <n v="0.19244335050369205"/>
    <n v="0"/>
    <n v="2025"/>
    <n v="10"/>
    <s v="octobre"/>
    <s v="Q4"/>
    <d v="2025-10-01T00:00:00"/>
    <x v="4"/>
  </r>
  <r>
    <s v="ORD-2025-00053"/>
    <d v="2025-07-24T00:00:00"/>
    <s v="C0069"/>
    <s v="P1021"/>
    <s v="Sarah White, Ottawa, Consumer"/>
    <s v="Calgary North"/>
    <s v="M. Wilson"/>
    <s v="Online"/>
    <n v="2"/>
    <n v="309.14"/>
    <n v="0.15"/>
    <s v="Credit Card"/>
    <n v="9"/>
    <s v="No"/>
    <x v="2"/>
    <s v="Calgary North"/>
    <s v="Credit Card"/>
    <s v="C0069"/>
    <s v="Sarah White"/>
    <s v="Ottawa"/>
    <s v="Consumer"/>
    <s v="Kettle"/>
    <x v="3"/>
    <n v="139.86000000000001"/>
    <n v="618.28"/>
    <n v="92.74199999999999"/>
    <n v="525.53800000000001"/>
    <n v="279.72000000000003"/>
    <n v="245.81799999999998"/>
    <n v="0.46774543420266468"/>
    <n v="0"/>
    <n v="2025"/>
    <n v="7"/>
    <s v="juillet"/>
    <s v="Q3"/>
    <d v="2025-07-01T00:00:00"/>
    <x v="1"/>
  </r>
  <r>
    <s v="ORD-2025-00054"/>
    <d v="2025-03-06T00:00:00"/>
    <s v="C0003"/>
    <s v="P1003"/>
    <s v="Amelia Young, Ottawa, Corporate"/>
    <s v="Online Fulfillment"/>
    <s v="M. Wilson"/>
    <s v="Online"/>
    <n v="1"/>
    <n v="155.66999999999999"/>
    <n v="0"/>
    <s v="Credit Card"/>
    <n v="6"/>
    <s v="No"/>
    <x v="2"/>
    <s v="Online Fulfillment"/>
    <s v="Credit Card"/>
    <s v="C0003"/>
    <s v="Amelia Young"/>
    <s v="Ottawa"/>
    <s v="Corporate"/>
    <s v="Mouse"/>
    <x v="0"/>
    <n v="106.4"/>
    <n v="155.66999999999999"/>
    <n v="0"/>
    <n v="155.66999999999999"/>
    <n v="106.4"/>
    <n v="49.269999999999982"/>
    <n v="0.31650285861116456"/>
    <n v="0"/>
    <n v="2025"/>
    <n v="3"/>
    <s v="mars"/>
    <s v="Q1"/>
    <d v="2025-03-01T00:00:00"/>
    <x v="1"/>
  </r>
  <r>
    <s v="ORD-2025-00055"/>
    <d v="2025-10-17T00:00:00"/>
    <s v="C0033"/>
    <s v="P1033"/>
    <s v="Maya Hall, Winnipeg, Consumer"/>
    <s v="Calgary North"/>
    <s v="M. Wilson"/>
    <s v="Online"/>
    <n v="1"/>
    <n v="318.31"/>
    <n v="0.1"/>
    <s v="PayPal"/>
    <n v="6"/>
    <s v="No"/>
    <x v="2"/>
    <s v="Calgary North"/>
    <s v="PayPal"/>
    <s v="C0033"/>
    <s v="Maya Hall"/>
    <s v="Winnipeg"/>
    <s v="Consumer"/>
    <s v="Backpack"/>
    <x v="4"/>
    <n v="152.55000000000001"/>
    <n v="318.31"/>
    <n v="31.831000000000003"/>
    <n v="286.47899999999998"/>
    <n v="152.55000000000001"/>
    <n v="133.92899999999997"/>
    <n v="0.46750023561936471"/>
    <n v="0"/>
    <n v="2025"/>
    <n v="10"/>
    <s v="octobre"/>
    <s v="Q4"/>
    <d v="2025-10-01T00:00:00"/>
    <x v="6"/>
  </r>
  <r>
    <s v="ORD-2025-00056"/>
    <d v="2025-11-10T00:00:00"/>
    <s v="C0098"/>
    <s v="P1009"/>
    <s v="Nora Young, Winnipeg, Consumer"/>
    <s v="Toronto Downtown"/>
    <s v="A. Morgan"/>
    <s v="Retail Store"/>
    <n v="1"/>
    <n v="294.95"/>
    <n v="0.05"/>
    <s v="Credit Card"/>
    <n v="2"/>
    <s v="No"/>
    <x v="0"/>
    <s v="Toronto Downtown"/>
    <s v="Credit Card"/>
    <s v="C0098"/>
    <s v="Nora Young"/>
    <s v="Winnipeg"/>
    <s v="Consumer"/>
    <s v="Notebook"/>
    <x v="1"/>
    <n v="176.13"/>
    <n v="294.95"/>
    <n v="14.7475"/>
    <n v="280.20249999999999"/>
    <n v="176.13"/>
    <n v="104.07249999999999"/>
    <n v="0.37141888455670452"/>
    <n v="0"/>
    <n v="2025"/>
    <n v="11"/>
    <s v="novembre"/>
    <s v="Q4"/>
    <d v="2025-11-01T00:00:00"/>
    <x v="6"/>
  </r>
  <r>
    <s v="ORD-2025-00057"/>
    <d v="2025-10-01T00:00:00"/>
    <s v="C0048"/>
    <s v="P1005"/>
    <s v="Amelia Brown, Quebec City, Corporate"/>
    <s v="Montreal Central"/>
    <s v="J. Tremblay"/>
    <s v="Online"/>
    <n v="3"/>
    <n v="229.15"/>
    <n v="0"/>
    <s v="Debit Card"/>
    <n v="2"/>
    <s v="No"/>
    <x v="2"/>
    <s v="Montreal Central"/>
    <s v="Debit Card"/>
    <s v="C0048"/>
    <s v="Amelia Brown"/>
    <s v="Quebec City"/>
    <s v="Corporate"/>
    <s v="Portable SSD"/>
    <x v="0"/>
    <n v="131.19"/>
    <n v="687.45"/>
    <n v="0"/>
    <n v="687.45"/>
    <n v="393.57"/>
    <n v="293.88000000000005"/>
    <n v="0.42749290857516914"/>
    <n v="0"/>
    <n v="2025"/>
    <n v="10"/>
    <s v="octobre"/>
    <s v="Q4"/>
    <d v="2025-10-01T00:00:00"/>
    <x v="4"/>
  </r>
  <r>
    <s v="ORD-2025-00058"/>
    <d v="2025-05-19T00:00:00"/>
    <s v="C0116"/>
    <s v="P1019"/>
    <s v="Lucas Brown , Mississauga , Corporate"/>
    <s v="Montreal Central"/>
    <s v="E. Roy"/>
    <s v="Marketplace"/>
    <n v="2"/>
    <n v="284.68"/>
    <n v="0.2"/>
    <s v="Credit Card"/>
    <n v="3"/>
    <s v="No"/>
    <x v="1"/>
    <s v="Montreal Central"/>
    <s v="Credit Card"/>
    <s v="C0116"/>
    <s v="Lucas Brown"/>
    <s v="Mississauga"/>
    <s v="Corporate"/>
    <s v="Vacuum"/>
    <x v="3"/>
    <n v="186.94"/>
    <n v="569.36"/>
    <n v="113.87200000000001"/>
    <n v="455.488"/>
    <n v="373.88"/>
    <n v="81.608000000000004"/>
    <n v="0.17916608121399466"/>
    <n v="0"/>
    <n v="2025"/>
    <n v="5"/>
    <s v="mai"/>
    <s v="Q2"/>
    <d v="2025-05-01T00:00:00"/>
    <x v="1"/>
  </r>
  <r>
    <s v="ORD-2025-00059"/>
    <d v="2025-03-02T00:00:00"/>
    <s v="C0007"/>
    <s v="P1014"/>
    <s v="Lucas Wilson , Ottawa , Consumer"/>
    <s v="Vancouver West"/>
    <s v="A. Morgan"/>
    <s v="Online"/>
    <n v="1"/>
    <n v="226.51"/>
    <n v="0.15"/>
    <s v="CC"/>
    <n v="8"/>
    <s v="No"/>
    <x v="2"/>
    <s v="Vancouver West"/>
    <s v="Credit Card"/>
    <s v="C0007"/>
    <s v="Lucas Wilson"/>
    <s v="Ottawa"/>
    <s v="Consumer"/>
    <s v="Document Shredder"/>
    <x v="1"/>
    <n v="117.65"/>
    <n v="226.51"/>
    <n v="33.976499999999994"/>
    <n v="192.5335"/>
    <n v="117.65"/>
    <n v="74.883499999999998"/>
    <n v="0.38893750957625556"/>
    <n v="0"/>
    <n v="2025"/>
    <n v="3"/>
    <s v="mars"/>
    <s v="Q1"/>
    <d v="2025-03-01T00:00:00"/>
    <x v="1"/>
  </r>
  <r>
    <s v="ORD-2025-00060"/>
    <d v="2025-09-29T00:00:00"/>
    <s v="C0040"/>
    <s v="P1009"/>
    <s v="Ethan Young, Surrey, Consumer"/>
    <s v="Vancouver West"/>
    <s v="E. Roy"/>
    <s v="Retail Store"/>
    <n v="3"/>
    <n v="307.64999999999998"/>
    <n v="0"/>
    <s v="Credit Card"/>
    <n v="4"/>
    <s v="No"/>
    <x v="0"/>
    <s v="Vancouver West"/>
    <s v="Credit Card"/>
    <s v="C0040"/>
    <s v="Ethan Young"/>
    <s v="Surrey"/>
    <s v="Consumer"/>
    <s v="Notebook"/>
    <x v="1"/>
    <n v="176.13"/>
    <n v="922.94999999999993"/>
    <n v="0"/>
    <n v="922.94999999999993"/>
    <n v="528.39"/>
    <n v="394.55999999999995"/>
    <n v="0.4274987810823988"/>
    <n v="0"/>
    <n v="2025"/>
    <n v="9"/>
    <s v="septembre"/>
    <s v="Q3"/>
    <d v="2025-09-01T00:00:00"/>
    <x v="3"/>
  </r>
  <r>
    <s v="ORD-2025-00061"/>
    <d v="2025-03-14T00:00:00"/>
    <s v="C0048"/>
    <s v="P1005"/>
    <s v="Amelia Brown, Quebec City, Corporate"/>
    <s v="Calgary North"/>
    <s v="J. Tremblay"/>
    <s v="Retail Store"/>
    <n v="5"/>
    <n v="234.75"/>
    <n v="0.1"/>
    <s v="Credit Card"/>
    <n v="3"/>
    <s v="No"/>
    <x v="0"/>
    <s v="Calgary North"/>
    <s v="Credit Card"/>
    <s v="C0048"/>
    <s v="Amelia Brown"/>
    <s v="Quebec City"/>
    <s v="Corporate"/>
    <s v="Portable SSD"/>
    <x v="0"/>
    <n v="131.19"/>
    <n v="1173.75"/>
    <n v="117.375"/>
    <n v="1056.375"/>
    <n v="655.95"/>
    <n v="400.42499999999995"/>
    <n v="0.37905573304934326"/>
    <n v="0"/>
    <n v="2025"/>
    <n v="3"/>
    <s v="mars"/>
    <s v="Q1"/>
    <d v="2025-03-01T00:00:00"/>
    <x v="4"/>
  </r>
  <r>
    <s v="ORD-2025-00062"/>
    <d v="2025-03-02T00:00:00"/>
    <s v="C0016"/>
    <s v="P1021"/>
    <s v="Nora Singh, Calgary, Consumer"/>
    <s v="Online Fulfillment"/>
    <s v="J. Tremblay"/>
    <s v="Retail Store"/>
    <n v="2"/>
    <n v="314.29000000000002"/>
    <n v="0.1"/>
    <s v="Debit Card"/>
    <n v="0"/>
    <s v="No"/>
    <x v="0"/>
    <s v="Online Fulfillment"/>
    <s v="Debit Card"/>
    <s v="C0016"/>
    <s v="Nora Singh"/>
    <s v="Calgary"/>
    <s v="Consumer"/>
    <s v="Kettle"/>
    <x v="3"/>
    <n v="139.86000000000001"/>
    <n v="628.58000000000004"/>
    <n v="62.858000000000004"/>
    <n v="565.72199999999998"/>
    <n v="279.72000000000003"/>
    <n v="286.00199999999995"/>
    <n v="0.50555219701549514"/>
    <n v="0"/>
    <n v="2025"/>
    <n v="3"/>
    <s v="mars"/>
    <s v="Q1"/>
    <d v="2025-03-01T00:00:00"/>
    <x v="0"/>
  </r>
  <r>
    <s v="ORD-2025-00063"/>
    <d v="2025-12-23T00:00:00"/>
    <s v="C0113"/>
    <s v="P1036"/>
    <s v="Olivia Johnson, Surrey, Consumer"/>
    <s v="Calgary North"/>
    <s v="J. Tremblay"/>
    <s v="Retail Store"/>
    <n v="2"/>
    <n v="153.13"/>
    <n v="0"/>
    <s v="Debit Card"/>
    <n v="0"/>
    <s v="No"/>
    <x v="0"/>
    <s v="Calgary North"/>
    <s v="Debit Card"/>
    <s v="C0113"/>
    <s v="Olivia Johnson"/>
    <s v="Surrey"/>
    <s v="Consumer"/>
    <s v="Power Bank"/>
    <x v="4"/>
    <n v="76.97"/>
    <n v="306.26"/>
    <n v="0"/>
    <n v="306.26"/>
    <n v="153.94"/>
    <n v="152.32"/>
    <n v="0.49735518840201137"/>
    <n v="0"/>
    <n v="2025"/>
    <n v="12"/>
    <s v="décembre"/>
    <s v="Q4"/>
    <d v="2025-12-01T00:00:00"/>
    <x v="3"/>
  </r>
  <r>
    <s v="ORD-2025-00064"/>
    <d v="2025-09-10T00:00:00"/>
    <s v="C0055"/>
    <s v="P1010"/>
    <s v="Sarah Scott, Surrey, Consumer"/>
    <s v="Online Fulfillment"/>
    <s v="A. Morgan"/>
    <s v="Online"/>
    <n v="5"/>
    <n v="216.55"/>
    <n v="0.05"/>
    <s v="PayPal"/>
    <n v="8"/>
    <s v="No"/>
    <x v="2"/>
    <s v="Online Fulfillment"/>
    <s v="PayPal"/>
    <s v="C0055"/>
    <s v="Sarah Scott"/>
    <s v="Surrey"/>
    <s v="Consumer"/>
    <s v="Desk Lamp"/>
    <x v="1"/>
    <n v="127.21"/>
    <n v="1082.75"/>
    <n v="54.137500000000003"/>
    <n v="1028.6125"/>
    <n v="636.04999999999995"/>
    <n v="392.5625"/>
    <n v="0.38164274690420352"/>
    <n v="0"/>
    <n v="2025"/>
    <n v="9"/>
    <s v="septembre"/>
    <s v="Q3"/>
    <d v="2025-09-01T00:00:00"/>
    <x v="3"/>
  </r>
  <r>
    <s v="ORD-2025-00065"/>
    <d v="2025-11-06T00:00:00"/>
    <s v="C0089"/>
    <s v="P1032"/>
    <s v="Lucas Martin, Vancouver, Consumer"/>
    <s v="Vancouver West"/>
    <s v="N. Brown"/>
    <s v="Online"/>
    <n v="3"/>
    <n v="209.24"/>
    <n v="0.2"/>
    <s v="PayPal"/>
    <n v="6"/>
    <s v="No"/>
    <x v="2"/>
    <s v="Vancouver West"/>
    <s v="PayPal"/>
    <s v="C0089"/>
    <s v="Lucas Martin"/>
    <s v="Vancouver"/>
    <s v="Consumer"/>
    <s v="Gym Bag"/>
    <x v="2"/>
    <n v="132.72"/>
    <n v="627.72"/>
    <n v="125.54400000000001"/>
    <n v="502.17600000000004"/>
    <n v="398.15999999999997"/>
    <n v="104.01600000000008"/>
    <n v="0.20713056776906916"/>
    <n v="0"/>
    <n v="2025"/>
    <n v="11"/>
    <s v="novembre"/>
    <s v="Q4"/>
    <d v="2025-11-01T00:00:00"/>
    <x v="3"/>
  </r>
  <r>
    <s v="ORD-2025-00066"/>
    <d v="2025-02-18T00:00:00"/>
    <s v="C0102"/>
    <s v="P1033"/>
    <s v="Adam Roy, Edmonton, Corporate"/>
    <s v="Toronto  Downtown"/>
    <s v="J. Tremblay"/>
    <s v="Online"/>
    <n v="3"/>
    <n v="302.63"/>
    <n v="0"/>
    <s v="CC"/>
    <n v="5"/>
    <s v="No"/>
    <x v="2"/>
    <s v="Toronto Downtown"/>
    <s v="Credit Card"/>
    <s v="C0102"/>
    <s v="Adam Roy"/>
    <s v="Edmonton"/>
    <s v="Corporate"/>
    <s v="Backpack"/>
    <x v="4"/>
    <n v="152.55000000000001"/>
    <n v="907.89"/>
    <n v="0"/>
    <n v="907.89"/>
    <n v="457.65000000000003"/>
    <n v="450.23999999999995"/>
    <n v="0.49591910914317811"/>
    <n v="0"/>
    <n v="2025"/>
    <n v="2"/>
    <s v="février"/>
    <s v="Q1"/>
    <d v="2025-02-01T00:00:00"/>
    <x v="0"/>
  </r>
  <r>
    <s v="ORD-2025-00067"/>
    <d v="2025-12-14T00:00:00"/>
    <s v="C0110"/>
    <s v="P1038"/>
    <s v="Sarah Smith, Laval, Consumer"/>
    <s v="Toronto Downtown"/>
    <s v="S. Patel"/>
    <s v="Retail Store"/>
    <n v="1"/>
    <n v="254.95"/>
    <n v="0.2"/>
    <s v="Credit Card"/>
    <n v="2"/>
    <s v="No"/>
    <x v="0"/>
    <s v="Toronto Downtown"/>
    <s v="Credit Card"/>
    <s v="C0110"/>
    <s v="Sarah Smith"/>
    <s v="Laval"/>
    <s v="Consumer"/>
    <s v="Water Bottle"/>
    <x v="4"/>
    <n v="119.16"/>
    <n v="254.95"/>
    <n v="50.99"/>
    <n v="203.95999999999998"/>
    <n v="119.16"/>
    <n v="84.799999999999983"/>
    <n v="0.41576779760737398"/>
    <n v="0"/>
    <n v="2025"/>
    <n v="12"/>
    <s v="décembre"/>
    <s v="Q4"/>
    <d v="2025-12-01T00:00:00"/>
    <x v="4"/>
  </r>
  <r>
    <s v="ORD-2025-00068"/>
    <d v="2025-11-07T00:00:00"/>
    <s v="C0080"/>
    <s v="P1005"/>
    <s v="Sarah Smith, Mississauga, Corporate"/>
    <s v="Toronto Downtown"/>
    <s v="L. Chen"/>
    <s v="Retail Store"/>
    <n v="2"/>
    <n v="251.66"/>
    <n v="0.15"/>
    <s v="Credit Card"/>
    <n v="3"/>
    <s v="No"/>
    <x v="0"/>
    <s v="Toronto Downtown"/>
    <s v="Credit Card"/>
    <s v="C0080"/>
    <s v="Sarah Smith"/>
    <s v="Mississauga"/>
    <s v="Corporate"/>
    <s v="Portable SSD"/>
    <x v="0"/>
    <n v="131.19"/>
    <n v="503.32"/>
    <n v="75.49799999999999"/>
    <n v="427.822"/>
    <n v="262.38"/>
    <n v="165.44200000000001"/>
    <n v="0.38670755594616452"/>
    <n v="0"/>
    <n v="2025"/>
    <n v="11"/>
    <s v="novembre"/>
    <s v="Q4"/>
    <d v="2025-11-01T00:00:00"/>
    <x v="1"/>
  </r>
  <r>
    <s v="ORD-2025-00069"/>
    <d v="2025-12-08T00:00:00"/>
    <s v="C0075"/>
    <s v="P1012"/>
    <s v="Amelia Wilson, Vancouver, Consumer"/>
    <s v="Vancouver West"/>
    <s v="E. Roy"/>
    <s v="Retail Store"/>
    <n v="2"/>
    <n v="84.65"/>
    <n v="0"/>
    <m/>
    <n v="1"/>
    <s v="No"/>
    <x v="0"/>
    <s v="Vancouver West"/>
    <s v="Non renseigné"/>
    <s v="C0075"/>
    <s v="Amelia Wilson"/>
    <s v="Vancouver"/>
    <s v="Consumer"/>
    <s v="Standing Desk"/>
    <x v="1"/>
    <n v="45.17"/>
    <n v="169.3"/>
    <n v="0"/>
    <n v="169.3"/>
    <n v="90.34"/>
    <n v="78.960000000000008"/>
    <n v="0.46639102185469583"/>
    <n v="0"/>
    <n v="2025"/>
    <n v="12"/>
    <s v="décembre"/>
    <s v="Q4"/>
    <d v="2025-12-01T00:00:00"/>
    <x v="3"/>
  </r>
  <r>
    <s v="ORD-2025-00070"/>
    <d v="2025-01-31T00:00:00"/>
    <s v="C0013"/>
    <s v="P1022"/>
    <s v="Amelia Martin, Quebec City, Small Business"/>
    <s v="Toronto Downtown"/>
    <s v="S. Patel"/>
    <s v="Retail Store"/>
    <n v="1"/>
    <n v="434.51"/>
    <n v="0.1"/>
    <s v="Debit Card"/>
    <n v="3"/>
    <s v="No"/>
    <x v="0"/>
    <s v="Toronto Downtown"/>
    <s v="Debit Card"/>
    <s v="C0013"/>
    <s v="Amelia Martin"/>
    <s v="Quebec City"/>
    <s v="Small Business"/>
    <s v="Humidifier"/>
    <x v="3"/>
    <n v="239.67"/>
    <n v="434.51"/>
    <n v="43.451000000000001"/>
    <n v="391.05899999999997"/>
    <n v="239.67"/>
    <n v="151.38899999999998"/>
    <n v="0.38712572783135024"/>
    <n v="0"/>
    <n v="2025"/>
    <n v="1"/>
    <s v="janvier"/>
    <s v="Q1"/>
    <d v="2025-01-01T00:00:00"/>
    <x v="4"/>
  </r>
  <r>
    <s v="ORD-2025-00071"/>
    <d v="2025-11-02T00:00:00"/>
    <s v="C0119"/>
    <s v="P1023"/>
    <s v="Liam Chen , Winnipeg , Consumer"/>
    <s v="Montreal Central"/>
    <s v="A. Morgan"/>
    <s v="Retail Store"/>
    <n v="1"/>
    <n v="351.6"/>
    <n v="0"/>
    <s v="Credit Card"/>
    <n v="2"/>
    <s v="No"/>
    <x v="0"/>
    <s v="Montreal Central"/>
    <s v="Credit Card"/>
    <s v="C0119"/>
    <s v="Liam Chen"/>
    <s v="Winnipeg"/>
    <s v="Consumer"/>
    <s v="Toaster"/>
    <x v="3"/>
    <n v="152.88"/>
    <n v="351.6"/>
    <n v="0"/>
    <n v="351.6"/>
    <n v="152.88"/>
    <n v="198.72000000000003"/>
    <n v="0.56518771331058026"/>
    <n v="0"/>
    <n v="2025"/>
    <n v="11"/>
    <s v="novembre"/>
    <s v="Q4"/>
    <d v="2025-11-01T00:00:00"/>
    <x v="6"/>
  </r>
  <r>
    <s v="ORD-2025-00072"/>
    <d v="2025-02-24T00:00:00"/>
    <s v="C0092"/>
    <s v="P1018"/>
    <s v="Lucas Tremblay, Saskatoon, Consumer"/>
    <s v="Vancouver West"/>
    <s v="S. Patel"/>
    <s v="Online"/>
    <n v="1"/>
    <n v="31.95"/>
    <n v="0"/>
    <s v="Credit Card"/>
    <n v="9"/>
    <s v="No"/>
    <x v="2"/>
    <s v="Vancouver West"/>
    <s v="Credit Card"/>
    <s v="C0092"/>
    <s v="Lucas Tremblay"/>
    <s v="Saskatoon"/>
    <s v="Consumer"/>
    <s v="Air Fryer"/>
    <x v="3"/>
    <n v="14.58"/>
    <n v="31.95"/>
    <n v="0"/>
    <n v="31.95"/>
    <n v="14.58"/>
    <n v="17.369999999999997"/>
    <n v="0.54366197183098586"/>
    <n v="0"/>
    <n v="2025"/>
    <n v="2"/>
    <s v="février"/>
    <s v="Q1"/>
    <d v="2025-02-01T00:00:00"/>
    <x v="5"/>
  </r>
  <r>
    <s v="ORD-2025-00073"/>
    <d v="2025-01-15T00:00:00"/>
    <s v="C0063"/>
    <s v="P1003"/>
    <s v="Adam Singh, Laval, Small Business"/>
    <s v="Toronto Downtown"/>
    <s v="J. Tremblay"/>
    <s v="Online"/>
    <n v="1"/>
    <n v="152.32"/>
    <n v="0.1"/>
    <s v="PayPal"/>
    <n v="5"/>
    <s v="No"/>
    <x v="2"/>
    <s v="Toronto Downtown"/>
    <s v="PayPal"/>
    <s v="C0063"/>
    <s v="Adam Singh"/>
    <s v="Laval"/>
    <s v="Small Business"/>
    <s v="Mouse"/>
    <x v="0"/>
    <n v="106.4"/>
    <n v="152.32"/>
    <n v="15.231999999999999"/>
    <n v="137.08799999999999"/>
    <n v="106.4"/>
    <n v="30.687999999999988"/>
    <n v="0.22385620915032672"/>
    <n v="0"/>
    <n v="2025"/>
    <n v="1"/>
    <s v="janvier"/>
    <s v="Q1"/>
    <d v="2025-01-01T00:00:00"/>
    <x v="4"/>
  </r>
  <r>
    <s v="ORD-2025-00074"/>
    <d v="2025-02-04T00:00:00"/>
    <s v="C0108"/>
    <s v="P1037"/>
    <s v="Noah Lee , Surrey , Consumer"/>
    <s v="Vancouver  West"/>
    <s v="N. Brown"/>
    <s v="Retail Store"/>
    <n v="2"/>
    <n v="367.26"/>
    <n v="0.2"/>
    <s v="Credit Card"/>
    <n v="0"/>
    <s v="No"/>
    <x v="0"/>
    <s v="Vancouver West"/>
    <s v="Credit Card"/>
    <s v="C0108"/>
    <s v="Noah Lee"/>
    <s v="Surrey"/>
    <s v="Consumer"/>
    <s v="Cable Set"/>
    <x v="4"/>
    <n v="200.16"/>
    <n v="734.52"/>
    <n v="146.904"/>
    <n v="587.61599999999999"/>
    <n v="400.32"/>
    <n v="187.29599999999999"/>
    <n v="0.3187387681751348"/>
    <n v="0"/>
    <n v="2025"/>
    <n v="2"/>
    <s v="février"/>
    <s v="Q1"/>
    <d v="2025-02-01T00:00:00"/>
    <x v="3"/>
  </r>
  <r>
    <s v="ORD-2025-00075"/>
    <d v="2025-02-18T00:00:00"/>
    <s v="C0073"/>
    <s v="P1010"/>
    <s v="Olivia Singh, Mississauga, Consumer"/>
    <s v="Toronto Downtown"/>
    <s v="L. Chen"/>
    <s v="Online"/>
    <n v="2"/>
    <n v="221.42"/>
    <n v="0"/>
    <s v="Credit Card"/>
    <n v="8"/>
    <s v="Yes"/>
    <x v="2"/>
    <s v="Toronto Downtown"/>
    <s v="Credit Card"/>
    <s v="C0073"/>
    <s v="Olivia Singh"/>
    <s v="Mississauga"/>
    <s v="Consumer"/>
    <s v="Desk Lamp"/>
    <x v="1"/>
    <n v="127.21"/>
    <n v="442.84"/>
    <n v="0"/>
    <n v="442.84"/>
    <n v="254.42"/>
    <n v="188.42"/>
    <n v="0.42548098636076237"/>
    <n v="1"/>
    <n v="2025"/>
    <n v="2"/>
    <s v="février"/>
    <s v="Q1"/>
    <d v="2025-02-01T00:00:00"/>
    <x v="1"/>
  </r>
  <r>
    <s v="ORD-2025-00076"/>
    <d v="2025-11-02T00:00:00"/>
    <s v="C0085"/>
    <s v="P1027"/>
    <s v="Yasmine Clark, Calgary, Consumer"/>
    <s v="Calgary North"/>
    <s v="N. Brown"/>
    <s v="Online"/>
    <n v="1"/>
    <n v="58.78"/>
    <n v="0.05"/>
    <s v="Credit Card"/>
    <n v="3"/>
    <s v="Yes"/>
    <x v="2"/>
    <s v="Calgary North"/>
    <s v="Credit Card"/>
    <s v="C0085"/>
    <s v="Yasmine Clark"/>
    <s v="Calgary"/>
    <s v="Consumer"/>
    <s v="Kettlebell"/>
    <x v="2"/>
    <n v="25.97"/>
    <n v="58.78"/>
    <n v="2.9390000000000001"/>
    <n v="55.841000000000001"/>
    <n v="25.97"/>
    <n v="29.871000000000002"/>
    <n v="0.53492953206425387"/>
    <n v="1"/>
    <n v="2025"/>
    <n v="11"/>
    <s v="novembre"/>
    <s v="Q4"/>
    <d v="2025-11-01T00:00:00"/>
    <x v="0"/>
  </r>
  <r>
    <s v="ORD-2025-00077"/>
    <d v="2025-01-14T00:00:00"/>
    <s v="C0037"/>
    <s v="P1033"/>
    <s v="Lucas Scott, Victoria, Small Business"/>
    <s v="Montreal Central"/>
    <s v="L. Chen"/>
    <s v="Online"/>
    <n v="2"/>
    <n v="297"/>
    <n v="0.05"/>
    <s v="PayPal"/>
    <n v="3"/>
    <s v="No"/>
    <x v="2"/>
    <s v="Montreal Central"/>
    <s v="PayPal"/>
    <s v="C0037"/>
    <s v="Lucas Scott"/>
    <s v="Victoria"/>
    <s v="Small Business"/>
    <s v="Backpack"/>
    <x v="4"/>
    <n v="152.55000000000001"/>
    <n v="594"/>
    <n v="29.700000000000003"/>
    <n v="564.29999999999995"/>
    <n v="305.10000000000002"/>
    <n v="259.19999999999993"/>
    <n v="0.45933014354066976"/>
    <n v="0"/>
    <n v="2025"/>
    <n v="1"/>
    <s v="janvier"/>
    <s v="Q1"/>
    <d v="2025-01-01T00:00:00"/>
    <x v="3"/>
  </r>
  <r>
    <s v="ORD-2025-00078"/>
    <d v="2025-09-29T00:00:00"/>
    <s v="C0047"/>
    <s v="P1006"/>
    <s v="Amine King, Victoria, Consumer"/>
    <s v="Montreal Central"/>
    <s v="M. Wilson"/>
    <s v="Retail  Store"/>
    <n v="2"/>
    <n v="101.43"/>
    <n v="0.15"/>
    <s v="Debit Card"/>
    <n v="4"/>
    <s v="No"/>
    <x v="0"/>
    <s v="Montreal Central"/>
    <s v="Debit Card"/>
    <s v="C0047"/>
    <s v="Amine King"/>
    <s v="Victoria"/>
    <s v="Consumer"/>
    <s v="USB-C Hub"/>
    <x v="0"/>
    <n v="72"/>
    <n v="202.86"/>
    <n v="30.429000000000002"/>
    <n v="172.43100000000001"/>
    <n v="144"/>
    <n v="28.431000000000012"/>
    <n v="0.16488334464220478"/>
    <n v="0"/>
    <n v="2025"/>
    <n v="9"/>
    <s v="septembre"/>
    <s v="Q3"/>
    <d v="2025-09-01T00:00:00"/>
    <x v="3"/>
  </r>
  <r>
    <s v="ORD-2025-00079"/>
    <d v="2025-12-10T00:00:00"/>
    <s v="C0003"/>
    <s v="P1014"/>
    <s v="Amelia Young, Ottawa, Corporate"/>
    <s v="Vancouver West"/>
    <s v="E. Roy"/>
    <s v="Online"/>
    <n v="1"/>
    <n v="235.55"/>
    <n v="0"/>
    <s v="Debit Card"/>
    <n v="5"/>
    <s v="No"/>
    <x v="2"/>
    <s v="Vancouver West"/>
    <s v="Debit Card"/>
    <s v="C0003"/>
    <s v="Amelia Young"/>
    <s v="Ottawa"/>
    <s v="Corporate"/>
    <s v="Document Shredder"/>
    <x v="1"/>
    <n v="117.65"/>
    <n v="235.55"/>
    <n v="0"/>
    <n v="235.55"/>
    <n v="117.65"/>
    <n v="117.9"/>
    <n v="0.50053067289322861"/>
    <n v="0"/>
    <n v="2025"/>
    <n v="12"/>
    <s v="décembre"/>
    <s v="Q4"/>
    <d v="2025-12-01T00:00:00"/>
    <x v="1"/>
  </r>
  <r>
    <s v="ORD-2025-00080"/>
    <d v="2025-01-28T00:00:00"/>
    <s v="C0014"/>
    <s v="P1007"/>
    <s v="Zoe Scott, Montreal, Small Business"/>
    <s v="Online Fulfillment"/>
    <s v="N. Brown"/>
    <s v="Online"/>
    <n v="2"/>
    <n v="341.19"/>
    <n v="0.1"/>
    <s v="Credit Card"/>
    <n v="1"/>
    <s v="No"/>
    <x v="2"/>
    <s v="Online Fulfillment"/>
    <s v="Credit Card"/>
    <s v="C0014"/>
    <s v="Zoe Scott"/>
    <s v="Montreal"/>
    <s v="Small Business"/>
    <s v="Monitor"/>
    <x v="0"/>
    <n v="224.47"/>
    <n v="682.38"/>
    <n v="68.238"/>
    <n v="614.14200000000005"/>
    <n v="448.94"/>
    <n v="165.20200000000006"/>
    <n v="0.26899642102315108"/>
    <n v="0"/>
    <n v="2025"/>
    <n v="1"/>
    <s v="janvier"/>
    <s v="Q1"/>
    <d v="2025-01-01T00:00:00"/>
    <x v="4"/>
  </r>
  <r>
    <s v="ORD-2025-00081"/>
    <d v="2025-07-29T00:00:00"/>
    <s v="C0114"/>
    <s v="P1036"/>
    <s v="Olivia Johnson, Ottawa, Consumer"/>
    <s v="Calgary North"/>
    <s v="J. Tremblay"/>
    <s v="Retail Store"/>
    <n v="1"/>
    <n v="160.72"/>
    <n v="0.2"/>
    <s v="Debit Card"/>
    <n v="4"/>
    <s v="No"/>
    <x v="0"/>
    <s v="Calgary North"/>
    <s v="Debit Card"/>
    <s v="C0114"/>
    <s v="Olivia Johnson"/>
    <s v="Ottawa"/>
    <s v="Consumer"/>
    <s v="Power Bank"/>
    <x v="4"/>
    <n v="76.97"/>
    <n v="160.72"/>
    <n v="32.143999999999998"/>
    <n v="128.57599999999999"/>
    <n v="76.97"/>
    <n v="51.605999999999995"/>
    <n v="0.40136572921851665"/>
    <n v="0"/>
    <n v="2025"/>
    <n v="7"/>
    <s v="juillet"/>
    <s v="Q3"/>
    <d v="2025-07-01T00:00:00"/>
    <x v="1"/>
  </r>
  <r>
    <s v="ORD-2025-00082"/>
    <d v="2025-03-21T00:00:00"/>
    <s v="C0003"/>
    <s v="P1030"/>
    <s v="Amelia Young, Ottawa, Corporate"/>
    <s v="Calgary North"/>
    <s v="L. Chen"/>
    <s v="Retail Store"/>
    <n v="5"/>
    <n v="248.14"/>
    <n v="0.05"/>
    <s v="Credit Card"/>
    <n v="3"/>
    <s v="No"/>
    <x v="0"/>
    <s v="Calgary North"/>
    <s v="Credit Card"/>
    <s v="C0003"/>
    <s v="Amelia Young"/>
    <s v="Ottawa"/>
    <s v="Corporate"/>
    <s v="Pull-up Bar"/>
    <x v="2"/>
    <n v="125.4"/>
    <n v="1240.6999999999998"/>
    <n v="62.034999999999997"/>
    <n v="1178.6649999999997"/>
    <n v="627"/>
    <n v="551.66499999999974"/>
    <n v="0.46804223422261615"/>
    <n v="0"/>
    <n v="2025"/>
    <n v="3"/>
    <s v="mars"/>
    <s v="Q1"/>
    <d v="2025-03-01T00:00:00"/>
    <x v="1"/>
  </r>
  <r>
    <s v="ORD-2025-00083"/>
    <d v="2025-07-25T00:00:00"/>
    <s v="C0061"/>
    <s v="P1010"/>
    <s v="Zoe Hall, Vancouver, Consumer"/>
    <s v="Montreal Central"/>
    <s v="N. Brown"/>
    <s v="Retail Store"/>
    <n v="1"/>
    <n v="203.94"/>
    <n v="0"/>
    <s v="Debit Card"/>
    <n v="2"/>
    <s v="No"/>
    <x v="0"/>
    <s v="Montreal Central"/>
    <s v="Debit Card"/>
    <s v="C0061"/>
    <s v="Zoe Hall"/>
    <s v="Vancouver"/>
    <s v="Consumer"/>
    <s v="Desk Lamp"/>
    <x v="1"/>
    <n v="127.21"/>
    <n v="203.94"/>
    <n v="0"/>
    <n v="203.94"/>
    <n v="127.21"/>
    <n v="76.73"/>
    <n v="0.37623810924781803"/>
    <n v="0"/>
    <n v="2025"/>
    <n v="7"/>
    <s v="juillet"/>
    <s v="Q3"/>
    <d v="2025-07-01T00:00:00"/>
    <x v="3"/>
  </r>
  <r>
    <s v="ORD-2025-00084"/>
    <d v="2025-03-11T00:00:00"/>
    <s v="C0088"/>
    <s v="P1023"/>
    <s v="Olivia Bennett, Vancouver, Small Business"/>
    <s v="Montreal Central"/>
    <s v="E. Roy"/>
    <s v="Retail Store"/>
    <n v="1"/>
    <n v="342.73"/>
    <n v="0"/>
    <s v="PayPal"/>
    <n v="0"/>
    <s v="No"/>
    <x v="0"/>
    <s v="Montreal Central"/>
    <s v="PayPal"/>
    <s v="C0088"/>
    <s v="Olivia Bennett"/>
    <s v="Vancouver"/>
    <s v="Small Business"/>
    <s v="Toaster"/>
    <x v="3"/>
    <n v="152.88"/>
    <n v="342.73"/>
    <n v="0"/>
    <n v="342.73"/>
    <n v="152.88"/>
    <n v="189.85000000000002"/>
    <n v="0.55393458407492779"/>
    <n v="0"/>
    <n v="2025"/>
    <n v="3"/>
    <s v="mars"/>
    <s v="Q1"/>
    <d v="2025-03-01T00:00:00"/>
    <x v="3"/>
  </r>
  <r>
    <s v="ORD-2025-00085"/>
    <d v="2025-03-27T00:00:00"/>
    <s v="C0118"/>
    <s v="P1029"/>
    <s v="Ryan Smith, Victoria, Small Business"/>
    <s v="Montreal Central"/>
    <s v="S. Patel"/>
    <s v="Online"/>
    <n v="1"/>
    <n v="189.68"/>
    <n v="0.05"/>
    <s v="Credit Card"/>
    <n v="9"/>
    <s v="No"/>
    <x v="2"/>
    <s v="Montreal Central"/>
    <s v="Credit Card"/>
    <s v="C0118"/>
    <s v="Ryan Smith"/>
    <s v="Victoria"/>
    <s v="Small Business"/>
    <s v="Jump Rope"/>
    <x v="2"/>
    <n v="101"/>
    <n v="189.68"/>
    <n v="9.484"/>
    <n v="180.196"/>
    <n v="101"/>
    <n v="79.195999999999998"/>
    <n v="0.43949921196918912"/>
    <n v="0"/>
    <n v="2025"/>
    <n v="3"/>
    <s v="mars"/>
    <s v="Q1"/>
    <d v="2025-03-01T00:00:00"/>
    <x v="3"/>
  </r>
  <r>
    <s v="ORD-2025-00086"/>
    <d v="2025-01-20T00:00:00"/>
    <s v="C0114"/>
    <s v="P1031"/>
    <s v="Olivia Johnson, Ottawa, Consumer"/>
    <s v="Vancouver West"/>
    <s v="A. Morgan"/>
    <s v="Retail Store"/>
    <n v="2"/>
    <n v="259.93"/>
    <n v="0.05"/>
    <s v="Credit  Card"/>
    <n v="0"/>
    <s v="No"/>
    <x v="0"/>
    <s v="Vancouver West"/>
    <s v="Credit Card"/>
    <s v="C0114"/>
    <s v="Olivia Johnson"/>
    <s v="Ottawa"/>
    <s v="Consumer"/>
    <s v="Dumbbell Set"/>
    <x v="2"/>
    <n v="131.72999999999999"/>
    <n v="519.86"/>
    <n v="25.993000000000002"/>
    <n v="493.86700000000002"/>
    <n v="263.45999999999998"/>
    <n v="230.40700000000004"/>
    <n v="0.46653653716486426"/>
    <n v="0"/>
    <n v="2025"/>
    <n v="1"/>
    <s v="janvier"/>
    <s v="Q1"/>
    <d v="2025-01-01T00:00:00"/>
    <x v="1"/>
  </r>
  <r>
    <s v="ORD-2025-00087"/>
    <d v="2025-06-05T00:00:00"/>
    <s v="C0112"/>
    <s v="P1027"/>
    <s v="Ava Bennett, Halifax, Consumer"/>
    <s v="Online Fulfillment"/>
    <s v="A. Morgan"/>
    <s v="Online"/>
    <n v="2"/>
    <n v="60.07"/>
    <n v="0.15"/>
    <s v="Credit Card"/>
    <n v="8"/>
    <s v="Yes"/>
    <x v="2"/>
    <s v="Online Fulfillment"/>
    <s v="Credit Card"/>
    <s v="C0112"/>
    <s v="Ava Bennett"/>
    <s v="Halifax"/>
    <s v="Consumer"/>
    <s v="Kettlebell"/>
    <x v="2"/>
    <n v="25.97"/>
    <n v="120.14"/>
    <n v="18.021000000000001"/>
    <n v="102.119"/>
    <n v="51.94"/>
    <n v="50.179000000000002"/>
    <n v="0.49137770640135531"/>
    <n v="1"/>
    <n v="2025"/>
    <n v="6"/>
    <s v="juin"/>
    <s v="Q2"/>
    <d v="2025-06-01T00:00:00"/>
    <x v="2"/>
  </r>
  <r>
    <s v="ORD-2025-00088"/>
    <d v="2025-12-06T00:00:00"/>
    <s v="C0008"/>
    <s v="P1024"/>
    <s v="Mia Wilson, Calgary, Consumer"/>
    <s v="Toronto Downtown"/>
    <s v="R. Singh"/>
    <s v="Retail Store"/>
    <n v="1"/>
    <n v="105.21"/>
    <n v="0.15"/>
    <s v="Credit Card"/>
    <n v="3"/>
    <s v="No"/>
    <x v="0"/>
    <s v="Toronto Downtown"/>
    <s v="Credit Card"/>
    <s v="C0008"/>
    <s v="Mia Wilson"/>
    <s v="Calgary"/>
    <s v="Consumer"/>
    <s v="Food Scale"/>
    <x v="3"/>
    <n v="46.07"/>
    <n v="105.21"/>
    <n v="15.781499999999998"/>
    <n v="89.4285"/>
    <n v="46.07"/>
    <n v="43.358499999999999"/>
    <n v="0.48483984412128123"/>
    <n v="0"/>
    <n v="2025"/>
    <n v="12"/>
    <s v="décembre"/>
    <s v="Q4"/>
    <d v="2025-12-01T00:00:00"/>
    <x v="0"/>
  </r>
  <r>
    <s v="ORD-2025-00089"/>
    <d v="2025-11-18T00:00:00"/>
    <s v="C0044"/>
    <s v="P1020"/>
    <s v="Nora Young, Vancouver, Corporate"/>
    <s v="Online Fulfillment"/>
    <s v="A. Morgan"/>
    <s v="Online"/>
    <n v="2"/>
    <n v="64.459999999999994"/>
    <n v="0.05"/>
    <s v="Credit Card"/>
    <n v="6"/>
    <s v="No"/>
    <x v="2"/>
    <s v="Online Fulfillment"/>
    <s v="Credit Card"/>
    <s v="C0044"/>
    <s v="Nora Young"/>
    <s v="Vancouver"/>
    <s v="Corporate"/>
    <s v="Blender"/>
    <x v="3"/>
    <n v="37.46"/>
    <n v="128.91999999999999"/>
    <n v="6.4459999999999997"/>
    <n v="122.47399999999999"/>
    <n v="74.92"/>
    <n v="47.553999999999988"/>
    <n v="0.38827832846155097"/>
    <n v="0"/>
    <n v="2025"/>
    <n v="11"/>
    <s v="novembre"/>
    <s v="Q4"/>
    <d v="2025-11-01T00:00:00"/>
    <x v="3"/>
  </r>
  <r>
    <s v="ORD-2025-00090"/>
    <d v="2025-06-13T00:00:00"/>
    <s v="C0025"/>
    <s v="P1039"/>
    <s v="Emma Gagnon, Surrey, Corporate"/>
    <s v="Calgary North"/>
    <s v="J. Tremblay"/>
    <s v="Online"/>
    <n v="1"/>
    <n v="349.84"/>
    <n v="0.15"/>
    <s v="Credit Card"/>
    <n v="9"/>
    <s v="No"/>
    <x v="2"/>
    <s v="Calgary North"/>
    <s v="Credit Card"/>
    <s v="C0025"/>
    <s v="Emma Gagnon"/>
    <s v="Surrey"/>
    <s v="Corporate"/>
    <s v="Travel Adapter"/>
    <x v="4"/>
    <n v="229.86"/>
    <n v="349.84"/>
    <n v="52.475999999999992"/>
    <n v="297.36399999999998"/>
    <n v="229.86"/>
    <n v="67.503999999999962"/>
    <n v="0.22700797675576051"/>
    <n v="0"/>
    <n v="2025"/>
    <n v="6"/>
    <s v="juin"/>
    <s v="Q2"/>
    <d v="2025-06-01T00:00:00"/>
    <x v="3"/>
  </r>
  <r>
    <s v="ORD-2025-00091"/>
    <d v="2025-07-29T00:00:00"/>
    <s v="C0117"/>
    <s v="P1015"/>
    <s v="Ethan Hall, Vancouver, Consumer"/>
    <s v="Toronto Downtown"/>
    <s v="L. Chen"/>
    <s v="Marketplace"/>
    <n v="1"/>
    <n v="379.66"/>
    <n v="0.1"/>
    <s v="Credit Card"/>
    <n v="7"/>
    <s v="No"/>
    <x v="1"/>
    <s v="Toronto Downtown"/>
    <s v="Credit Card"/>
    <s v="C0117"/>
    <s v="Ethan Hall"/>
    <s v="Vancouver"/>
    <s v="Consumer"/>
    <s v="Desk Organizer"/>
    <x v="1"/>
    <n v="235.76"/>
    <n v="379.66"/>
    <n v="37.966000000000001"/>
    <n v="341.69400000000002"/>
    <n v="235.76"/>
    <n v="105.93400000000003"/>
    <n v="0.31002592963294651"/>
    <n v="0"/>
    <n v="2025"/>
    <n v="7"/>
    <s v="juillet"/>
    <s v="Q3"/>
    <d v="2025-07-01T00:00:00"/>
    <x v="3"/>
  </r>
  <r>
    <s v="ORD-2025-00092"/>
    <d v="2025-06-22T00:00:00"/>
    <s v="C0077"/>
    <s v="P1006"/>
    <s v="Amine Taylor, Surrey, Small Business"/>
    <s v="Vancouver West"/>
    <s v="J. Tremblay"/>
    <s v="Online"/>
    <n v="1"/>
    <n v="101.43"/>
    <n v="0.15"/>
    <s v="PayPal"/>
    <n v="7"/>
    <s v="No"/>
    <x v="2"/>
    <s v="Vancouver West"/>
    <s v="PayPal"/>
    <s v="C0077"/>
    <s v="Amine Taylor"/>
    <s v="Surrey"/>
    <s v="Small Business"/>
    <s v="USB-C Hub"/>
    <x v="0"/>
    <n v="72"/>
    <n v="101.43"/>
    <n v="15.214500000000001"/>
    <n v="86.215500000000006"/>
    <n v="72"/>
    <n v="14.215500000000006"/>
    <n v="0.16488334464220478"/>
    <n v="0"/>
    <n v="2025"/>
    <n v="6"/>
    <s v="juin"/>
    <s v="Q2"/>
    <d v="2025-06-01T00:00:00"/>
    <x v="3"/>
  </r>
  <r>
    <s v="ORD-2025-00093"/>
    <d v="2025-09-17T00:00:00"/>
    <s v="C0049"/>
    <s v="P1038"/>
    <s v="Olivia Scott, Quebec City, Consumer"/>
    <s v="Vancouver West"/>
    <s v="N. Brown"/>
    <s v="Online"/>
    <n v="1"/>
    <n v="266.14999999999998"/>
    <n v="0.05"/>
    <s v="Credit Card"/>
    <n v="4"/>
    <s v="No"/>
    <x v="2"/>
    <s v="Vancouver West"/>
    <s v="Credit Card"/>
    <s v="C0049"/>
    <s v="Olivia Scott"/>
    <s v="Quebec City"/>
    <s v="Consumer"/>
    <s v="Water Bottle"/>
    <x v="4"/>
    <n v="119.16"/>
    <n v="266.14999999999998"/>
    <n v="13.307499999999999"/>
    <n v="252.84249999999997"/>
    <n v="119.16"/>
    <n v="133.68249999999998"/>
    <n v="0.52871847098490166"/>
    <n v="0"/>
    <n v="2025"/>
    <n v="9"/>
    <s v="septembre"/>
    <s v="Q3"/>
    <d v="2025-09-01T00:00:00"/>
    <x v="4"/>
  </r>
  <r>
    <s v="ORD-2025-00094"/>
    <d v="2025-03-04T00:00:00"/>
    <s v="C0035"/>
    <s v="P1034"/>
    <s v="Amelia Scott, Edmonton, Small Business"/>
    <s v="Online Fulfillment"/>
    <s v="R. Singh"/>
    <s v="Online"/>
    <n v="3"/>
    <n v="138.76"/>
    <n v="0.2"/>
    <s v="Debit Card"/>
    <n v="1"/>
    <s v="No"/>
    <x v="2"/>
    <s v="Online Fulfillment"/>
    <s v="Debit Card"/>
    <s v="C0035"/>
    <s v="Amelia Scott"/>
    <s v="Edmonton"/>
    <s v="Small Business"/>
    <s v="Laptop Sleeve"/>
    <x v="4"/>
    <n v="78.95"/>
    <n v="416.28"/>
    <n v="83.256"/>
    <n v="333.024"/>
    <n v="236.85000000000002"/>
    <n v="96.173999999999978"/>
    <n v="0.28878999711732484"/>
    <n v="0"/>
    <n v="2025"/>
    <n v="3"/>
    <s v="mars"/>
    <s v="Q1"/>
    <d v="2025-03-01T00:00:00"/>
    <x v="0"/>
  </r>
  <r>
    <s v="ORD-2025-00095"/>
    <d v="2025-08-25T00:00:00"/>
    <s v="C0071"/>
    <s v="P1001"/>
    <s v="Ethan Lee, Surrey, Consumer"/>
    <s v="Toronto Downtown"/>
    <s v="S. Patel"/>
    <s v="Retail Store"/>
    <n v="1"/>
    <n v="350.44"/>
    <n v="0"/>
    <s v="Credit Card"/>
    <n v="1"/>
    <s v="No"/>
    <x v="0"/>
    <s v="Toronto Downtown"/>
    <s v="Credit Card"/>
    <s v="C0071"/>
    <s v="Ethan Lee"/>
    <s v="Surrey"/>
    <s v="Consumer"/>
    <s v="Headphones"/>
    <x v="0"/>
    <n v="254.6"/>
    <n v="350.44"/>
    <n v="0"/>
    <n v="350.44"/>
    <n v="254.6"/>
    <n v="95.84"/>
    <n v="0.27348476201346877"/>
    <n v="0"/>
    <n v="2025"/>
    <n v="8"/>
    <s v="août"/>
    <s v="Q3"/>
    <d v="2025-08-01T00:00:00"/>
    <x v="3"/>
  </r>
  <r>
    <s v="ORD-2025-00096"/>
    <d v="2025-06-14T00:00:00"/>
    <s v="C0013"/>
    <s v="P1002"/>
    <s v="Amelia Martin, Quebec City, Small Business"/>
    <s v="Montreal Central"/>
    <s v="J. Tremblay"/>
    <s v="Online"/>
    <n v="2"/>
    <n v="37.19"/>
    <n v="0"/>
    <s v="PayPal"/>
    <n v="1"/>
    <s v="No"/>
    <x v="2"/>
    <s v="Montreal Central"/>
    <s v="PayPal"/>
    <s v="C0013"/>
    <s v="Amelia Martin"/>
    <s v="Quebec City"/>
    <s v="Small Business"/>
    <s v="Keyboard"/>
    <x v="0"/>
    <n v="23.5"/>
    <n v="74.38"/>
    <n v="0"/>
    <n v="74.38"/>
    <n v="47"/>
    <n v="27.379999999999995"/>
    <n v="0.36810970691045974"/>
    <n v="0"/>
    <n v="2025"/>
    <n v="6"/>
    <s v="juin"/>
    <s v="Q2"/>
    <d v="2025-06-01T00:00:00"/>
    <x v="4"/>
  </r>
  <r>
    <s v="ORD-2025-00097"/>
    <d v="2025-08-21T00:00:00"/>
    <s v="C0072"/>
    <s v="P1010"/>
    <s v="Ryan Bennett, Montreal, Corporate"/>
    <s v="Montreal Central"/>
    <s v="J. Tremblay"/>
    <s v="Online"/>
    <n v="1"/>
    <n v="225.35"/>
    <n v="0"/>
    <s v="Credit Card"/>
    <n v="2"/>
    <s v="No"/>
    <x v="2"/>
    <s v="Montreal Central"/>
    <s v="Credit Card"/>
    <s v="C0072"/>
    <s v="Ryan Bennett"/>
    <s v="Montreal"/>
    <s v="Corporate"/>
    <s v="Desk Lamp"/>
    <x v="1"/>
    <n v="127.21"/>
    <n v="225.35"/>
    <n v="0"/>
    <n v="225.35"/>
    <n v="127.21"/>
    <n v="98.14"/>
    <n v="0.43550033281562017"/>
    <n v="0"/>
    <n v="2025"/>
    <n v="8"/>
    <s v="août"/>
    <s v="Q3"/>
    <d v="2025-08-01T00:00:00"/>
    <x v="4"/>
  </r>
  <r>
    <s v="ORD-2025-00098"/>
    <d v="2025-09-14T00:00:00"/>
    <s v="C0005"/>
    <s v="P1004"/>
    <s v="Yasmine Taylor, Calgary, Consumer"/>
    <s v="Montreal Central"/>
    <s v="J. Tremblay"/>
    <s v="Online"/>
    <n v="2"/>
    <n v="285.22000000000003"/>
    <n v="0"/>
    <s v="Credit  Card"/>
    <n v="7"/>
    <s v="No"/>
    <x v="2"/>
    <s v="Montreal Central"/>
    <s v="Credit Card"/>
    <s v="C0005"/>
    <s v="Yasmine Taylor"/>
    <s v="Calgary"/>
    <s v="Consumer"/>
    <s v="Webcam"/>
    <x v="0"/>
    <n v="154.72999999999999"/>
    <n v="570.44000000000005"/>
    <n v="0"/>
    <n v="570.44000000000005"/>
    <n v="309.45999999999998"/>
    <n v="260.98000000000008"/>
    <n v="0.45750648622116269"/>
    <n v="0"/>
    <n v="2025"/>
    <n v="9"/>
    <s v="septembre"/>
    <s v="Q3"/>
    <d v="2025-09-01T00:00:00"/>
    <x v="0"/>
  </r>
  <r>
    <s v="ORD-2025-00099"/>
    <d v="2025-03-04T00:00:00"/>
    <s v="C0005"/>
    <s v="P1024"/>
    <s v="Yasmine Taylor, Calgary, Consumer"/>
    <s v="Toronto Downtown"/>
    <s v="L. Chen"/>
    <s v="Retail Store"/>
    <n v="1"/>
    <n v="107.22"/>
    <n v="0.1"/>
    <s v="Credit Card"/>
    <n v="4"/>
    <s v="No"/>
    <x v="0"/>
    <s v="Toronto Downtown"/>
    <s v="Credit Card"/>
    <s v="C0005"/>
    <s v="Yasmine Taylor"/>
    <s v="Calgary"/>
    <s v="Consumer"/>
    <s v="Food Scale"/>
    <x v="3"/>
    <n v="46.07"/>
    <n v="107.22"/>
    <n v="10.722000000000001"/>
    <n v="96.49799999999999"/>
    <n v="46.07"/>
    <n v="50.42799999999999"/>
    <n v="0.5225807788762461"/>
    <n v="0"/>
    <n v="2025"/>
    <n v="3"/>
    <s v="mars"/>
    <s v="Q1"/>
    <d v="2025-03-01T00:00:00"/>
    <x v="0"/>
  </r>
  <r>
    <s v="ORD-2025-00100"/>
    <d v="2025-12-13T00:00:00"/>
    <s v="C0002"/>
    <s v="P1029"/>
    <s v="Ryan Johnson, Montreal, Small Business"/>
    <s v="Calgary North"/>
    <s v="S. Patel"/>
    <s v="Marketplace"/>
    <n v="1"/>
    <n v="210.86"/>
    <n v="0.15"/>
    <s v="Gift Card"/>
    <n v="9"/>
    <s v="No"/>
    <x v="1"/>
    <s v="Calgary North"/>
    <s v="Gift Card"/>
    <s v="C0002"/>
    <s v="Ryan Johnson"/>
    <s v="Montreal"/>
    <s v="Small Business"/>
    <s v="Jump Rope"/>
    <x v="2"/>
    <n v="101"/>
    <n v="210.86"/>
    <n v="31.629000000000001"/>
    <n v="179.23100000000002"/>
    <n v="101"/>
    <n v="78.231000000000023"/>
    <n v="0.43648141225569242"/>
    <n v="0"/>
    <n v="2025"/>
    <n v="12"/>
    <s v="décembre"/>
    <s v="Q4"/>
    <d v="2025-12-01T00:00:00"/>
    <x v="4"/>
  </r>
  <r>
    <s v="ORD-2025-00101"/>
    <d v="2025-05-12T00:00:00"/>
    <s v="C0104"/>
    <s v="P1021"/>
    <s v="Ava Scott, Edmonton, Corporate"/>
    <s v="Online Fulfillment"/>
    <s v="R. Singh"/>
    <s v="Online"/>
    <n v="1"/>
    <n v="300.5"/>
    <n v="0.05"/>
    <s v="Credit Card"/>
    <n v="8"/>
    <s v="No"/>
    <x v="2"/>
    <s v="Online Fulfillment"/>
    <s v="Credit Card"/>
    <s v="C0104"/>
    <s v="Ava Scott"/>
    <s v="Edmonton"/>
    <s v="Corporate"/>
    <s v="Kettle"/>
    <x v="3"/>
    <n v="139.86000000000001"/>
    <n v="300.5"/>
    <n v="15.025"/>
    <n v="285.47500000000002"/>
    <n v="139.86000000000001"/>
    <n v="145.61500000000001"/>
    <n v="0.51007969174183376"/>
    <n v="0"/>
    <n v="2025"/>
    <n v="5"/>
    <s v="mai"/>
    <s v="Q2"/>
    <d v="2025-05-01T00:00:00"/>
    <x v="0"/>
  </r>
  <r>
    <s v="ORD-2025-00102"/>
    <d v="2025-06-29T00:00:00"/>
    <s v="C0009"/>
    <s v="P1020"/>
    <s v="Ethan Tremblay , Mississauga , Corporate"/>
    <s v="Toronto Downtown"/>
    <s v="L. Chen"/>
    <s v="Online"/>
    <n v="3"/>
    <n v="63.14"/>
    <n v="0"/>
    <s v="PayPal"/>
    <n v="9"/>
    <s v="No"/>
    <x v="2"/>
    <s v="Toronto Downtown"/>
    <s v="PayPal"/>
    <s v="C0009"/>
    <s v="Ethan Tremblay"/>
    <s v="Mississauga"/>
    <s v="Corporate"/>
    <s v="Blender"/>
    <x v="3"/>
    <n v="37.46"/>
    <n v="189.42000000000002"/>
    <n v="0"/>
    <n v="189.42000000000002"/>
    <n v="112.38"/>
    <n v="77.04000000000002"/>
    <n v="0.40671523598352877"/>
    <n v="0"/>
    <n v="2025"/>
    <n v="6"/>
    <s v="juin"/>
    <s v="Q2"/>
    <d v="2025-06-01T00:00:00"/>
    <x v="1"/>
  </r>
  <r>
    <s v="ORD-2025-00103"/>
    <d v="2025-07-05T00:00:00"/>
    <s v="C0103"/>
    <s v="P1010"/>
    <s v="Zoe Singh, Saskatoon, Corporate"/>
    <s v="Online Fulfillment"/>
    <s v="R. Singh"/>
    <s v="Online"/>
    <n v="1"/>
    <n v="212.87"/>
    <n v="0.05"/>
    <s v="PayPal"/>
    <n v="6"/>
    <s v="No"/>
    <x v="2"/>
    <s v="Online Fulfillment"/>
    <s v="PayPal"/>
    <s v="C0103"/>
    <s v="Zoe Singh"/>
    <s v="Saskatoon"/>
    <s v="Corporate"/>
    <s v="Desk Lamp"/>
    <x v="1"/>
    <n v="127.21"/>
    <n v="212.87"/>
    <n v="10.643500000000001"/>
    <n v="202.22650000000002"/>
    <n v="127.21"/>
    <n v="75.016500000000022"/>
    <n v="0.37095286720583115"/>
    <n v="0"/>
    <n v="2025"/>
    <n v="7"/>
    <s v="juillet"/>
    <s v="Q3"/>
    <d v="2025-07-01T00:00:00"/>
    <x v="5"/>
  </r>
  <r>
    <s v="ORD-2025-00104"/>
    <d v="2025-06-08T00:00:00"/>
    <s v="C0065"/>
    <s v="P1018"/>
    <s v="Mia Wilson , Quebec City , Consumer"/>
    <s v="Toronto Downtown"/>
    <s v="L. Chen"/>
    <s v="Online"/>
    <n v="2"/>
    <n v="29.54"/>
    <n v="0"/>
    <s v="PayPal"/>
    <n v="5"/>
    <s v="No"/>
    <x v="2"/>
    <s v="Toronto Downtown"/>
    <s v="PayPal"/>
    <s v="C0065"/>
    <s v="Mia Wilson"/>
    <s v="Quebec City"/>
    <s v="Consumer"/>
    <s v="Air Fryer"/>
    <x v="3"/>
    <n v="14.58"/>
    <n v="59.08"/>
    <n v="0"/>
    <n v="59.08"/>
    <n v="29.16"/>
    <n v="29.919999999999998"/>
    <n v="0.50643195666892349"/>
    <n v="0"/>
    <n v="2025"/>
    <n v="6"/>
    <s v="juin"/>
    <s v="Q2"/>
    <d v="2025-06-01T00:00:00"/>
    <x v="4"/>
  </r>
  <r>
    <s v="ORD-2025-00105"/>
    <d v="2025-11-15T00:00:00"/>
    <s v="C0007"/>
    <s v="P1009"/>
    <s v="Lucas Wilson, Ottawa, Consumer"/>
    <s v="Calgary North"/>
    <s v="R. Singh"/>
    <s v="Retail Store"/>
    <n v="1"/>
    <n v="286.02999999999997"/>
    <n v="0.1"/>
    <s v="PayPal"/>
    <n v="2"/>
    <s v="No"/>
    <x v="0"/>
    <s v="Calgary North"/>
    <s v="PayPal"/>
    <s v="C0007"/>
    <s v="Lucas Wilson"/>
    <s v="Ottawa"/>
    <s v="Consumer"/>
    <s v="Notebook"/>
    <x v="1"/>
    <n v="176.13"/>
    <n v="286.02999999999997"/>
    <n v="28.602999999999998"/>
    <n v="257.42699999999996"/>
    <n v="176.13"/>
    <n v="81.296999999999969"/>
    <n v="0.315806034332063"/>
    <n v="0"/>
    <n v="2025"/>
    <n v="11"/>
    <s v="novembre"/>
    <s v="Q4"/>
    <d v="2025-11-01T00:00:00"/>
    <x v="1"/>
  </r>
  <r>
    <s v="ORD-2025-00106"/>
    <d v="2025-04-14T00:00:00"/>
    <s v="C0058"/>
    <s v="P1033"/>
    <s v="Mia Singh, Laval, Consumer"/>
    <s v="Montreal Central"/>
    <s v="N. Brown"/>
    <s v="Retail Store"/>
    <n v="1"/>
    <n v="312.99"/>
    <n v="0"/>
    <s v="Credit Card"/>
    <n v="4"/>
    <s v="No"/>
    <x v="0"/>
    <s v="Montreal Central"/>
    <s v="Credit Card"/>
    <s v="C0058"/>
    <s v="Mia Singh"/>
    <s v="Laval"/>
    <s v="Consumer"/>
    <s v="Backpack"/>
    <x v="4"/>
    <n v="152.55000000000001"/>
    <n v="312.99"/>
    <n v="0"/>
    <n v="312.99"/>
    <n v="152.55000000000001"/>
    <n v="160.44"/>
    <n v="0.51260423655707843"/>
    <n v="0"/>
    <n v="2025"/>
    <n v="4"/>
    <s v="avril"/>
    <s v="Q2"/>
    <d v="2025-04-01T00:00:00"/>
    <x v="4"/>
  </r>
  <r>
    <s v="ORD-2025-00107"/>
    <d v="2025-11-10T00:00:00"/>
    <s v="C0090"/>
    <s v="P1012"/>
    <s v="Nora Young, Montreal, Small Business"/>
    <s v="Toronto Downtown"/>
    <s v="N. Brown"/>
    <s v="Retail Store"/>
    <n v="1"/>
    <n v="79.47"/>
    <n v="0"/>
    <s v="Credit Card"/>
    <n v="1"/>
    <s v="No"/>
    <x v="0"/>
    <s v="Toronto Downtown"/>
    <s v="Credit Card"/>
    <s v="C0090"/>
    <s v="Nora Young"/>
    <s v="Montreal"/>
    <s v="Small Business"/>
    <s v="Standing Desk"/>
    <x v="1"/>
    <n v="45.17"/>
    <n v="79.47"/>
    <n v="0"/>
    <n v="79.47"/>
    <n v="45.17"/>
    <n v="34.299999999999997"/>
    <n v="0.43160941235686417"/>
    <n v="0"/>
    <n v="2025"/>
    <n v="11"/>
    <s v="novembre"/>
    <s v="Q4"/>
    <d v="2025-11-01T00:00:00"/>
    <x v="4"/>
  </r>
  <r>
    <s v="ORD-2025-00108"/>
    <d v="2025-07-08T00:00:00"/>
    <s v="C0010"/>
    <s v="P1001"/>
    <s v="Ethan Martin, Victoria, Corporate"/>
    <s v="Vancouver West"/>
    <s v="M. Wilson"/>
    <s v="Online"/>
    <n v="2"/>
    <n v="379.92"/>
    <n v="0.15"/>
    <s v="CC"/>
    <n v="6"/>
    <s v="No"/>
    <x v="2"/>
    <s v="Vancouver West"/>
    <s v="Credit Card"/>
    <s v="C0010"/>
    <s v="Ethan Martin"/>
    <s v="Victoria"/>
    <s v="Corporate"/>
    <s v="Headphones"/>
    <x v="0"/>
    <n v="254.6"/>
    <n v="759.84"/>
    <n v="113.976"/>
    <n v="645.86400000000003"/>
    <n v="509.2"/>
    <n v="136.66400000000004"/>
    <n v="0.21159872666691446"/>
    <n v="0"/>
    <n v="2025"/>
    <n v="7"/>
    <s v="juillet"/>
    <s v="Q3"/>
    <d v="2025-07-01T00:00:00"/>
    <x v="3"/>
  </r>
  <r>
    <s v="ORD-2025-00109"/>
    <d v="2025-10-01T00:00:00"/>
    <s v="C0080"/>
    <s v="P1014"/>
    <s v="Sarah Smith, Mississauga, Corporate"/>
    <s v="Calgary North"/>
    <s v="J. Tremblay"/>
    <s v="Online"/>
    <n v="1"/>
    <n v="243.7"/>
    <n v="0"/>
    <s v="Debit Card"/>
    <n v="2"/>
    <s v="No"/>
    <x v="2"/>
    <s v="Calgary North"/>
    <s v="Debit Card"/>
    <s v="C0080"/>
    <s v="Sarah Smith"/>
    <s v="Mississauga"/>
    <s v="Corporate"/>
    <s v="Document Shredder"/>
    <x v="1"/>
    <n v="117.65"/>
    <n v="243.7"/>
    <n v="0"/>
    <n v="243.7"/>
    <n v="117.65"/>
    <n v="126.04999999999998"/>
    <n v="0.51723430447271235"/>
    <n v="0"/>
    <n v="2025"/>
    <n v="10"/>
    <s v="octobre"/>
    <s v="Q4"/>
    <d v="2025-10-01T00:00:00"/>
    <x v="1"/>
  </r>
  <r>
    <s v="ORD-2025-00110"/>
    <d v="2025-06-06T00:00:00"/>
    <s v="C0038"/>
    <s v="P1018"/>
    <s v="Noah Brown, Montreal, Consumer"/>
    <s v="Online Fulfillment"/>
    <s v="A. Morgan"/>
    <s v="Retail Store"/>
    <n v="1"/>
    <n v="29.65"/>
    <n v="0.05"/>
    <s v="CC"/>
    <n v="4"/>
    <s v="No"/>
    <x v="0"/>
    <s v="Online Fulfillment"/>
    <s v="Credit Card"/>
    <s v="C0038"/>
    <s v="Noah Brown"/>
    <s v="Montreal"/>
    <s v="Consumer"/>
    <s v="Air Fryer"/>
    <x v="3"/>
    <n v="14.58"/>
    <n v="29.65"/>
    <n v="1.4824999999999999"/>
    <n v="28.167499999999997"/>
    <n v="14.58"/>
    <n v="13.587499999999997"/>
    <n v="0.48238217804206968"/>
    <n v="0"/>
    <n v="2025"/>
    <n v="6"/>
    <s v="juin"/>
    <s v="Q2"/>
    <d v="2025-06-01T00:00:00"/>
    <x v="4"/>
  </r>
  <r>
    <s v="ORD-2025-00111"/>
    <d v="2025-07-12T00:00:00"/>
    <s v="C0044"/>
    <s v="P1029"/>
    <s v="Nora Young, Vancouver, Corporate"/>
    <s v="Toronto Downtown"/>
    <s v="L. Chen"/>
    <s v="Retail  Store"/>
    <n v="5"/>
    <n v="198.88"/>
    <n v="0.05"/>
    <s v="PayPal"/>
    <n v="3"/>
    <s v="No"/>
    <x v="0"/>
    <s v="Toronto Downtown"/>
    <s v="PayPal"/>
    <s v="C0044"/>
    <s v="Nora Young"/>
    <s v="Vancouver"/>
    <s v="Corporate"/>
    <s v="Jump Rope"/>
    <x v="2"/>
    <n v="101"/>
    <n v="994.4"/>
    <n v="49.72"/>
    <n v="944.68"/>
    <n v="505"/>
    <n v="439.67999999999995"/>
    <n v="0.46542744633103272"/>
    <n v="0"/>
    <n v="2025"/>
    <n v="7"/>
    <s v="juillet"/>
    <s v="Q3"/>
    <d v="2025-07-01T00:00:00"/>
    <x v="3"/>
  </r>
  <r>
    <s v="ORD-2025-00112"/>
    <d v="2025-02-20T00:00:00"/>
    <s v="C0093"/>
    <s v="P1014"/>
    <s v="Ethan Roy, Winnipeg, Consumer"/>
    <s v="Online Fulfillment"/>
    <s v="E. Roy"/>
    <s v="Marketplace"/>
    <n v="2"/>
    <n v="243.99"/>
    <n v="0.2"/>
    <s v="Gift Card"/>
    <n v="7"/>
    <s v="No"/>
    <x v="1"/>
    <s v="Online Fulfillment"/>
    <s v="Gift Card"/>
    <s v="C0093"/>
    <s v="Ethan Roy"/>
    <s v="Winnipeg"/>
    <s v="Consumer"/>
    <s v="Document Shredder"/>
    <x v="1"/>
    <n v="117.65"/>
    <n v="487.98"/>
    <n v="97.596000000000004"/>
    <n v="390.38400000000001"/>
    <n v="235.3"/>
    <n v="155.084"/>
    <n v="0.39726013361203327"/>
    <n v="0"/>
    <n v="2025"/>
    <n v="2"/>
    <s v="février"/>
    <s v="Q1"/>
    <d v="2025-02-01T00:00:00"/>
    <x v="6"/>
  </r>
  <r>
    <s v="ORD-2025-00113"/>
    <d v="2025-08-01T00:00:00"/>
    <s v="C0113"/>
    <s v="P1022"/>
    <s v="Olivia Johnson, Surrey, Consumer"/>
    <s v="Vancouver West"/>
    <s v="N. Brown"/>
    <s v="Online"/>
    <n v="1"/>
    <n v="438.44"/>
    <n v="0.1"/>
    <s v="Credit Card"/>
    <n v="4"/>
    <s v="No"/>
    <x v="2"/>
    <s v="Vancouver West"/>
    <s v="Credit Card"/>
    <s v="C0113"/>
    <s v="Olivia Johnson"/>
    <s v="Surrey"/>
    <s v="Consumer"/>
    <s v="Humidifier"/>
    <x v="3"/>
    <n v="239.67"/>
    <n v="438.44"/>
    <n v="43.844000000000001"/>
    <n v="394.596"/>
    <n v="239.67"/>
    <n v="154.92600000000002"/>
    <n v="0.39261928656144518"/>
    <n v="0"/>
    <n v="2025"/>
    <n v="8"/>
    <s v="août"/>
    <s v="Q3"/>
    <d v="2025-08-01T00:00:00"/>
    <x v="3"/>
  </r>
  <r>
    <s v="ORD-2025-00114"/>
    <d v="2025-02-14T00:00:00"/>
    <s v="C0052"/>
    <s v="P1022"/>
    <s v="Liam Bennett, Edmonton, Corporate"/>
    <s v="Calgary North"/>
    <s v="L. Chen"/>
    <s v="Retail Store"/>
    <n v="2"/>
    <n v="394.57"/>
    <n v="0.05"/>
    <s v="PayPal"/>
    <n v="0"/>
    <s v="No"/>
    <x v="0"/>
    <s v="Calgary North"/>
    <s v="PayPal"/>
    <s v="C0052"/>
    <s v="Liam Bennett"/>
    <s v="Edmonton"/>
    <s v="Corporate"/>
    <s v="Humidifier"/>
    <x v="3"/>
    <n v="239.67"/>
    <n v="789.14"/>
    <n v="39.457000000000001"/>
    <n v="749.68299999999999"/>
    <n v="479.34"/>
    <n v="270.34300000000002"/>
    <n v="0.36060975105477916"/>
    <n v="0"/>
    <n v="2025"/>
    <n v="2"/>
    <s v="février"/>
    <s v="Q1"/>
    <d v="2025-02-01T00:00:00"/>
    <x v="0"/>
  </r>
  <r>
    <s v="ORD-2025-00115"/>
    <d v="2025-12-02T00:00:00"/>
    <s v="C0079"/>
    <s v="P1028"/>
    <s v="Sophia Scott, Ottawa, Consumer"/>
    <s v="Calgary North"/>
    <s v="S. Patel"/>
    <s v="Online"/>
    <n v="5"/>
    <n v="373.91"/>
    <n v="0"/>
    <s v="Debit Card"/>
    <n v="4"/>
    <s v="No"/>
    <x v="2"/>
    <s v="Calgary North"/>
    <s v="Debit Card"/>
    <s v="C0079"/>
    <s v="Sophia Scott"/>
    <s v="Ottawa"/>
    <s v="Consumer"/>
    <s v="Foam Roller"/>
    <x v="2"/>
    <n v="212.02"/>
    <n v="1869.5500000000002"/>
    <n v="0"/>
    <n v="1869.5500000000002"/>
    <n v="1060.1000000000001"/>
    <n v="809.45"/>
    <n v="0.4329651520419352"/>
    <n v="0"/>
    <n v="2025"/>
    <n v="12"/>
    <s v="décembre"/>
    <s v="Q4"/>
    <d v="2025-12-01T00:00:00"/>
    <x v="1"/>
  </r>
  <r>
    <s v="ORD-2025-00116"/>
    <d v="2025-10-25T00:00:00"/>
    <s v="C0043"/>
    <s v="P1031"/>
    <s v="Ava Brown, Ottawa, Small Business"/>
    <s v="Montreal Central"/>
    <s v="A. Morgan"/>
    <s v="Online"/>
    <n v="4"/>
    <n v="256.85000000000002"/>
    <n v="0.1"/>
    <s v="Credit Card"/>
    <n v="1"/>
    <s v="No"/>
    <x v="2"/>
    <s v="Montreal Central"/>
    <s v="Credit Card"/>
    <s v="C0043"/>
    <s v="Ava Brown"/>
    <s v="Ottawa"/>
    <s v="Small Business"/>
    <s v="Dumbbell Set"/>
    <x v="2"/>
    <n v="131.72999999999999"/>
    <n v="1027.4000000000001"/>
    <n v="102.74000000000001"/>
    <n v="924.66000000000008"/>
    <n v="526.91999999999996"/>
    <n v="397.74000000000012"/>
    <n v="0.43014729738498486"/>
    <n v="0"/>
    <n v="2025"/>
    <n v="10"/>
    <s v="octobre"/>
    <s v="Q4"/>
    <d v="2025-10-01T00:00:00"/>
    <x v="1"/>
  </r>
  <r>
    <s v="ORD-2025-00117"/>
    <d v="2025-12-28T00:00:00"/>
    <s v="C0008"/>
    <s v="P1018"/>
    <s v="Mia Wilson, Calgary, Consumer"/>
    <s v="Online Fulfillment"/>
    <s v="R. Singh"/>
    <s v="Retail Store"/>
    <n v="1"/>
    <n v="29.65"/>
    <n v="0.15"/>
    <s v="Gift Card"/>
    <n v="3"/>
    <s v="No"/>
    <x v="0"/>
    <s v="Online Fulfillment"/>
    <s v="Gift Card"/>
    <s v="C0008"/>
    <s v="Mia Wilson"/>
    <s v="Calgary"/>
    <s v="Consumer"/>
    <s v="Air Fryer"/>
    <x v="3"/>
    <n v="14.58"/>
    <n v="29.65"/>
    <n v="4.4474999999999998"/>
    <n v="25.202500000000001"/>
    <n v="14.58"/>
    <n v="10.6225"/>
    <n v="0.42148596369407798"/>
    <n v="0"/>
    <n v="2025"/>
    <n v="12"/>
    <s v="décembre"/>
    <s v="Q4"/>
    <d v="2025-12-01T00:00:00"/>
    <x v="0"/>
  </r>
  <r>
    <s v="ORD-2025-00118"/>
    <d v="2025-01-14T00:00:00"/>
    <s v="C0108"/>
    <s v="P1039"/>
    <s v="Noah Lee, Surrey, Consumer"/>
    <s v="Vancouver West"/>
    <s v="A. Morgan"/>
    <s v="Retail Store"/>
    <n v="1"/>
    <n v="343.13"/>
    <n v="0.05"/>
    <s v="PayPal"/>
    <n v="2"/>
    <s v="No"/>
    <x v="0"/>
    <s v="Vancouver West"/>
    <s v="PayPal"/>
    <s v="C0108"/>
    <s v="Noah Lee"/>
    <s v="Surrey"/>
    <s v="Consumer"/>
    <s v="Travel Adapter"/>
    <x v="4"/>
    <n v="229.86"/>
    <n v="343.13"/>
    <n v="17.156500000000001"/>
    <n v="325.9735"/>
    <n v="229.86"/>
    <n v="96.113499999999988"/>
    <n v="0.29485065503790947"/>
    <n v="0"/>
    <n v="2025"/>
    <n v="1"/>
    <s v="janvier"/>
    <s v="Q1"/>
    <d v="2025-01-01T00:00:00"/>
    <x v="3"/>
  </r>
  <r>
    <s v="ORD-2025-00119"/>
    <d v="2025-03-22T00:00:00"/>
    <s v="C0007"/>
    <s v="P1003"/>
    <s v="Lucas Wilson , Ottawa , Consumer"/>
    <s v="Vancouver West"/>
    <s v="E. Roy"/>
    <s v="Marketplace"/>
    <n v="1"/>
    <n v="159.52000000000001"/>
    <n v="0"/>
    <s v="Debit Card"/>
    <n v="6"/>
    <s v="No"/>
    <x v="1"/>
    <s v="Vancouver West"/>
    <s v="Debit Card"/>
    <s v="C0007"/>
    <s v="Lucas Wilson"/>
    <s v="Ottawa"/>
    <s v="Consumer"/>
    <s v="Mouse"/>
    <x v="0"/>
    <n v="106.4"/>
    <n v="159.52000000000001"/>
    <n v="0"/>
    <n v="159.52000000000001"/>
    <n v="106.4"/>
    <n v="53.120000000000005"/>
    <n v="0.33299899699097291"/>
    <n v="0"/>
    <n v="2025"/>
    <n v="3"/>
    <s v="mars"/>
    <s v="Q1"/>
    <d v="2025-03-01T00:00:00"/>
    <x v="1"/>
  </r>
  <r>
    <s v="ORD-2025-00120"/>
    <d v="2025-07-19T00:00:00"/>
    <s v="C0062"/>
    <s v="P1012"/>
    <s v="Yasmine Scott, Toronto, Consumer"/>
    <s v="Online Fulfillment"/>
    <s v="N. Brown"/>
    <s v="Online"/>
    <n v="2"/>
    <n v="83.33"/>
    <n v="0.15"/>
    <s v="Debit Card"/>
    <n v="2"/>
    <s v="No"/>
    <x v="2"/>
    <s v="Online Fulfillment"/>
    <s v="Debit Card"/>
    <s v="C0062"/>
    <s v="Yasmine Scott"/>
    <s v="Toronto"/>
    <s v="Consumer"/>
    <s v="Standing Desk"/>
    <x v="1"/>
    <n v="45.17"/>
    <n v="166.66"/>
    <n v="24.998999999999999"/>
    <n v="141.661"/>
    <n v="90.34"/>
    <n v="51.320999999999998"/>
    <n v="0.3622803735678839"/>
    <n v="0"/>
    <n v="2025"/>
    <n v="7"/>
    <s v="juillet"/>
    <s v="Q3"/>
    <d v="2025-07-01T00:00:00"/>
    <x v="1"/>
  </r>
  <r>
    <s v="ORD-2025-00121"/>
    <d v="2025-12-30T00:00:00"/>
    <s v="C0056"/>
    <s v="P1032"/>
    <s v="Sarah Wilson, Halifax, Consumer"/>
    <s v="Vancouver West"/>
    <s v="L. Chen"/>
    <s v="Marketplace"/>
    <n v="1"/>
    <n v="193.21"/>
    <n v="0"/>
    <s v="PayPal"/>
    <n v="5"/>
    <s v="No"/>
    <x v="1"/>
    <s v="Vancouver West"/>
    <s v="PayPal"/>
    <s v="C0056"/>
    <s v="Sarah Wilson"/>
    <s v="Halifax"/>
    <s v="Consumer"/>
    <s v="Gym Bag"/>
    <x v="2"/>
    <n v="132.72"/>
    <n v="193.21"/>
    <n v="0"/>
    <n v="193.21"/>
    <n v="132.72"/>
    <n v="60.490000000000009"/>
    <n v="0.31307903317633667"/>
    <n v="0"/>
    <n v="2025"/>
    <n v="12"/>
    <s v="décembre"/>
    <s v="Q4"/>
    <d v="2025-12-01T00:00:00"/>
    <x v="2"/>
  </r>
  <r>
    <s v="ORD-2025-00122"/>
    <d v="2025-04-27T00:00:00"/>
    <s v="C0061"/>
    <s v="P1031"/>
    <s v="Zoe Hall, Vancouver, Consumer"/>
    <s v="Online Fulfillment"/>
    <s v="R. Singh"/>
    <s v="Online"/>
    <n v="1"/>
    <n v="265.20999999999998"/>
    <n v="0"/>
    <s v="Gift Card"/>
    <n v="8"/>
    <s v="No"/>
    <x v="2"/>
    <s v="Online Fulfillment"/>
    <s v="Gift Card"/>
    <s v="C0061"/>
    <s v="Zoe Hall"/>
    <s v="Vancouver"/>
    <s v="Consumer"/>
    <s v="Dumbbell Set"/>
    <x v="2"/>
    <n v="131.72999999999999"/>
    <n v="265.20999999999998"/>
    <n v="0"/>
    <n v="265.20999999999998"/>
    <n v="131.72999999999999"/>
    <n v="133.47999999999999"/>
    <n v="0.50329927227480109"/>
    <n v="0"/>
    <n v="2025"/>
    <n v="4"/>
    <s v="avril"/>
    <s v="Q2"/>
    <d v="2025-04-01T00:00:00"/>
    <x v="3"/>
  </r>
  <r>
    <s v="ORD-2025-00124"/>
    <d v="2025-02-15T00:00:00"/>
    <s v="C0033"/>
    <s v="P1007"/>
    <s v="Maya Hall, Winnipeg, Consumer"/>
    <s v="Calgary North"/>
    <s v="N. Brown"/>
    <s v="Online"/>
    <n v="2"/>
    <n v="351.81"/>
    <n v="0"/>
    <s v="Gift Card"/>
    <n v="2"/>
    <s v="No"/>
    <x v="2"/>
    <s v="Calgary North"/>
    <s v="Gift Card"/>
    <s v="C0033"/>
    <s v="Maya Hall"/>
    <s v="Winnipeg"/>
    <s v="Consumer"/>
    <s v="Monitor"/>
    <x v="0"/>
    <n v="224.47"/>
    <n v="703.62"/>
    <n v="0"/>
    <n v="703.62"/>
    <n v="448.94"/>
    <n v="254.68"/>
    <n v="0.36195673801199513"/>
    <n v="0"/>
    <n v="2025"/>
    <n v="2"/>
    <s v="février"/>
    <s v="Q1"/>
    <d v="2025-02-01T00:00:00"/>
    <x v="6"/>
  </r>
  <r>
    <s v="ORD-2025-00125"/>
    <d v="2025-09-30T00:00:00"/>
    <s v="C0028"/>
    <s v="P1036"/>
    <s v="Mia Clark, Victoria, Consumer"/>
    <s v="Calgary North"/>
    <s v="R. Singh"/>
    <s v="Online"/>
    <n v="5"/>
    <n v="150.93"/>
    <n v="0"/>
    <s v="Debit Card"/>
    <n v="5"/>
    <s v="No"/>
    <x v="2"/>
    <s v="Calgary North"/>
    <s v="Debit Card"/>
    <s v="C0028"/>
    <s v="Mia Clark"/>
    <s v="Victoria"/>
    <s v="Consumer"/>
    <s v="Power Bank"/>
    <x v="4"/>
    <n v="76.97"/>
    <n v="754.65000000000009"/>
    <n v="0"/>
    <n v="754.65000000000009"/>
    <n v="384.85"/>
    <n v="369.80000000000007"/>
    <n v="0.49002849002849008"/>
    <n v="0"/>
    <n v="2025"/>
    <n v="9"/>
    <s v="septembre"/>
    <s v="Q3"/>
    <d v="2025-09-01T00:00:00"/>
    <x v="3"/>
  </r>
  <r>
    <s v="ORD-2025-00126"/>
    <d v="2025-01-21T00:00:00"/>
    <s v="C0035"/>
    <s v="P1024"/>
    <s v="Amelia Scott, Edmonton, Small Business"/>
    <s v="Online Fulfillment"/>
    <s v="S. Patel"/>
    <s v="Online"/>
    <n v="1"/>
    <n v="106.24"/>
    <n v="0"/>
    <s v="Credit Card"/>
    <n v="9"/>
    <s v="No"/>
    <x v="2"/>
    <s v="Online Fulfillment"/>
    <s v="Credit Card"/>
    <s v="C0035"/>
    <s v="Amelia Scott"/>
    <s v="Edmonton"/>
    <s v="Small Business"/>
    <s v="Food Scale"/>
    <x v="3"/>
    <n v="46.07"/>
    <n v="106.24"/>
    <n v="0"/>
    <n v="106.24"/>
    <n v="46.07"/>
    <n v="60.169999999999995"/>
    <n v="0.56635918674698793"/>
    <n v="0"/>
    <n v="2025"/>
    <n v="1"/>
    <s v="janvier"/>
    <s v="Q1"/>
    <d v="2025-01-01T00:00:00"/>
    <x v="0"/>
  </r>
  <r>
    <s v="ORD-2025-00127"/>
    <d v="2025-02-09T00:00:00"/>
    <s v="C0073"/>
    <s v="P1007"/>
    <s v="Olivia Singh, Mississauga, Consumer"/>
    <s v="Montreal Central"/>
    <s v="S. Patel"/>
    <s v="Retail Store"/>
    <n v="1"/>
    <n v="362.88"/>
    <n v="0.15"/>
    <s v="Credit Card"/>
    <n v="2"/>
    <s v="No"/>
    <x v="0"/>
    <s v="Montreal Central"/>
    <s v="Credit Card"/>
    <s v="C0073"/>
    <s v="Olivia Singh"/>
    <s v="Mississauga"/>
    <s v="Consumer"/>
    <s v="Monitor"/>
    <x v="0"/>
    <n v="224.47"/>
    <n v="362.88"/>
    <n v="54.431999999999995"/>
    <n v="308.44799999999998"/>
    <n v="224.47"/>
    <n v="83.97799999999998"/>
    <n v="0.27225982985786901"/>
    <n v="0"/>
    <n v="2025"/>
    <n v="2"/>
    <s v="février"/>
    <s v="Q1"/>
    <d v="2025-02-01T00:00:00"/>
    <x v="1"/>
  </r>
  <r>
    <s v="ORD-2025-00128"/>
    <d v="2025-11-14T00:00:00"/>
    <s v="C0106"/>
    <s v="P1003"/>
    <s v="Liam Gagnon, Ottawa, Small Business"/>
    <s v="Vancouver West"/>
    <s v="N. Brown"/>
    <s v="Retail Store"/>
    <n v="1"/>
    <n v="154.51"/>
    <n v="0.1"/>
    <s v="Credit Card"/>
    <n v="4"/>
    <s v="No"/>
    <x v="0"/>
    <s v="Vancouver West"/>
    <s v="Credit Card"/>
    <s v="C0106"/>
    <s v="Liam Gagnon"/>
    <s v="Ottawa"/>
    <s v="Small Business"/>
    <s v="Mouse"/>
    <x v="0"/>
    <n v="106.4"/>
    <n v="154.51"/>
    <n v="15.451000000000001"/>
    <n v="139.059"/>
    <n v="106.4"/>
    <n v="32.658999999999992"/>
    <n v="0.23485714696639551"/>
    <n v="0"/>
    <n v="2025"/>
    <n v="11"/>
    <s v="novembre"/>
    <s v="Q4"/>
    <d v="2025-11-01T00:00:00"/>
    <x v="1"/>
  </r>
  <r>
    <s v="ORD-2025-00129"/>
    <d v="2025-08-20T00:00:00"/>
    <s v="C0013"/>
    <s v="P1007"/>
    <s v="Amelia Martin, Quebec City, Small Business"/>
    <s v="Vancouver West"/>
    <s v="A. Morgan"/>
    <s v="Marketplace"/>
    <n v="1"/>
    <n v="339.47"/>
    <n v="0"/>
    <s v="Credit Card"/>
    <n v="7"/>
    <s v="No"/>
    <x v="1"/>
    <s v="Vancouver West"/>
    <s v="Credit Card"/>
    <s v="C0013"/>
    <s v="Amelia Martin"/>
    <s v="Quebec City"/>
    <s v="Small Business"/>
    <s v="Monitor"/>
    <x v="0"/>
    <n v="224.47"/>
    <n v="339.47"/>
    <n v="0"/>
    <n v="339.47"/>
    <n v="224.47"/>
    <n v="115.00000000000003"/>
    <n v="0.3387633664241318"/>
    <n v="0"/>
    <n v="2025"/>
    <n v="8"/>
    <s v="août"/>
    <s v="Q3"/>
    <d v="2025-08-01T00:00:00"/>
    <x v="4"/>
  </r>
  <r>
    <s v="ORD-2025-00130"/>
    <d v="2025-02-14T00:00:00"/>
    <s v="C0071"/>
    <s v="P1037"/>
    <s v="Ethan Lee, Surrey, Consumer"/>
    <s v="Calgary North"/>
    <s v="M. Wilson"/>
    <s v="Online"/>
    <n v="3"/>
    <n v="372.12"/>
    <n v="0.05"/>
    <s v="Debit Card"/>
    <n v="2"/>
    <s v="No"/>
    <x v="2"/>
    <s v="Calgary North"/>
    <s v="Debit Card"/>
    <s v="C0071"/>
    <s v="Ethan Lee"/>
    <s v="Surrey"/>
    <s v="Consumer"/>
    <s v="Cable Set"/>
    <x v="4"/>
    <n v="200.16"/>
    <n v="1116.3600000000001"/>
    <n v="55.818000000000012"/>
    <n v="1060.5420000000001"/>
    <n v="600.48"/>
    <n v="460.06200000000013"/>
    <n v="0.43379894431337945"/>
    <n v="0"/>
    <n v="2025"/>
    <n v="2"/>
    <s v="février"/>
    <s v="Q1"/>
    <d v="2025-02-01T00:00:00"/>
    <x v="3"/>
  </r>
  <r>
    <s v="ORD-2025-00131"/>
    <d v="2025-11-23T00:00:00"/>
    <s v="C0038"/>
    <s v="P1032"/>
    <s v="Noah Brown, Montreal, Consumer"/>
    <s v="Toronto Downtown"/>
    <s v="A. Morgan"/>
    <s v="Online"/>
    <n v="4"/>
    <n v="204.19"/>
    <n v="0.1"/>
    <s v="PayPal"/>
    <n v="6"/>
    <s v="No"/>
    <x v="2"/>
    <s v="Toronto Downtown"/>
    <s v="PayPal"/>
    <s v="C0038"/>
    <s v="Noah Brown"/>
    <s v="Montreal"/>
    <s v="Consumer"/>
    <s v="Gym Bag"/>
    <x v="2"/>
    <n v="132.72"/>
    <n v="816.76"/>
    <n v="81.676000000000002"/>
    <n v="735.08399999999995"/>
    <n v="530.88"/>
    <n v="204.20399999999995"/>
    <n v="0.27779682322020338"/>
    <n v="0"/>
    <n v="2025"/>
    <n v="11"/>
    <s v="novembre"/>
    <s v="Q4"/>
    <d v="2025-11-01T00:00:00"/>
    <x v="4"/>
  </r>
  <r>
    <s v="ORD-2025-00132"/>
    <d v="2025-04-20T00:00:00"/>
    <s v="C0074"/>
    <s v="P1023"/>
    <s v="Sophia Chen , Vancouver , Corporate"/>
    <s v="Montreal Central"/>
    <s v="N. Brown"/>
    <s v="Retail Store"/>
    <n v="1"/>
    <n v="333.66"/>
    <n v="0.05"/>
    <s v="Credit Card"/>
    <n v="1"/>
    <s v="No"/>
    <x v="0"/>
    <s v="Montreal Central"/>
    <s v="Credit Card"/>
    <s v="C0074"/>
    <s v="Sophia Chen"/>
    <s v="Vancouver"/>
    <s v="Corporate"/>
    <s v="Toaster"/>
    <x v="3"/>
    <n v="152.88"/>
    <n v="333.66"/>
    <n v="16.683000000000003"/>
    <n v="316.97700000000003"/>
    <n v="152.88"/>
    <n v="164.09700000000004"/>
    <n v="0.51769371279304188"/>
    <n v="0"/>
    <n v="2025"/>
    <n v="4"/>
    <s v="avril"/>
    <s v="Q2"/>
    <d v="2025-04-01T00:00:00"/>
    <x v="3"/>
  </r>
  <r>
    <s v="ORD-2025-00133"/>
    <d v="2025-11-02T00:00:00"/>
    <s v="C0044"/>
    <s v="P1022"/>
    <s v="Nora Young, Vancouver, Corporate"/>
    <s v="Calgary North"/>
    <s v="M. Wilson"/>
    <s v="Retail Store"/>
    <n v="1"/>
    <n v="433.79"/>
    <n v="0.05"/>
    <s v="Credit Card"/>
    <n v="3"/>
    <s v="No"/>
    <x v="0"/>
    <s v="Calgary North"/>
    <s v="Credit Card"/>
    <s v="C0044"/>
    <s v="Nora Young"/>
    <s v="Vancouver"/>
    <s v="Corporate"/>
    <s v="Humidifier"/>
    <x v="3"/>
    <n v="239.67"/>
    <n v="433.79"/>
    <n v="21.689500000000002"/>
    <n v="412.10050000000001"/>
    <n v="239.67"/>
    <n v="172.43050000000002"/>
    <n v="0.41841856537422306"/>
    <n v="0"/>
    <n v="2025"/>
    <n v="11"/>
    <s v="novembre"/>
    <s v="Q4"/>
    <d v="2025-11-01T00:00:00"/>
    <x v="3"/>
  </r>
  <r>
    <s v="ORD-2025-00134"/>
    <d v="2025-11-20T00:00:00"/>
    <s v="C0063"/>
    <s v="P1018"/>
    <s v="Adam Singh, Laval, Small Business"/>
    <s v="Vancouver West"/>
    <s v="L. Chen"/>
    <s v="Online"/>
    <n v="3"/>
    <n v="31.68"/>
    <n v="0.05"/>
    <s v="Credit Card"/>
    <n v="4"/>
    <s v="No"/>
    <x v="2"/>
    <s v="Vancouver West"/>
    <s v="Credit Card"/>
    <s v="C0063"/>
    <s v="Adam Singh"/>
    <s v="Laval"/>
    <s v="Small Business"/>
    <s v="Air Fryer"/>
    <x v="3"/>
    <n v="14.58"/>
    <n v="95.039999999999992"/>
    <n v="4.7519999999999998"/>
    <n v="90.287999999999997"/>
    <n v="43.74"/>
    <n v="46.547999999999995"/>
    <n v="0.51555023923444976"/>
    <n v="0"/>
    <n v="2025"/>
    <n v="11"/>
    <s v="novembre"/>
    <s v="Q4"/>
    <d v="2025-11-01T00:00:00"/>
    <x v="4"/>
  </r>
  <r>
    <s v="ORD-2025-00135"/>
    <d v="2025-01-23T00:00:00"/>
    <s v="C0070"/>
    <s v="P1034"/>
    <s v="Sophia Young, Halifax, Corporate"/>
    <s v="Calgary North"/>
    <s v="A. Morgan"/>
    <s v="Retail Store"/>
    <n v="1"/>
    <n v="143.79"/>
    <n v="0.05"/>
    <s v="Debit Card"/>
    <n v="3"/>
    <s v="No"/>
    <x v="0"/>
    <s v="Calgary North"/>
    <s v="Debit Card"/>
    <s v="C0070"/>
    <s v="Sophia Young"/>
    <s v="Halifax"/>
    <s v="Corporate"/>
    <s v="Laptop Sleeve"/>
    <x v="4"/>
    <n v="78.95"/>
    <n v="143.79"/>
    <n v="7.1894999999999998"/>
    <n v="136.60049999999998"/>
    <n v="78.95"/>
    <n v="57.65049999999998"/>
    <n v="0.42203725462205471"/>
    <n v="0"/>
    <n v="2025"/>
    <n v="1"/>
    <s v="janvier"/>
    <s v="Q1"/>
    <d v="2025-01-01T00:00:00"/>
    <x v="2"/>
  </r>
  <r>
    <s v="ORD-2025-00136"/>
    <d v="2025-04-30T00:00:00"/>
    <s v="C0014"/>
    <s v="P1034"/>
    <s v="Zoe Scott, Montreal, Small Business"/>
    <s v="Calgary North"/>
    <s v="E. Roy"/>
    <s v="Retail Store"/>
    <n v="1"/>
    <n v="149.97"/>
    <n v="0.1"/>
    <s v="Credit Card"/>
    <n v="0"/>
    <s v="No"/>
    <x v="0"/>
    <s v="Calgary North"/>
    <s v="Credit Card"/>
    <s v="C0014"/>
    <s v="Zoe Scott"/>
    <s v="Montreal"/>
    <s v="Small Business"/>
    <s v="Laptop Sleeve"/>
    <x v="4"/>
    <n v="78.95"/>
    <n v="149.97"/>
    <n v="14.997"/>
    <n v="134.97300000000001"/>
    <n v="78.95"/>
    <n v="56.02300000000001"/>
    <n v="0.41506819882495022"/>
    <n v="0"/>
    <n v="2025"/>
    <n v="4"/>
    <s v="avril"/>
    <s v="Q2"/>
    <d v="2025-04-01T00:00:00"/>
    <x v="4"/>
  </r>
  <r>
    <s v="ORD-2025-00137"/>
    <d v="2025-03-27T00:00:00"/>
    <s v="C0054"/>
    <s v="P1003"/>
    <s v="Maya Hall, Surrey, Small Business"/>
    <s v="Calgary North"/>
    <s v="R. Singh"/>
    <s v="Online"/>
    <n v="4"/>
    <n v="156.56"/>
    <n v="0.2"/>
    <s v="Credit Card"/>
    <n v="9"/>
    <s v="No"/>
    <x v="2"/>
    <s v="Calgary North"/>
    <s v="Credit Card"/>
    <s v="C0054"/>
    <s v="Maya Hall"/>
    <s v="Surrey"/>
    <s v="Small Business"/>
    <s v="Mouse"/>
    <x v="0"/>
    <n v="106.4"/>
    <n v="626.24"/>
    <n v="125.248"/>
    <n v="500.99200000000002"/>
    <n v="425.6"/>
    <n v="75.391999999999996"/>
    <n v="0.15048543689320387"/>
    <n v="0"/>
    <n v="2025"/>
    <n v="3"/>
    <s v="mars"/>
    <s v="Q1"/>
    <d v="2025-03-01T00:00:00"/>
    <x v="3"/>
  </r>
  <r>
    <s v="ORD-2025-00138"/>
    <d v="2025-05-06T00:00:00"/>
    <s v="C0065"/>
    <s v="P1004"/>
    <s v="Mia Wilson, Quebec City, Consumer"/>
    <s v="Montreal Central"/>
    <s v="N. Brown"/>
    <s v="Marketplace"/>
    <n v="3"/>
    <n v="287.23"/>
    <n v="0.05"/>
    <s v="PayPal"/>
    <n v="8"/>
    <s v="No"/>
    <x v="1"/>
    <s v="Montreal Central"/>
    <s v="PayPal"/>
    <s v="C0065"/>
    <s v="Mia Wilson"/>
    <s v="Quebec City"/>
    <s v="Consumer"/>
    <s v="Webcam"/>
    <x v="0"/>
    <n v="154.72999999999999"/>
    <n v="861.69"/>
    <n v="43.084500000000006"/>
    <n v="818.60550000000001"/>
    <n v="464.18999999999994"/>
    <n v="354.41550000000007"/>
    <n v="0.43295030390096334"/>
    <n v="0"/>
    <n v="2025"/>
    <n v="5"/>
    <s v="mai"/>
    <s v="Q2"/>
    <d v="2025-05-01T00:00:00"/>
    <x v="4"/>
  </r>
  <r>
    <s v="ORD-2025-00139"/>
    <d v="2025-07-18T00:00:00"/>
    <s v="C0025"/>
    <s v="P1025"/>
    <s v="Emma Gagnon, Surrey, Corporate"/>
    <s v="Montreal Central"/>
    <s v="M. Wilson"/>
    <s v="Online"/>
    <n v="4"/>
    <n v="299.45"/>
    <n v="0"/>
    <s v="Credit  Card"/>
    <n v="4"/>
    <s v="No"/>
    <x v="2"/>
    <s v="Montreal Central"/>
    <s v="Credit Card"/>
    <s v="C0025"/>
    <s v="Emma Gagnon"/>
    <s v="Surrey"/>
    <s v="Corporate"/>
    <s v="Yoga Mat"/>
    <x v="2"/>
    <n v="197.33"/>
    <n v="1197.8"/>
    <n v="0"/>
    <n v="1197.8"/>
    <n v="789.32"/>
    <n v="408.4799999999999"/>
    <n v="0.3410252128902988"/>
    <n v="0"/>
    <n v="2025"/>
    <n v="7"/>
    <s v="juillet"/>
    <s v="Q3"/>
    <d v="2025-07-01T00:00:00"/>
    <x v="3"/>
  </r>
  <r>
    <s v="ORD-2025-00140"/>
    <d v="2025-01-04T00:00:00"/>
    <s v="C0007"/>
    <s v="P1036"/>
    <s v="Lucas Wilson, Ottawa, Consumer"/>
    <s v="Online Fulfillment"/>
    <s v="R. Singh"/>
    <s v="Online"/>
    <n v="2"/>
    <n v="158.65"/>
    <n v="0"/>
    <s v="Debit Card"/>
    <n v="9"/>
    <s v="No"/>
    <x v="2"/>
    <s v="Online Fulfillment"/>
    <s v="Debit Card"/>
    <s v="C0007"/>
    <s v="Lucas Wilson"/>
    <s v="Ottawa"/>
    <s v="Consumer"/>
    <s v="Power Bank"/>
    <x v="4"/>
    <n v="76.97"/>
    <n v="317.3"/>
    <n v="0"/>
    <n v="317.3"/>
    <n v="153.94"/>
    <n v="163.36000000000001"/>
    <n v="0.51484399621809018"/>
    <n v="0"/>
    <n v="2025"/>
    <n v="1"/>
    <s v="janvier"/>
    <s v="Q1"/>
    <d v="2025-01-01T00:00:00"/>
    <x v="1"/>
  </r>
  <r>
    <s v="ORD-2025-00141"/>
    <d v="2025-11-20T00:00:00"/>
    <s v="C0080"/>
    <s v="P1034"/>
    <s v="Sarah Smith, Mississauga, Corporate"/>
    <s v="Online Fulfillment"/>
    <s v="J. Tremblay"/>
    <s v="Online"/>
    <n v="1"/>
    <n v="150.18"/>
    <n v="0"/>
    <s v="Debit Card"/>
    <n v="8"/>
    <s v="No"/>
    <x v="2"/>
    <s v="Online Fulfillment"/>
    <s v="Debit Card"/>
    <s v="C0080"/>
    <s v="Sarah Smith"/>
    <s v="Mississauga"/>
    <s v="Corporate"/>
    <s v="Laptop Sleeve"/>
    <x v="4"/>
    <n v="78.95"/>
    <n v="150.18"/>
    <n v="0"/>
    <n v="150.18"/>
    <n v="78.95"/>
    <n v="71.23"/>
    <n v="0.47429750965508055"/>
    <n v="0"/>
    <n v="2025"/>
    <n v="11"/>
    <s v="novembre"/>
    <s v="Q4"/>
    <d v="2025-11-01T00:00:00"/>
    <x v="1"/>
  </r>
  <r>
    <s v="ORD-2025-00142"/>
    <d v="2025-07-14T00:00:00"/>
    <s v="C0030"/>
    <s v="P1007"/>
    <s v="Emma Lee, Calgary, Corporate"/>
    <s v="Online Fulfillment"/>
    <s v="L. Chen"/>
    <s v="Online"/>
    <n v="2"/>
    <n v="335.37"/>
    <n v="0"/>
    <s v="PayPal"/>
    <n v="2"/>
    <s v="No"/>
    <x v="2"/>
    <s v="Online Fulfillment"/>
    <s v="PayPal"/>
    <s v="C0030"/>
    <s v="Emma Lee"/>
    <s v="Calgary"/>
    <s v="Corporate"/>
    <s v="Monitor"/>
    <x v="0"/>
    <n v="224.47"/>
    <n v="670.74"/>
    <n v="0"/>
    <n v="670.74"/>
    <n v="448.94"/>
    <n v="221.8"/>
    <n v="0.33067954796195248"/>
    <n v="0"/>
    <n v="2025"/>
    <n v="7"/>
    <s v="juillet"/>
    <s v="Q3"/>
    <d v="2025-07-01T00:00:00"/>
    <x v="0"/>
  </r>
  <r>
    <s v="ORD-2025-00143"/>
    <d v="2025-12-30T00:00:00"/>
    <s v="C0096"/>
    <s v="P1036"/>
    <s v="Ryan Roy, Laval, Corporate"/>
    <s v="Montreal Central"/>
    <s v="J. Tremblay"/>
    <s v="Online"/>
    <n v="2"/>
    <n v="157.43"/>
    <n v="0"/>
    <s v="PayPal"/>
    <n v="4"/>
    <s v="No"/>
    <x v="2"/>
    <s v="Montreal Central"/>
    <s v="PayPal"/>
    <s v="C0096"/>
    <s v="Ryan Roy"/>
    <s v="Laval"/>
    <s v="Corporate"/>
    <s v="Power Bank"/>
    <x v="4"/>
    <n v="76.97"/>
    <n v="314.86"/>
    <n v="0"/>
    <n v="314.86"/>
    <n v="153.94"/>
    <n v="160.92000000000002"/>
    <n v="0.51108429143111223"/>
    <n v="0"/>
    <n v="2025"/>
    <n v="12"/>
    <s v="décembre"/>
    <s v="Q4"/>
    <d v="2025-12-01T00:00:00"/>
    <x v="4"/>
  </r>
  <r>
    <s v="ORD-2025-00144"/>
    <d v="2025-02-26T00:00:00"/>
    <s v="C0119"/>
    <s v="P1035"/>
    <s v="Liam Chen, Winnipeg, Consumer"/>
    <s v="Calgary North"/>
    <s v="S. Patel"/>
    <s v="Online"/>
    <n v="1"/>
    <n v="90.42"/>
    <n v="0.05"/>
    <s v="Credit Card"/>
    <n v="1"/>
    <s v="No"/>
    <x v="2"/>
    <s v="Calgary North"/>
    <s v="Credit Card"/>
    <s v="C0119"/>
    <s v="Liam Chen"/>
    <s v="Winnipeg"/>
    <s v="Consumer"/>
    <s v="Phone Stand"/>
    <x v="4"/>
    <n v="59.85"/>
    <n v="90.42"/>
    <n v="4.5209999999999999"/>
    <n v="85.899000000000001"/>
    <n v="59.85"/>
    <n v="26.048999999999999"/>
    <n v="0.30325149303251492"/>
    <n v="0"/>
    <n v="2025"/>
    <n v="2"/>
    <s v="février"/>
    <s v="Q1"/>
    <d v="2025-02-01T00:00:00"/>
    <x v="6"/>
  </r>
  <r>
    <s v="ORD-2025-00145"/>
    <d v="2025-06-16T00:00:00"/>
    <s v="C0018"/>
    <s v="P1031"/>
    <s v="Sophia Tremblay, Laval, Small Business"/>
    <s v="Montreal Central"/>
    <s v="L. Chen"/>
    <s v="Online"/>
    <n v="1"/>
    <n v="237.95"/>
    <n v="0.1"/>
    <s v="Credit Card"/>
    <n v="4"/>
    <s v="No"/>
    <x v="2"/>
    <s v="Montreal Central"/>
    <s v="Credit Card"/>
    <s v="C0018"/>
    <s v="Sophia Tremblay"/>
    <s v="Laval"/>
    <s v="Small Business"/>
    <s v="Dumbbell Set"/>
    <x v="2"/>
    <n v="131.72999999999999"/>
    <n v="237.95"/>
    <n v="23.795000000000002"/>
    <n v="214.15499999999997"/>
    <n v="131.72999999999999"/>
    <n v="82.424999999999983"/>
    <n v="0.38488477971562651"/>
    <n v="0"/>
    <n v="2025"/>
    <n v="6"/>
    <s v="juin"/>
    <s v="Q2"/>
    <d v="2025-06-01T00:00:00"/>
    <x v="4"/>
  </r>
  <r>
    <s v="ORD-2025-00146"/>
    <d v="2025-11-07T00:00:00"/>
    <s v="C0015"/>
    <s v="P1037"/>
    <s v="Zoe Singh, Halifax, Consumer"/>
    <s v="Toronto Downtown"/>
    <s v="R. Singh"/>
    <s v="Retail Store"/>
    <n v="1"/>
    <n v="353.49"/>
    <n v="0.1"/>
    <s v="Debit Card"/>
    <n v="2"/>
    <s v="No"/>
    <x v="0"/>
    <s v="Toronto Downtown"/>
    <s v="Debit Card"/>
    <s v="C0015"/>
    <s v="Zoe Singh"/>
    <s v="Halifax"/>
    <s v="Consumer"/>
    <s v="Cable Set"/>
    <x v="4"/>
    <n v="200.16"/>
    <n v="353.49"/>
    <n v="35.349000000000004"/>
    <n v="318.14100000000002"/>
    <n v="200.16"/>
    <n v="117.98100000000002"/>
    <n v="0.37084500268748766"/>
    <n v="0"/>
    <n v="2025"/>
    <n v="11"/>
    <s v="novembre"/>
    <s v="Q4"/>
    <d v="2025-11-01T00:00:00"/>
    <x v="2"/>
  </r>
  <r>
    <s v="ORD-2025-00147"/>
    <d v="2025-10-05T00:00:00"/>
    <s v="C0093"/>
    <s v="P1005"/>
    <s v="Ethan Roy, Winnipeg, Consumer"/>
    <s v="Toronto Downtown"/>
    <s v="E. Roy"/>
    <s v="Retail Store"/>
    <n v="1"/>
    <n v="226.32"/>
    <n v="0.05"/>
    <s v="Credit Card"/>
    <n v="4"/>
    <s v="No"/>
    <x v="0"/>
    <s v="Toronto Downtown"/>
    <s v="Credit Card"/>
    <s v="C0093"/>
    <s v="Ethan Roy"/>
    <s v="Winnipeg"/>
    <s v="Consumer"/>
    <s v="Portable SSD"/>
    <x v="0"/>
    <n v="131.19"/>
    <n v="226.32"/>
    <n v="11.316000000000001"/>
    <n v="215.00399999999999"/>
    <n v="131.19"/>
    <n v="83.813999999999993"/>
    <n v="0.38982530557571021"/>
    <n v="0"/>
    <n v="2025"/>
    <n v="10"/>
    <s v="octobre"/>
    <s v="Q4"/>
    <d v="2025-10-01T00:00:00"/>
    <x v="6"/>
  </r>
  <r>
    <s v="ORD-2025-00148"/>
    <d v="2025-08-14T00:00:00"/>
    <s v="C0055"/>
    <s v="P1003"/>
    <s v="Sarah Scott, Surrey, Consumer"/>
    <s v="Montreal Central"/>
    <s v="M. Wilson"/>
    <s v="Online"/>
    <n v="1"/>
    <n v="157.91999999999999"/>
    <n v="0"/>
    <s v="Debit Card"/>
    <n v="1"/>
    <s v="No"/>
    <x v="2"/>
    <s v="Montreal Central"/>
    <s v="Debit Card"/>
    <s v="C0055"/>
    <s v="Sarah Scott"/>
    <s v="Surrey"/>
    <s v="Consumer"/>
    <s v="Mouse"/>
    <x v="0"/>
    <n v="106.4"/>
    <n v="157.91999999999999"/>
    <n v="0"/>
    <n v="157.91999999999999"/>
    <n v="106.4"/>
    <n v="51.519999999999982"/>
    <n v="0.32624113475177297"/>
    <n v="0"/>
    <n v="2025"/>
    <n v="8"/>
    <s v="août"/>
    <s v="Q3"/>
    <d v="2025-08-01T00:00:00"/>
    <x v="3"/>
  </r>
  <r>
    <s v="ORD-2025-00149"/>
    <d v="2025-09-09T00:00:00"/>
    <s v="C0013"/>
    <s v="P1032"/>
    <s v="Amelia Martin, Quebec City, Small Business"/>
    <s v="Calgary North"/>
    <s v="L. Chen"/>
    <s v="market place"/>
    <n v="1"/>
    <n v="204.49"/>
    <n v="0.1"/>
    <s v="Credit Card"/>
    <n v="6"/>
    <s v="No"/>
    <x v="1"/>
    <s v="Calgary North"/>
    <s v="Credit Card"/>
    <s v="C0013"/>
    <s v="Amelia Martin"/>
    <s v="Quebec City"/>
    <s v="Small Business"/>
    <s v="Gym Bag"/>
    <x v="2"/>
    <n v="132.72"/>
    <n v="204.49"/>
    <n v="20.449000000000002"/>
    <n v="184.041"/>
    <n v="132.72"/>
    <n v="51.320999999999998"/>
    <n v="0.27885634179340474"/>
    <n v="0"/>
    <n v="2025"/>
    <n v="9"/>
    <s v="septembre"/>
    <s v="Q3"/>
    <d v="2025-09-01T00:00:00"/>
    <x v="4"/>
  </r>
  <r>
    <s v="ORD-2025-00150"/>
    <d v="2025-11-24T00:00:00"/>
    <s v="C0053"/>
    <s v="P1025"/>
    <s v="Ryan Lee, Laval, Consumer"/>
    <s v="Montreal Central"/>
    <s v="M. Wilson"/>
    <s v="Retail Store"/>
    <n v="1"/>
    <n v="299.81"/>
    <n v="0.2"/>
    <s v="Credit Card"/>
    <n v="4"/>
    <s v="No"/>
    <x v="0"/>
    <s v="Montreal Central"/>
    <s v="Credit Card"/>
    <s v="C0053"/>
    <s v="Ryan Lee"/>
    <s v="Laval"/>
    <s v="Consumer"/>
    <s v="Yoga Mat"/>
    <x v="2"/>
    <n v="197.33"/>
    <n v="299.81"/>
    <n v="59.962000000000003"/>
    <n v="239.84800000000001"/>
    <n v="197.33"/>
    <n v="42.518000000000001"/>
    <n v="0.17727060471632033"/>
    <n v="0"/>
    <n v="2025"/>
    <n v="11"/>
    <s v="novembre"/>
    <s v="Q4"/>
    <d v="2025-11-01T00:00:00"/>
    <x v="4"/>
  </r>
  <r>
    <s v="ORD-2025-00151"/>
    <d v="2025-07-26T00:00:00"/>
    <s v="C0119"/>
    <s v="P1024"/>
    <s v="Liam Chen, Winnipeg, Consumer"/>
    <s v="Online Fulfillment"/>
    <s v="N. Brown"/>
    <s v="Online"/>
    <n v="1"/>
    <n v="99.03"/>
    <n v="0.15"/>
    <s v="Credit Card"/>
    <n v="6"/>
    <s v="No"/>
    <x v="2"/>
    <s v="Online Fulfillment"/>
    <s v="Credit Card"/>
    <s v="C0119"/>
    <s v="Liam Chen"/>
    <s v="Winnipeg"/>
    <s v="Consumer"/>
    <s v="Food Scale"/>
    <x v="3"/>
    <n v="46.07"/>
    <n v="99.03"/>
    <n v="14.8545"/>
    <n v="84.1755"/>
    <n v="46.07"/>
    <n v="38.105499999999999"/>
    <n v="0.45269110370594767"/>
    <n v="0"/>
    <n v="2025"/>
    <n v="7"/>
    <s v="juillet"/>
    <s v="Q3"/>
    <d v="2025-07-01T00:00:00"/>
    <x v="6"/>
  </r>
  <r>
    <s v="ORD-2025-00152"/>
    <d v="2025-04-21T00:00:00"/>
    <s v="C0108"/>
    <s v="P1014"/>
    <s v="Noah Lee, Surrey, Consumer"/>
    <s v="Montreal Central"/>
    <s v="J. Tremblay"/>
    <s v="Online"/>
    <n v="2"/>
    <n v="233.12"/>
    <n v="0"/>
    <s v="PayPal"/>
    <n v="3"/>
    <s v="Yes"/>
    <x v="2"/>
    <s v="Montreal Central"/>
    <s v="PayPal"/>
    <s v="C0108"/>
    <s v="Noah Lee"/>
    <s v="Surrey"/>
    <s v="Consumer"/>
    <s v="Document Shredder"/>
    <x v="1"/>
    <n v="117.65"/>
    <n v="466.24"/>
    <n v="0"/>
    <n v="466.24"/>
    <n v="235.3"/>
    <n v="230.94"/>
    <n v="0.49532429649965681"/>
    <n v="1"/>
    <n v="2025"/>
    <n v="4"/>
    <s v="avril"/>
    <s v="Q2"/>
    <d v="2025-04-01T00:00:00"/>
    <x v="3"/>
  </r>
  <r>
    <s v="ORD-2025-00153"/>
    <d v="2025-08-17T00:00:00"/>
    <s v="C0080"/>
    <s v="P1034"/>
    <s v="Sarah Smith, Mississauga, Corporate"/>
    <s v="Vancouver West"/>
    <s v="L. Chen"/>
    <s v="Online"/>
    <n v="2"/>
    <n v="151.72"/>
    <n v="0"/>
    <s v="Debit Card"/>
    <n v="6"/>
    <s v="No"/>
    <x v="2"/>
    <s v="Vancouver West"/>
    <s v="Debit Card"/>
    <s v="C0080"/>
    <s v="Sarah Smith"/>
    <s v="Mississauga"/>
    <s v="Corporate"/>
    <s v="Laptop Sleeve"/>
    <x v="4"/>
    <n v="78.95"/>
    <n v="303.44"/>
    <n v="0"/>
    <n v="303.44"/>
    <n v="157.9"/>
    <n v="145.54"/>
    <n v="0.47963353546005799"/>
    <n v="0"/>
    <n v="2025"/>
    <n v="8"/>
    <s v="août"/>
    <s v="Q3"/>
    <d v="2025-08-01T00:00:00"/>
    <x v="1"/>
  </r>
  <r>
    <s v="ORD-2025-00154"/>
    <d v="2025-03-25T00:00:00"/>
    <s v="C0066"/>
    <s v="P1022"/>
    <s v="Noah Clark, Laval, Consumer"/>
    <s v="Toronto Downtown"/>
    <s v="R. Singh"/>
    <s v="Retail Store"/>
    <n v="1"/>
    <n v="396.12"/>
    <n v="0"/>
    <s v="Debit Card"/>
    <n v="4"/>
    <s v="No"/>
    <x v="0"/>
    <s v="Toronto Downtown"/>
    <s v="Debit Card"/>
    <s v="C0066"/>
    <s v="Noah Clark"/>
    <s v="Laval"/>
    <s v="Consumer"/>
    <s v="Humidifier"/>
    <x v="3"/>
    <n v="239.67"/>
    <n v="396.12"/>
    <n v="0"/>
    <n v="396.12"/>
    <n v="239.67"/>
    <n v="156.45000000000002"/>
    <n v="0.39495607391699489"/>
    <n v="0"/>
    <n v="2025"/>
    <n v="3"/>
    <s v="mars"/>
    <s v="Q1"/>
    <d v="2025-03-01T00:00:00"/>
    <x v="4"/>
  </r>
  <r>
    <s v="ORD-2025-00155"/>
    <d v="2025-01-30T00:00:00"/>
    <s v="C0105"/>
    <s v="P1039"/>
    <s v="Liam Martin , Calgary , Consumer"/>
    <s v="Calgary North"/>
    <s v="L. Chen"/>
    <s v="Online"/>
    <n v="3"/>
    <n v="341.51"/>
    <n v="0.25"/>
    <s v="Debit Card"/>
    <n v="8"/>
    <s v="No"/>
    <x v="2"/>
    <s v="Calgary North"/>
    <s v="Debit Card"/>
    <s v="C0105"/>
    <s v="Liam Martin"/>
    <s v="Calgary"/>
    <s v="Consumer"/>
    <s v="Travel Adapter"/>
    <x v="4"/>
    <n v="229.86"/>
    <n v="1024.53"/>
    <n v="256.13249999999999"/>
    <n v="768.39750000000004"/>
    <n v="689.58"/>
    <n v="78.817499999999995"/>
    <n v="0.10257386313724341"/>
    <n v="0"/>
    <n v="2025"/>
    <n v="1"/>
    <s v="janvier"/>
    <s v="Q1"/>
    <d v="2025-01-01T00:00:00"/>
    <x v="0"/>
  </r>
  <r>
    <s v="ORD-2025-00156"/>
    <d v="2025-09-06T00:00:00"/>
    <s v="C0117"/>
    <s v="P1025"/>
    <s v="Ethan Hall, Vancouver, Consumer"/>
    <s v="Vancouver West"/>
    <s v="E. Roy"/>
    <s v="Retail Store"/>
    <n v="1"/>
    <n v="320.8"/>
    <n v="0.15"/>
    <s v="Credit Card"/>
    <n v="2"/>
    <s v="No"/>
    <x v="0"/>
    <s v="Vancouver West"/>
    <s v="Credit Card"/>
    <s v="C0117"/>
    <s v="Ethan Hall"/>
    <s v="Vancouver"/>
    <s v="Consumer"/>
    <s v="Yoga Mat"/>
    <x v="2"/>
    <n v="197.33"/>
    <n v="320.8"/>
    <n v="48.12"/>
    <n v="272.68"/>
    <n v="197.33"/>
    <n v="75.349999999999994"/>
    <n v="0.27633123074666271"/>
    <n v="0"/>
    <n v="2025"/>
    <n v="9"/>
    <s v="septembre"/>
    <s v="Q3"/>
    <d v="2025-09-01T00:00:00"/>
    <x v="3"/>
  </r>
  <r>
    <s v="ORD-2025-00157"/>
    <d v="2025-02-26T00:00:00"/>
    <s v="C0045"/>
    <s v="P1025"/>
    <s v="Lucas Chen, Ottawa, Corporate"/>
    <s v="Vancouver West"/>
    <s v="R. Singh"/>
    <s v="Retail Store"/>
    <n v="3"/>
    <n v="317.19"/>
    <n v="0.1"/>
    <s v="Credit Card"/>
    <n v="4"/>
    <s v="No"/>
    <x v="0"/>
    <s v="Vancouver West"/>
    <s v="Credit Card"/>
    <s v="C0045"/>
    <s v="Lucas Chen"/>
    <s v="Ottawa"/>
    <s v="Corporate"/>
    <s v="Yoga Mat"/>
    <x v="2"/>
    <n v="197.33"/>
    <n v="951.56999999999994"/>
    <n v="95.156999999999996"/>
    <n v="856.4129999999999"/>
    <n v="591.99"/>
    <n v="264.42299999999989"/>
    <n v="0.30875640607977684"/>
    <n v="0"/>
    <n v="2025"/>
    <n v="2"/>
    <s v="février"/>
    <s v="Q1"/>
    <d v="2025-02-01T00:00:00"/>
    <x v="1"/>
  </r>
  <r>
    <s v="ORD-2025-00158"/>
    <d v="2025-02-05T00:00:00"/>
    <s v="C0017"/>
    <s v="P1007"/>
    <s v="Yasmine Khan, Mississauga, Corporate"/>
    <s v="Vancouver West"/>
    <s v="L. Chen"/>
    <s v="Marketplace"/>
    <n v="1"/>
    <n v="357.14"/>
    <n v="0"/>
    <s v="PayPal"/>
    <n v="2"/>
    <s v="No"/>
    <x v="1"/>
    <s v="Vancouver West"/>
    <s v="PayPal"/>
    <s v="C0017"/>
    <s v="Yasmine Khan"/>
    <s v="Mississauga"/>
    <s v="Corporate"/>
    <s v="Monitor"/>
    <x v="0"/>
    <n v="224.47"/>
    <n v="357.14"/>
    <n v="0"/>
    <n v="357.14"/>
    <n v="224.47"/>
    <n v="132.66999999999999"/>
    <n v="0.37147897183177464"/>
    <n v="0"/>
    <n v="2025"/>
    <n v="2"/>
    <s v="février"/>
    <s v="Q1"/>
    <d v="2025-02-01T00:00:00"/>
    <x v="1"/>
  </r>
  <r>
    <s v="ORD-2025-00159"/>
    <d v="2025-01-02T00:00:00"/>
    <s v="C0022"/>
    <s v="P1040"/>
    <s v="Adam White, Victoria, Consumer"/>
    <s v="Calgary North"/>
    <s v="M. Wilson"/>
    <s v="Marketplace"/>
    <n v="1"/>
    <n v="325.73"/>
    <n v="0"/>
    <s v="Credit Card"/>
    <n v="2"/>
    <s v="No"/>
    <x v="1"/>
    <s v="Calgary North"/>
    <s v="Credit Card"/>
    <s v="C0022"/>
    <s v="Adam White"/>
    <s v="Victoria"/>
    <s v="Consumer"/>
    <s v="Desk Pad"/>
    <x v="4"/>
    <n v="177.57"/>
    <n v="325.73"/>
    <n v="0"/>
    <n v="325.73"/>
    <n v="177.57"/>
    <n v="148.16000000000003"/>
    <n v="0.45485524821170914"/>
    <n v="0"/>
    <n v="2025"/>
    <n v="1"/>
    <s v="janvier"/>
    <s v="Q1"/>
    <d v="2025-01-01T00:00:00"/>
    <x v="3"/>
  </r>
  <r>
    <s v="ORD-2025-00160"/>
    <d v="2025-12-07T00:00:00"/>
    <s v="C0059"/>
    <s v="P1027"/>
    <s v="Lucas Chen, Vancouver, Corporate"/>
    <s v="Montreal Central"/>
    <s v="S. Patel"/>
    <s v="Online"/>
    <n v="1"/>
    <n v="55.34"/>
    <n v="0.25"/>
    <s v="Credit Card"/>
    <n v="5"/>
    <s v="No"/>
    <x v="2"/>
    <s v="Montreal Central"/>
    <s v="Credit Card"/>
    <s v="C0059"/>
    <s v="Lucas Chen"/>
    <s v="Vancouver"/>
    <s v="Corporate"/>
    <s v="Kettlebell"/>
    <x v="2"/>
    <n v="25.97"/>
    <n v="55.34"/>
    <n v="13.835000000000001"/>
    <n v="41.505000000000003"/>
    <n v="25.97"/>
    <n v="15.535000000000004"/>
    <n v="0.37429225394530785"/>
    <n v="0"/>
    <n v="2025"/>
    <n v="12"/>
    <s v="décembre"/>
    <s v="Q4"/>
    <d v="2025-12-01T00:00:00"/>
    <x v="3"/>
  </r>
  <r>
    <s v="ORD-2025-00161"/>
    <d v="2025-10-25T00:00:00"/>
    <s v="C0077"/>
    <s v="P1013"/>
    <s v="Amine Taylor, Surrey, Small Business"/>
    <s v="Toronto Downtown"/>
    <s v="L. Chen"/>
    <s v="Retail Store"/>
    <n v="1"/>
    <n v="129.55000000000001"/>
    <n v="0.15"/>
    <s v="Debit  Card"/>
    <n v="2"/>
    <s v="No"/>
    <x v="0"/>
    <s v="Toronto Downtown"/>
    <s v="Debit Card"/>
    <s v="C0077"/>
    <s v="Amine Taylor"/>
    <s v="Surrey"/>
    <s v="Small Business"/>
    <s v="Whiteboard"/>
    <x v="1"/>
    <n v="85.73"/>
    <n v="129.55000000000001"/>
    <n v="19.432500000000001"/>
    <n v="110.11750000000001"/>
    <n v="85.73"/>
    <n v="24.387500000000003"/>
    <n v="0.22146797738779034"/>
    <n v="0"/>
    <n v="2025"/>
    <n v="10"/>
    <s v="octobre"/>
    <s v="Q4"/>
    <d v="2025-10-01T00:00:00"/>
    <x v="3"/>
  </r>
  <r>
    <s v="ORD-2025-00162"/>
    <d v="2025-01-28T00:00:00"/>
    <s v="C0067"/>
    <s v="P1012"/>
    <s v="Leo Bennett, Mississauga, Consumer"/>
    <s v="Calgary North"/>
    <s v="E. Roy"/>
    <s v="Online"/>
    <n v="1"/>
    <n v="82.85"/>
    <n v="0"/>
    <s v="Debit Card"/>
    <n v="2"/>
    <s v="No"/>
    <x v="2"/>
    <s v="Calgary North"/>
    <s v="Debit Card"/>
    <s v="C0067"/>
    <s v="Leo Bennett"/>
    <s v="Mississauga"/>
    <s v="Consumer"/>
    <s v="Standing Desk"/>
    <x v="1"/>
    <n v="45.17"/>
    <n v="82.85"/>
    <n v="0"/>
    <n v="82.85"/>
    <n v="45.17"/>
    <n v="37.679999999999993"/>
    <n v="0.45479782739891367"/>
    <n v="0"/>
    <n v="2025"/>
    <n v="1"/>
    <s v="janvier"/>
    <s v="Q1"/>
    <d v="2025-01-01T00:00:00"/>
    <x v="1"/>
  </r>
  <r>
    <s v="ORD-2025-00163"/>
    <d v="2025-04-24T00:00:00"/>
    <s v="C0078"/>
    <s v="P1039"/>
    <s v="Sarah Smith, Edmonton, Corporate"/>
    <s v="Calgary North"/>
    <s v="M. Wilson"/>
    <s v="Retail Store"/>
    <n v="1"/>
    <n v="324.77999999999997"/>
    <n v="0"/>
    <s v="Credit Card"/>
    <n v="3"/>
    <s v="No"/>
    <x v="0"/>
    <s v="Calgary North"/>
    <s v="Credit Card"/>
    <s v="C0078"/>
    <s v="Sarah Smith"/>
    <s v="Edmonton"/>
    <s v="Corporate"/>
    <s v="Travel Adapter"/>
    <x v="4"/>
    <n v="229.86"/>
    <n v="324.77999999999997"/>
    <n v="0"/>
    <n v="324.77999999999997"/>
    <n v="229.86"/>
    <n v="94.919999999999959"/>
    <n v="0.2922593755773138"/>
    <n v="0"/>
    <n v="2025"/>
    <n v="4"/>
    <s v="avril"/>
    <s v="Q2"/>
    <d v="2025-04-01T00:00:00"/>
    <x v="0"/>
  </r>
  <r>
    <s v="ORD-2025-00164"/>
    <d v="2025-04-10T00:00:00"/>
    <s v="C0062"/>
    <s v="P1023"/>
    <s v="Yasmine Scott, Toronto, Consumer"/>
    <s v="Vancouver West"/>
    <s v="A. Morgan"/>
    <s v="Retail Store"/>
    <n v="1"/>
    <n v="316.97000000000003"/>
    <n v="0.05"/>
    <s v="Debit Card"/>
    <n v="4"/>
    <s v="No"/>
    <x v="0"/>
    <s v="Vancouver West"/>
    <s v="Debit Card"/>
    <s v="C0062"/>
    <s v="Yasmine Scott"/>
    <s v="Toronto"/>
    <s v="Consumer"/>
    <s v="Toaster"/>
    <x v="3"/>
    <n v="152.88"/>
    <n v="316.97000000000003"/>
    <n v="15.848500000000001"/>
    <n v="301.12150000000003"/>
    <n v="152.88"/>
    <n v="148.24150000000003"/>
    <n v="0.49229795946154631"/>
    <n v="0"/>
    <n v="2025"/>
    <n v="4"/>
    <s v="avril"/>
    <s v="Q2"/>
    <d v="2025-04-01T00:00:00"/>
    <x v="1"/>
  </r>
  <r>
    <s v="ORD-2025-00165"/>
    <d v="2025-12-05T00:00:00"/>
    <s v="C0049"/>
    <s v="P1001"/>
    <s v="Olivia Scott, Quebec City, Consumer"/>
    <s v="Online Fulfillment"/>
    <s v="J. Tremblay"/>
    <s v="Online"/>
    <n v="1"/>
    <n v="393.54"/>
    <n v="0.15"/>
    <s v="PayPal"/>
    <n v="9"/>
    <s v="No"/>
    <x v="2"/>
    <s v="Online Fulfillment"/>
    <s v="PayPal"/>
    <s v="C0049"/>
    <s v="Olivia Scott"/>
    <s v="Quebec City"/>
    <s v="Consumer"/>
    <s v="Headphones"/>
    <x v="0"/>
    <n v="254.6"/>
    <n v="393.54"/>
    <n v="59.030999999999999"/>
    <n v="334.50900000000001"/>
    <n v="254.6"/>
    <n v="79.90900000000002"/>
    <n v="0.23888445452887669"/>
    <n v="0"/>
    <n v="2025"/>
    <n v="12"/>
    <s v="décembre"/>
    <s v="Q4"/>
    <d v="2025-12-01T00:00:00"/>
    <x v="4"/>
  </r>
  <r>
    <s v="ORD-2025-00166"/>
    <d v="2025-10-03T00:00:00"/>
    <s v="C0082"/>
    <s v="P1008"/>
    <s v="Ryan King, Winnipeg, Small Business"/>
    <s v="Montreal Central"/>
    <s v="A. Morgan"/>
    <s v="Online"/>
    <n v="5"/>
    <n v="136.16999999999999"/>
    <n v="0.15"/>
    <s v="Credit Card"/>
    <n v="8"/>
    <s v="Yes"/>
    <x v="2"/>
    <s v="Montreal Central"/>
    <s v="Credit Card"/>
    <s v="C0082"/>
    <s v="Ryan King"/>
    <s v="Winnipeg"/>
    <s v="Small Business"/>
    <s v="Smart Speaker"/>
    <x v="0"/>
    <n v="69"/>
    <n v="680.84999999999991"/>
    <n v="102.12749999999998"/>
    <n v="578.72249999999997"/>
    <n v="345"/>
    <n v="233.72249999999997"/>
    <n v="0.40385936264790118"/>
    <n v="1"/>
    <n v="2025"/>
    <n v="10"/>
    <s v="octobre"/>
    <s v="Q4"/>
    <d v="2025-10-01T00:00:00"/>
    <x v="6"/>
  </r>
  <r>
    <s v="ORD-2025-00168"/>
    <d v="2025-05-09T00:00:00"/>
    <s v="C0120"/>
    <s v="P1027"/>
    <s v="Ethan King, Mississauga, Small Business"/>
    <s v="Calgary North"/>
    <s v="A. Morgan"/>
    <s v="Online"/>
    <n v="2"/>
    <n v="58.17"/>
    <n v="0"/>
    <s v="Credit Card"/>
    <n v="9"/>
    <s v="No"/>
    <x v="2"/>
    <s v="Calgary North"/>
    <s v="Credit Card"/>
    <s v="C0120"/>
    <s v="Ethan King"/>
    <s v="Mississauga"/>
    <s v="Small Business"/>
    <s v="Kettlebell"/>
    <x v="2"/>
    <n v="25.97"/>
    <n v="116.34"/>
    <n v="0"/>
    <n v="116.34"/>
    <n v="51.94"/>
    <n v="64.400000000000006"/>
    <n v="0.55354993983152834"/>
    <n v="0"/>
    <n v="2025"/>
    <n v="5"/>
    <s v="mai"/>
    <s v="Q2"/>
    <d v="2025-05-01T00:00:00"/>
    <x v="1"/>
  </r>
  <r>
    <s v="ORD-2025-00169"/>
    <d v="2025-04-09T00:00:00"/>
    <s v="C0106"/>
    <s v="P1030"/>
    <s v="Liam Gagnon, Ottawa, Small Business"/>
    <s v="Online Fulfillment"/>
    <s v="R. Singh"/>
    <s v="Retail Store"/>
    <n v="2"/>
    <n v="247.12"/>
    <n v="0.05"/>
    <s v="Credit Card"/>
    <n v="4"/>
    <s v="No"/>
    <x v="0"/>
    <s v="Online Fulfillment"/>
    <s v="Credit Card"/>
    <s v="C0106"/>
    <s v="Liam Gagnon"/>
    <s v="Ottawa"/>
    <s v="Small Business"/>
    <s v="Pull-up Bar"/>
    <x v="2"/>
    <n v="125.4"/>
    <n v="494.24"/>
    <n v="24.712000000000003"/>
    <n v="469.52800000000002"/>
    <n v="250.8"/>
    <n v="218.72800000000001"/>
    <n v="0.46584655228229199"/>
    <n v="0"/>
    <n v="2025"/>
    <n v="4"/>
    <s v="avril"/>
    <s v="Q2"/>
    <d v="2025-04-01T00:00:00"/>
    <x v="1"/>
  </r>
  <r>
    <s v="ORD-2025-00170"/>
    <d v="2025-05-24T00:00:00"/>
    <s v="C0070"/>
    <s v="P1017"/>
    <s v="Sophia Young, Halifax, Corporate"/>
    <s v="Vancouver West"/>
    <s v="N. Brown"/>
    <s v="Retail Store"/>
    <n v="1"/>
    <n v="380.52"/>
    <n v="0.05"/>
    <s v="Debit Card"/>
    <n v="2"/>
    <s v="No"/>
    <x v="0"/>
    <s v="Vancouver West"/>
    <s v="Debit Card"/>
    <s v="C0070"/>
    <s v="Sophia Young"/>
    <s v="Halifax"/>
    <s v="Corporate"/>
    <s v="Coffee Maker"/>
    <x v="3"/>
    <n v="241.16"/>
    <n v="380.52"/>
    <n v="19.026"/>
    <n v="361.49399999999997"/>
    <n v="241.16"/>
    <n v="120.33399999999997"/>
    <n v="0.33287966051995327"/>
    <n v="0"/>
    <n v="2025"/>
    <n v="5"/>
    <s v="mai"/>
    <s v="Q2"/>
    <d v="2025-05-01T00:00:00"/>
    <x v="2"/>
  </r>
  <r>
    <s v="ORD-2025-00171"/>
    <d v="2025-10-01T00:00:00"/>
    <s v="C0115"/>
    <s v="P1025"/>
    <s v="Nora Lee, Calgary, Consumer"/>
    <s v="Vancouver West"/>
    <s v="R. Singh"/>
    <s v="Online"/>
    <n v="2"/>
    <n v="310.64"/>
    <n v="0.05"/>
    <s v="PayPal"/>
    <n v="4"/>
    <s v="No"/>
    <x v="2"/>
    <s v="Vancouver West"/>
    <s v="PayPal"/>
    <s v="C0115"/>
    <s v="Nora Lee"/>
    <s v="Calgary"/>
    <s v="Consumer"/>
    <s v="Yoga Mat"/>
    <x v="2"/>
    <n v="197.33"/>
    <n v="621.28"/>
    <n v="31.064"/>
    <n v="590.21600000000001"/>
    <n v="394.66"/>
    <n v="195.55599999999998"/>
    <n v="0.33132954714884039"/>
    <n v="0"/>
    <n v="2025"/>
    <n v="10"/>
    <s v="octobre"/>
    <s v="Q4"/>
    <d v="2025-10-01T00:00:00"/>
    <x v="0"/>
  </r>
  <r>
    <s v="ORD-2025-00172"/>
    <d v="2025-03-16T00:00:00"/>
    <s v="C0014"/>
    <s v="P1038"/>
    <s v="Zoe Scott, Montreal, Small Business"/>
    <s v="Vancouver West"/>
    <s v="L. Chen"/>
    <s v="Online"/>
    <n v="2"/>
    <n v="276.83"/>
    <n v="0.05"/>
    <s v="Debit Card"/>
    <n v="1"/>
    <s v="No"/>
    <x v="2"/>
    <s v="Vancouver West"/>
    <s v="Debit Card"/>
    <s v="C0014"/>
    <s v="Zoe Scott"/>
    <s v="Montreal"/>
    <s v="Small Business"/>
    <s v="Water Bottle"/>
    <x v="4"/>
    <n v="119.16"/>
    <n v="553.66"/>
    <n v="27.683"/>
    <n v="525.97699999999998"/>
    <n v="238.32"/>
    <n v="287.65699999999998"/>
    <n v="0.54690033974869623"/>
    <n v="0"/>
    <n v="2025"/>
    <n v="3"/>
    <s v="mars"/>
    <s v="Q1"/>
    <d v="2025-03-01T00:00:00"/>
    <x v="4"/>
  </r>
  <r>
    <s v="ORD-2025-00173"/>
    <d v="2025-04-28T00:00:00"/>
    <s v="C0073"/>
    <s v="P1037"/>
    <s v="Olivia Singh, Mississauga, Consumer"/>
    <s v="Online Fulfillment"/>
    <s v="S. Patel"/>
    <s v="Online"/>
    <n v="1"/>
    <n v="344.09"/>
    <n v="0.05"/>
    <s v="Debit Card"/>
    <n v="6"/>
    <s v="No"/>
    <x v="2"/>
    <s v="Online Fulfillment"/>
    <s v="Debit Card"/>
    <s v="C0073"/>
    <s v="Olivia Singh"/>
    <s v="Mississauga"/>
    <s v="Consumer"/>
    <s v="Cable Set"/>
    <x v="4"/>
    <n v="200.16"/>
    <n v="344.09"/>
    <n v="17.204499999999999"/>
    <n v="326.88549999999998"/>
    <n v="200.16"/>
    <n v="126.72549999999998"/>
    <n v="0.3876755010546506"/>
    <n v="0"/>
    <n v="2025"/>
    <n v="4"/>
    <s v="avril"/>
    <s v="Q2"/>
    <d v="2025-04-01T00:00:00"/>
    <x v="1"/>
  </r>
  <r>
    <s v="ORD-2025-00174"/>
    <d v="2025-12-01T00:00:00"/>
    <s v="C0102"/>
    <s v="P1015"/>
    <s v="Adam Roy, Edmonton, Corporate"/>
    <s v="Toronto Downtown"/>
    <s v="E. Roy"/>
    <s v="Marketplace"/>
    <n v="1"/>
    <n v="389.99"/>
    <n v="0"/>
    <s v="PayPal"/>
    <n v="8"/>
    <s v="No"/>
    <x v="1"/>
    <s v="Toronto Downtown"/>
    <s v="PayPal"/>
    <s v="C0102"/>
    <s v="Adam Roy"/>
    <s v="Edmonton"/>
    <s v="Corporate"/>
    <s v="Desk Organizer"/>
    <x v="1"/>
    <n v="235.76"/>
    <n v="389.99"/>
    <n v="0"/>
    <n v="389.99"/>
    <n v="235.76"/>
    <n v="154.23000000000002"/>
    <n v="0.39547167876099393"/>
    <n v="0"/>
    <n v="2025"/>
    <n v="12"/>
    <s v="décembre"/>
    <s v="Q4"/>
    <d v="2025-12-01T00:00:00"/>
    <x v="0"/>
  </r>
  <r>
    <s v="ORD-2025-00175"/>
    <d v="2025-04-05T00:00:00"/>
    <s v="C0096"/>
    <s v="P1021"/>
    <s v="Ryan Roy, Laval, Corporate"/>
    <s v="Toronto Downtown"/>
    <s v="S. Patel"/>
    <s v="Online"/>
    <n v="4"/>
    <n v="308.58999999999997"/>
    <n v="0"/>
    <s v="Debit Card"/>
    <n v="1"/>
    <s v="No"/>
    <x v="2"/>
    <s v="Toronto Downtown"/>
    <s v="Debit Card"/>
    <s v="C0096"/>
    <s v="Ryan Roy"/>
    <s v="Laval"/>
    <s v="Corporate"/>
    <s v="Kettle"/>
    <x v="3"/>
    <n v="139.86000000000001"/>
    <n v="1234.3599999999999"/>
    <n v="0"/>
    <n v="1234.3599999999999"/>
    <n v="559.44000000000005"/>
    <n v="674.91999999999985"/>
    <n v="0.54677727729349612"/>
    <n v="0"/>
    <n v="2025"/>
    <n v="4"/>
    <s v="avril"/>
    <s v="Q2"/>
    <d v="2025-04-01T00:00:00"/>
    <x v="4"/>
  </r>
  <r>
    <s v="ORD-2025-00176"/>
    <d v="2025-01-29T00:00:00"/>
    <s v="C0071"/>
    <s v="P1017"/>
    <s v="Ethan Lee, Surrey, Consumer"/>
    <s v="Montreal Central"/>
    <s v="E. Roy"/>
    <s v="Retail Store"/>
    <n v="1"/>
    <n v="372.42"/>
    <n v="0"/>
    <s v="PayPal"/>
    <n v="1"/>
    <s v="No"/>
    <x v="0"/>
    <s v="Montreal Central"/>
    <s v="PayPal"/>
    <s v="C0071"/>
    <s v="Ethan Lee"/>
    <s v="Surrey"/>
    <s v="Consumer"/>
    <s v="Coffee Maker"/>
    <x v="3"/>
    <n v="241.16"/>
    <n v="372.42"/>
    <n v="0"/>
    <n v="372.42"/>
    <n v="241.16"/>
    <n v="131.26000000000002"/>
    <n v="0.35245153321518718"/>
    <n v="0"/>
    <n v="2025"/>
    <n v="1"/>
    <s v="janvier"/>
    <s v="Q1"/>
    <d v="2025-01-01T00:00:00"/>
    <x v="3"/>
  </r>
  <r>
    <s v="ORD-2025-00177"/>
    <d v="2025-11-11T00:00:00"/>
    <s v="C0042"/>
    <s v="P1032"/>
    <s v="Emma King, Quebec City, Consumer"/>
    <s v="Montreal  Central"/>
    <s v="N. Brown"/>
    <s v="Online"/>
    <n v="1"/>
    <n v="210.97"/>
    <n v="0.1"/>
    <s v="Gift Card"/>
    <n v="9"/>
    <s v="No"/>
    <x v="2"/>
    <s v="Montreal Central"/>
    <s v="Gift Card"/>
    <s v="C0042"/>
    <s v="Emma King"/>
    <s v="Quebec City"/>
    <s v="Consumer"/>
    <s v="Gym Bag"/>
    <x v="2"/>
    <n v="132.72"/>
    <n v="210.97"/>
    <n v="21.097000000000001"/>
    <n v="189.87299999999999"/>
    <n v="132.72"/>
    <n v="57.152999999999992"/>
    <n v="0.30100646221421684"/>
    <n v="0"/>
    <n v="2025"/>
    <n v="11"/>
    <s v="novembre"/>
    <s v="Q4"/>
    <d v="2025-11-01T00:00:00"/>
    <x v="4"/>
  </r>
  <r>
    <s v="ORD-2025-00178"/>
    <d v="2025-01-19T00:00:00"/>
    <s v="C0020"/>
    <s v="P1039"/>
    <s v="Nora Khan, Mississauga, Consumer"/>
    <s v="Toronto Downtown"/>
    <s v="A. Morgan"/>
    <s v="Online"/>
    <n v="3"/>
    <n v="341.63"/>
    <n v="0"/>
    <s v="Credit Card"/>
    <n v="3"/>
    <s v="No"/>
    <x v="2"/>
    <s v="Toronto Downtown"/>
    <s v="Credit Card"/>
    <s v="C0020"/>
    <s v="Nora Khan"/>
    <s v="Mississauga"/>
    <s v="Consumer"/>
    <s v="Travel Adapter"/>
    <x v="4"/>
    <n v="229.86"/>
    <n v="1024.8899999999999"/>
    <n v="0"/>
    <n v="1024.8899999999999"/>
    <n v="689.58"/>
    <n v="335.30999999999983"/>
    <n v="0.32716681790240892"/>
    <n v="0"/>
    <n v="2025"/>
    <n v="1"/>
    <s v="janvier"/>
    <s v="Q1"/>
    <d v="2025-01-01T00:00:00"/>
    <x v="1"/>
  </r>
  <r>
    <s v="ORD-2025-00179"/>
    <d v="2025-09-10T00:00:00"/>
    <s v="C0098"/>
    <s v="P1034"/>
    <s v="Nora Young, Winnipeg, Consumer"/>
    <s v="Vancouver West"/>
    <s v="N. Brown"/>
    <s v="Online"/>
    <n v="3"/>
    <n v="142.11000000000001"/>
    <n v="0.05"/>
    <s v="Credit Card"/>
    <n v="1"/>
    <s v="No"/>
    <x v="2"/>
    <s v="Vancouver West"/>
    <s v="Credit Card"/>
    <s v="C0098"/>
    <s v="Nora Young"/>
    <s v="Winnipeg"/>
    <s v="Consumer"/>
    <s v="Laptop Sleeve"/>
    <x v="4"/>
    <n v="78.95"/>
    <n v="426.33000000000004"/>
    <n v="21.316500000000005"/>
    <n v="405.01350000000002"/>
    <n v="236.85000000000002"/>
    <n v="168.1635"/>
    <n v="0.41520467836257308"/>
    <n v="0"/>
    <n v="2025"/>
    <n v="9"/>
    <s v="septembre"/>
    <s v="Q3"/>
    <d v="2025-09-01T00:00:00"/>
    <x v="6"/>
  </r>
  <r>
    <s v="ORD-2025-00180"/>
    <d v="2025-05-22T00:00:00"/>
    <s v="C0039"/>
    <s v="P1040"/>
    <s v="Sarah Wilson, Halifax, Consumer"/>
    <s v="Vancouver West"/>
    <s v="M. Wilson"/>
    <s v="Retail Store"/>
    <n v="2"/>
    <n v="309.12"/>
    <n v="0.05"/>
    <s v="Debit Card"/>
    <n v="3"/>
    <s v="Yes"/>
    <x v="0"/>
    <s v="Vancouver West"/>
    <s v="Debit Card"/>
    <s v="C0039"/>
    <s v="Sarah Wilson"/>
    <s v="Halifax"/>
    <s v="Consumer"/>
    <s v="Desk Pad"/>
    <x v="4"/>
    <n v="177.57"/>
    <n v="618.24"/>
    <n v="30.912000000000003"/>
    <n v="587.32799999999997"/>
    <n v="355.14"/>
    <n v="232.18799999999999"/>
    <n v="0.3953293559986924"/>
    <n v="1"/>
    <n v="2025"/>
    <n v="5"/>
    <s v="mai"/>
    <s v="Q2"/>
    <d v="2025-05-01T00:00:00"/>
    <x v="2"/>
  </r>
  <r>
    <s v="ORD-2025-00181"/>
    <d v="2025-10-03T00:00:00"/>
    <s v="C0086"/>
    <s v="P1024"/>
    <s v="Adam Gagnon, Winnipeg, Consumer"/>
    <s v="Montreal Central"/>
    <s v="S. Patel"/>
    <s v="Online"/>
    <n v="1"/>
    <n v="104.87"/>
    <n v="0.1"/>
    <s v="Credit Card"/>
    <n v="5"/>
    <s v="No"/>
    <x v="2"/>
    <s v="Montreal Central"/>
    <s v="Credit Card"/>
    <s v="C0086"/>
    <s v="Adam Gagnon"/>
    <s v="Winnipeg"/>
    <s v="Consumer"/>
    <s v="Food Scale"/>
    <x v="3"/>
    <n v="46.07"/>
    <n v="104.87"/>
    <n v="10.487000000000002"/>
    <n v="94.38300000000001"/>
    <n v="46.07"/>
    <n v="48.313000000000009"/>
    <n v="0.51188243645571774"/>
    <n v="0"/>
    <n v="2025"/>
    <n v="10"/>
    <s v="octobre"/>
    <s v="Q4"/>
    <d v="2025-10-01T00:00:00"/>
    <x v="6"/>
  </r>
  <r>
    <s v="ORD-2025-00182"/>
    <d v="2025-08-06T00:00:00"/>
    <s v="C0093"/>
    <s v="P1013"/>
    <s v="Ethan Roy, Winnipeg, Consumer"/>
    <s v="Online Fulfillment"/>
    <s v="M. Wilson"/>
    <s v="Online"/>
    <n v="1"/>
    <n v="128.6"/>
    <n v="0.05"/>
    <s v="PayPal"/>
    <n v="3"/>
    <s v="No"/>
    <x v="2"/>
    <s v="Online Fulfillment"/>
    <s v="PayPal"/>
    <s v="C0093"/>
    <s v="Ethan Roy"/>
    <s v="Winnipeg"/>
    <s v="Consumer"/>
    <s v="Whiteboard"/>
    <x v="1"/>
    <n v="85.73"/>
    <n v="128.6"/>
    <n v="6.43"/>
    <n v="122.16999999999999"/>
    <n v="85.73"/>
    <n v="36.439999999999984"/>
    <n v="0.29827289842023402"/>
    <n v="0"/>
    <n v="2025"/>
    <n v="8"/>
    <s v="août"/>
    <s v="Q3"/>
    <d v="2025-08-01T00:00:00"/>
    <x v="6"/>
  </r>
  <r>
    <s v="ORD-2025-00183"/>
    <d v="2025-10-18T00:00:00"/>
    <s v="C0073"/>
    <s v="P1005"/>
    <s v="Olivia Singh, Mississauga, Consumer"/>
    <s v="Online Fulfillment"/>
    <s v="S. Patel"/>
    <s v="Retail Store"/>
    <n v="1"/>
    <n v="252.34"/>
    <n v="0.2"/>
    <s v="PayPal"/>
    <n v="4"/>
    <s v="Yes"/>
    <x v="0"/>
    <s v="Online Fulfillment"/>
    <s v="PayPal"/>
    <s v="C0073"/>
    <s v="Olivia Singh"/>
    <s v="Mississauga"/>
    <s v="Consumer"/>
    <s v="Portable SSD"/>
    <x v="0"/>
    <n v="131.19"/>
    <n v="252.34"/>
    <n v="50.468000000000004"/>
    <n v="201.87200000000001"/>
    <n v="131.19"/>
    <n v="70.682000000000016"/>
    <n v="0.35013275739082195"/>
    <n v="1"/>
    <n v="2025"/>
    <n v="10"/>
    <s v="octobre"/>
    <s v="Q4"/>
    <d v="2025-10-01T00:00:00"/>
    <x v="1"/>
  </r>
  <r>
    <s v="ORD-2025-00184"/>
    <d v="2025-07-26T00:00:00"/>
    <s v="C0031"/>
    <s v="P1024"/>
    <s v="Leo Gagnon, Surrey, Small Business"/>
    <s v="Calgary North"/>
    <s v="E. Roy"/>
    <s v="Online"/>
    <n v="3"/>
    <n v="107.18"/>
    <n v="0"/>
    <s v="Debit Card"/>
    <n v="5"/>
    <s v="No"/>
    <x v="2"/>
    <s v="Calgary North"/>
    <s v="Debit Card"/>
    <s v="C0031"/>
    <s v="Leo Gagnon"/>
    <s v="Surrey"/>
    <s v="Small Business"/>
    <s v="Food Scale"/>
    <x v="3"/>
    <n v="46.07"/>
    <n v="321.54000000000002"/>
    <n v="0"/>
    <n v="321.54000000000002"/>
    <n v="138.21"/>
    <n v="183.33"/>
    <n v="0.5701623437208434"/>
    <n v="0"/>
    <n v="2025"/>
    <n v="7"/>
    <s v="juillet"/>
    <s v="Q3"/>
    <d v="2025-07-01T00:00:00"/>
    <x v="3"/>
  </r>
  <r>
    <s v="ORD-2025-00185"/>
    <d v="2025-11-20T00:00:00"/>
    <s v="C0056"/>
    <s v="P1025"/>
    <s v="Sarah Wilson, Halifax, Consumer"/>
    <s v="Vancouver West"/>
    <s v="S. Patel"/>
    <s v="Marketplace"/>
    <n v="3"/>
    <n v="306.68"/>
    <n v="0.1"/>
    <s v="PayPal"/>
    <n v="8"/>
    <s v="No"/>
    <x v="1"/>
    <s v="Vancouver West"/>
    <s v="PayPal"/>
    <s v="C0056"/>
    <s v="Sarah Wilson"/>
    <s v="Halifax"/>
    <s v="Consumer"/>
    <s v="Yoga Mat"/>
    <x v="2"/>
    <n v="197.33"/>
    <n v="920.04"/>
    <n v="92.004000000000005"/>
    <n v="828.03599999999994"/>
    <n v="591.99"/>
    <n v="236.04599999999994"/>
    <n v="0.2850673159138008"/>
    <n v="0"/>
    <n v="2025"/>
    <n v="11"/>
    <s v="novembre"/>
    <s v="Q4"/>
    <d v="2025-11-01T00:00:00"/>
    <x v="2"/>
  </r>
  <r>
    <s v="ORD-2025-00186"/>
    <d v="2025-08-28T00:00:00"/>
    <s v="C0080"/>
    <s v="P1033"/>
    <s v="Sarah Smith, Mississauga, Corporate"/>
    <s v="Calgary North"/>
    <s v="E. Roy"/>
    <s v="Retail Store"/>
    <n v="1"/>
    <n v="317.25"/>
    <n v="0"/>
    <s v="Credit Card"/>
    <n v="4"/>
    <s v="No"/>
    <x v="0"/>
    <s v="Calgary North"/>
    <s v="Credit Card"/>
    <s v="C0080"/>
    <s v="Sarah Smith"/>
    <s v="Mississauga"/>
    <s v="Corporate"/>
    <s v="Backpack"/>
    <x v="4"/>
    <n v="152.55000000000001"/>
    <n v="317.25"/>
    <n v="0"/>
    <n v="317.25"/>
    <n v="152.55000000000001"/>
    <n v="164.7"/>
    <n v="0.51914893617021274"/>
    <n v="0"/>
    <n v="2025"/>
    <n v="8"/>
    <s v="août"/>
    <s v="Q3"/>
    <d v="2025-08-01T00:00:00"/>
    <x v="1"/>
  </r>
  <r>
    <s v="ORD-2025-00187"/>
    <d v="2025-10-18T00:00:00"/>
    <s v="C0099"/>
    <s v="P1027"/>
    <s v="Amine Gagnon , Laval , Small Business"/>
    <s v="Online Fulfillment"/>
    <s v="J. Tremblay"/>
    <s v="Retail Store"/>
    <n v="5"/>
    <n v="54.02"/>
    <n v="0.2"/>
    <s v="CC"/>
    <n v="3"/>
    <s v="Yes"/>
    <x v="0"/>
    <s v="Online Fulfillment"/>
    <s v="Credit Card"/>
    <s v="C0099"/>
    <s v="Amine Gagnon"/>
    <s v="Laval"/>
    <s v="Small Business"/>
    <s v="Kettlebell"/>
    <x v="2"/>
    <n v="25.97"/>
    <n v="270.10000000000002"/>
    <n v="54.02000000000001"/>
    <n v="216.08"/>
    <n v="129.85"/>
    <n v="86.230000000000018"/>
    <n v="0.3990651610514625"/>
    <n v="1"/>
    <n v="2025"/>
    <n v="10"/>
    <s v="octobre"/>
    <s v="Q4"/>
    <d v="2025-10-01T00:00:00"/>
    <x v="4"/>
  </r>
  <r>
    <s v="ORD-2025-00188"/>
    <d v="2025-08-20T00:00:00"/>
    <s v="C0094"/>
    <s v="P1033"/>
    <s v="Mia Singh, Quebec City, Consumer"/>
    <s v="Toronto Downtown"/>
    <s v="A. Morgan"/>
    <s v="Marketplace"/>
    <n v="3"/>
    <n v="294.42"/>
    <n v="0.05"/>
    <s v="PayPal"/>
    <n v="3"/>
    <s v="No"/>
    <x v="1"/>
    <s v="Toronto Downtown"/>
    <s v="PayPal"/>
    <s v="C0094"/>
    <s v="Mia Singh"/>
    <s v="Quebec City"/>
    <s v="Consumer"/>
    <s v="Backpack"/>
    <x v="4"/>
    <n v="152.55000000000001"/>
    <n v="883.26"/>
    <n v="44.163000000000004"/>
    <n v="839.09699999999998"/>
    <n v="457.65000000000003"/>
    <n v="381.44699999999995"/>
    <n v="0.45459225810603537"/>
    <n v="0"/>
    <n v="2025"/>
    <n v="8"/>
    <s v="août"/>
    <s v="Q3"/>
    <d v="2025-08-01T00:00:00"/>
    <x v="4"/>
  </r>
  <r>
    <s v="ORD-2025-00189"/>
    <d v="2025-12-07T00:00:00"/>
    <s v="C0042"/>
    <s v="P1023"/>
    <s v="Emma King, Quebec City, Consumer"/>
    <s v="Montreal Central"/>
    <s v="A. Morgan"/>
    <s v="Online"/>
    <n v="3"/>
    <n v="327.55"/>
    <n v="0.05"/>
    <s v="PayPal"/>
    <n v="1"/>
    <s v="No"/>
    <x v="2"/>
    <s v="Montreal Central"/>
    <s v="PayPal"/>
    <s v="C0042"/>
    <s v="Emma King"/>
    <s v="Quebec City"/>
    <s v="Consumer"/>
    <s v="Toaster"/>
    <x v="3"/>
    <n v="152.88"/>
    <n v="982.65000000000009"/>
    <n v="49.132500000000007"/>
    <n v="933.51750000000004"/>
    <n v="458.64"/>
    <n v="474.87750000000005"/>
    <n v="0.50869694462074899"/>
    <n v="0"/>
    <n v="2025"/>
    <n v="12"/>
    <s v="décembre"/>
    <s v="Q4"/>
    <d v="2025-12-01T00:00:00"/>
    <x v="4"/>
  </r>
  <r>
    <s v="ORD-2025-00190"/>
    <d v="2025-11-19T00:00:00"/>
    <s v="C0089"/>
    <s v="P1036"/>
    <s v="Lucas Martin, Vancouver, Consumer"/>
    <s v="Montreal Central"/>
    <s v="J. Tremblay"/>
    <s v="Online"/>
    <n v="1"/>
    <n v="165.76"/>
    <n v="0"/>
    <s v="Credit Card"/>
    <n v="2"/>
    <s v="No"/>
    <x v="2"/>
    <s v="Montreal Central"/>
    <s v="Credit Card"/>
    <s v="C0089"/>
    <s v="Lucas Martin"/>
    <s v="Vancouver"/>
    <s v="Consumer"/>
    <s v="Power Bank"/>
    <x v="4"/>
    <n v="76.97"/>
    <n v="165.76"/>
    <n v="0"/>
    <n v="165.76"/>
    <n v="76.97"/>
    <n v="88.789999999999992"/>
    <n v="0.5356539575289575"/>
    <n v="0"/>
    <n v="2025"/>
    <n v="11"/>
    <s v="novembre"/>
    <s v="Q4"/>
    <d v="2025-11-01T00:00:00"/>
    <x v="3"/>
  </r>
  <r>
    <s v="ORD-2025-00191"/>
    <d v="2025-03-25T00:00:00"/>
    <s v="C0023"/>
    <s v="P1019"/>
    <s v="Ryan Gagnon, Ottawa, Small Business"/>
    <s v="Online Fulfillment"/>
    <s v="E. Roy"/>
    <s v="Online"/>
    <n v="1"/>
    <n v="279.27"/>
    <n v="0.2"/>
    <s v="Credit  Card"/>
    <n v="1"/>
    <s v="No"/>
    <x v="2"/>
    <s v="Online Fulfillment"/>
    <s v="Credit Card"/>
    <s v="C0023"/>
    <s v="Ryan Gagnon"/>
    <s v="Ottawa"/>
    <s v="Small Business"/>
    <s v="Vacuum"/>
    <x v="3"/>
    <n v="186.94"/>
    <n v="279.27"/>
    <n v="55.853999999999999"/>
    <n v="223.416"/>
    <n v="186.94"/>
    <n v="36.475999999999999"/>
    <n v="0.16326494073835357"/>
    <n v="0"/>
    <n v="2025"/>
    <n v="3"/>
    <s v="mars"/>
    <s v="Q1"/>
    <d v="2025-03-01T00:00:00"/>
    <x v="1"/>
  </r>
  <r>
    <s v="ORD-2025-00192"/>
    <d v="2025-04-25T00:00:00"/>
    <s v="C0055"/>
    <s v="P1010"/>
    <s v="Sarah Scott, Surrey, Consumer"/>
    <s v="Vancouver West"/>
    <s v="R. Singh"/>
    <s v="Online"/>
    <n v="2"/>
    <n v="216.07"/>
    <n v="0.1"/>
    <s v="PayPal"/>
    <n v="9"/>
    <s v="No"/>
    <x v="2"/>
    <s v="Vancouver West"/>
    <s v="PayPal"/>
    <s v="C0055"/>
    <s v="Sarah Scott"/>
    <s v="Surrey"/>
    <s v="Consumer"/>
    <s v="Desk Lamp"/>
    <x v="1"/>
    <n v="127.21"/>
    <n v="432.14"/>
    <n v="43.213999999999999"/>
    <n v="388.92599999999999"/>
    <n v="254.42"/>
    <n v="134.506"/>
    <n v="0.34583956845261055"/>
    <n v="0"/>
    <n v="2025"/>
    <n v="4"/>
    <s v="avril"/>
    <s v="Q2"/>
    <d v="2025-04-01T00:00:00"/>
    <x v="3"/>
  </r>
  <r>
    <s v="ORD-2025-00193"/>
    <d v="2025-11-05T00:00:00"/>
    <s v="C0055"/>
    <s v="P1003"/>
    <s v="Sarah Scott, Surrey, Consumer"/>
    <s v="Vancouver West"/>
    <s v="N. Brown"/>
    <s v="Retail Store"/>
    <n v="3"/>
    <n v="163.24"/>
    <n v="0.2"/>
    <s v="Credit Card"/>
    <n v="1"/>
    <s v="No"/>
    <x v="0"/>
    <s v="Vancouver West"/>
    <s v="Credit Card"/>
    <s v="C0055"/>
    <s v="Sarah Scott"/>
    <s v="Surrey"/>
    <s v="Consumer"/>
    <s v="Mouse"/>
    <x v="0"/>
    <n v="106.4"/>
    <n v="489.72"/>
    <n v="97.944000000000017"/>
    <n v="391.77600000000001"/>
    <n v="319.20000000000005"/>
    <n v="72.575999999999965"/>
    <n v="0.18524871355060024"/>
    <n v="0"/>
    <n v="2025"/>
    <n v="11"/>
    <s v="novembre"/>
    <s v="Q4"/>
    <d v="2025-11-01T00:00:00"/>
    <x v="3"/>
  </r>
  <r>
    <s v="ORD-2025-00194"/>
    <d v="2025-11-01T00:00:00"/>
    <s v="C0108"/>
    <s v="P1004"/>
    <s v="Noah Lee, Surrey, Consumer"/>
    <s v="Online Fulfillment"/>
    <s v="L. Chen"/>
    <s v="Online"/>
    <n v="2"/>
    <n v="286.33"/>
    <n v="0"/>
    <s v="Credit Card"/>
    <n v="9"/>
    <s v="No"/>
    <x v="2"/>
    <s v="Online Fulfillment"/>
    <s v="Credit Card"/>
    <s v="C0108"/>
    <s v="Noah Lee"/>
    <s v="Surrey"/>
    <s v="Consumer"/>
    <s v="Webcam"/>
    <x v="0"/>
    <n v="154.72999999999999"/>
    <n v="572.66"/>
    <n v="0"/>
    <n v="572.66"/>
    <n v="309.45999999999998"/>
    <n v="263.2"/>
    <n v="0.45960954143820071"/>
    <n v="0"/>
    <n v="2025"/>
    <n v="11"/>
    <s v="novembre"/>
    <s v="Q4"/>
    <d v="2025-11-01T00:00:00"/>
    <x v="3"/>
  </r>
  <r>
    <s v="ORD-2025-00195"/>
    <d v="2025-10-10T00:00:00"/>
    <s v="C0089"/>
    <s v="P1023"/>
    <s v="Lucas Martin , Vancouver , Consumer"/>
    <s v="Toronto Downtown"/>
    <s v="J. Tremblay"/>
    <s v="Marketplace"/>
    <n v="2"/>
    <n v="332.58"/>
    <n v="0"/>
    <s v="PayPal"/>
    <n v="2"/>
    <s v="No"/>
    <x v="1"/>
    <s v="Toronto Downtown"/>
    <s v="PayPal"/>
    <s v="C0089"/>
    <s v="Lucas Martin"/>
    <s v="Vancouver"/>
    <s v="Consumer"/>
    <s v="Toaster"/>
    <x v="3"/>
    <n v="152.88"/>
    <n v="665.16"/>
    <n v="0"/>
    <n v="665.16"/>
    <n v="305.76"/>
    <n v="359.4"/>
    <n v="0.5403211257441819"/>
    <n v="0"/>
    <n v="2025"/>
    <n v="10"/>
    <s v="octobre"/>
    <s v="Q4"/>
    <d v="2025-10-01T00:00:00"/>
    <x v="3"/>
  </r>
  <r>
    <s v="ORD-2025-00196"/>
    <d v="2025-06-01T00:00:00"/>
    <s v="C0076"/>
    <s v="P1035"/>
    <s v="Maya Taylor, Saskatoon, Corporate"/>
    <s v="Toronto Downtown"/>
    <s v="R. Singh"/>
    <s v="Retail Store"/>
    <n v="5"/>
    <n v="88.5"/>
    <n v="0"/>
    <s v="Debit Card"/>
    <n v="4"/>
    <s v="No"/>
    <x v="0"/>
    <s v="Toronto Downtown"/>
    <s v="Debit Card"/>
    <s v="C0076"/>
    <s v="Maya Taylor"/>
    <s v="Saskatoon"/>
    <s v="Corporate"/>
    <s v="Phone Stand"/>
    <x v="4"/>
    <n v="59.85"/>
    <n v="442.5"/>
    <n v="0"/>
    <n v="442.5"/>
    <n v="299.25"/>
    <n v="143.25"/>
    <n v="0.32372881355932204"/>
    <n v="0"/>
    <n v="2025"/>
    <n v="6"/>
    <s v="juin"/>
    <s v="Q2"/>
    <d v="2025-06-01T00:00:00"/>
    <x v="5"/>
  </r>
  <r>
    <s v="ORD-2025-00197"/>
    <d v="2025-03-12T00:00:00"/>
    <s v="C0095"/>
    <s v="P1018"/>
    <s v="Maya White, Quebec City, Corporate"/>
    <s v="Montreal Central"/>
    <s v="L. Chen"/>
    <s v="Online"/>
    <n v="1"/>
    <n v="29.43"/>
    <n v="0"/>
    <s v="PayPal"/>
    <n v="6"/>
    <s v="No"/>
    <x v="2"/>
    <s v="Montreal Central"/>
    <s v="PayPal"/>
    <s v="C0095"/>
    <s v="Maya White"/>
    <s v="Quebec City"/>
    <s v="Corporate"/>
    <s v="Air Fryer"/>
    <x v="3"/>
    <n v="14.58"/>
    <n v="29.43"/>
    <n v="0"/>
    <n v="29.43"/>
    <n v="14.58"/>
    <n v="14.85"/>
    <n v="0.50458715596330272"/>
    <n v="0"/>
    <n v="2025"/>
    <n v="3"/>
    <s v="mars"/>
    <s v="Q1"/>
    <d v="2025-03-01T00:00:00"/>
    <x v="4"/>
  </r>
  <r>
    <s v="ORD-2025-00198"/>
    <d v="2025-12-01T00:00:00"/>
    <s v="C0094"/>
    <s v="P1002"/>
    <s v="Mia Singh, Quebec City, Consumer"/>
    <s v="Toronto Downtown"/>
    <s v="E. Roy"/>
    <s v="Retail Store"/>
    <n v="2"/>
    <n v="36.86"/>
    <n v="0.05"/>
    <s v="Credit Card"/>
    <n v="4"/>
    <s v="No"/>
    <x v="0"/>
    <s v="Toronto Downtown"/>
    <s v="Credit Card"/>
    <s v="C0094"/>
    <s v="Mia Singh"/>
    <s v="Quebec City"/>
    <s v="Consumer"/>
    <s v="Keyboard"/>
    <x v="0"/>
    <n v="23.5"/>
    <n v="73.72"/>
    <n v="3.6859999999999999"/>
    <n v="70.033999999999992"/>
    <n v="47"/>
    <n v="23.033999999999992"/>
    <n v="0.32889739269497664"/>
    <n v="0"/>
    <n v="2025"/>
    <n v="12"/>
    <s v="décembre"/>
    <s v="Q4"/>
    <d v="2025-12-01T00:00:00"/>
    <x v="4"/>
  </r>
  <r>
    <s v="ORD-2025-00199"/>
    <d v="2025-05-13T00:00:00"/>
    <s v="C0003"/>
    <s v="P1036"/>
    <s v="Amelia Young, Ottawa, Corporate"/>
    <s v="Online Fulfillment"/>
    <s v="J. Tremblay"/>
    <s v="Online"/>
    <n v="3"/>
    <n v="163.46"/>
    <n v="0.05"/>
    <s v="PayPal"/>
    <n v="3"/>
    <s v="No"/>
    <x v="2"/>
    <s v="Online Fulfillment"/>
    <s v="PayPal"/>
    <s v="C0003"/>
    <s v="Amelia Young"/>
    <s v="Ottawa"/>
    <s v="Corporate"/>
    <s v="Power Bank"/>
    <x v="4"/>
    <n v="76.97"/>
    <n v="490.38"/>
    <n v="24.519000000000002"/>
    <n v="465.86099999999999"/>
    <n v="230.91"/>
    <n v="234.95099999999999"/>
    <n v="0.50433713060333452"/>
    <n v="0"/>
    <n v="2025"/>
    <n v="5"/>
    <s v="mai"/>
    <s v="Q2"/>
    <d v="2025-05-01T00:00:00"/>
    <x v="1"/>
  </r>
  <r>
    <s v="ORD-2025-00200"/>
    <d v="2025-06-04T00:00:00"/>
    <s v="C0087"/>
    <s v="P1015"/>
    <s v="Daniel Johnson, Halifax, Consumer"/>
    <s v="Toronto Downtown"/>
    <s v="J. Tremblay"/>
    <s v="Online"/>
    <n v="2"/>
    <n v="388.34"/>
    <n v="0.05"/>
    <s v="PayPal"/>
    <n v="5"/>
    <s v="Yes"/>
    <x v="2"/>
    <s v="Toronto Downtown"/>
    <s v="PayPal"/>
    <s v="C0087"/>
    <s v="Daniel Johnson"/>
    <s v="Halifax"/>
    <s v="Consumer"/>
    <s v="Desk Organizer"/>
    <x v="1"/>
    <n v="235.76"/>
    <n v="776.68"/>
    <n v="38.834000000000003"/>
    <n v="737.846"/>
    <n v="471.52"/>
    <n v="266.32600000000002"/>
    <n v="0.36095065908062118"/>
    <n v="1"/>
    <n v="2025"/>
    <n v="6"/>
    <s v="juin"/>
    <s v="Q2"/>
    <d v="2025-06-01T00:00:00"/>
    <x v="2"/>
  </r>
  <r>
    <s v="ORD-2025-00201"/>
    <d v="2025-02-03T00:00:00"/>
    <s v="C0057"/>
    <s v="P1024"/>
    <s v="Adam Khan, Edmonton, Small Business"/>
    <s v="Vancouver West"/>
    <s v="M. Wilson"/>
    <s v="Online"/>
    <n v="1"/>
    <n v="105.22"/>
    <n v="0.15"/>
    <s v="Credit Card"/>
    <n v="5"/>
    <s v="No"/>
    <x v="2"/>
    <s v="Vancouver West"/>
    <s v="Credit Card"/>
    <s v="C0057"/>
    <s v="Adam Khan"/>
    <s v="Edmonton"/>
    <s v="Small Business"/>
    <s v="Food Scale"/>
    <x v="3"/>
    <n v="46.07"/>
    <n v="105.22"/>
    <n v="15.782999999999999"/>
    <n v="89.436999999999998"/>
    <n v="46.07"/>
    <n v="43.366999999999997"/>
    <n v="0.48488880440980803"/>
    <n v="0"/>
    <n v="2025"/>
    <n v="2"/>
    <s v="février"/>
    <s v="Q1"/>
    <d v="2025-02-01T00:00:00"/>
    <x v="0"/>
  </r>
  <r>
    <s v="ORD-2025-00202"/>
    <d v="2025-01-18T00:00:00"/>
    <s v="C0029"/>
    <s v="P1010"/>
    <s v="Olivia White, Victoria, Consumer"/>
    <s v="Calgary North"/>
    <s v="J. Tremblay"/>
    <s v="Online"/>
    <n v="1"/>
    <n v="211.08"/>
    <n v="0.05"/>
    <s v="Credit Card"/>
    <n v="4"/>
    <s v="No"/>
    <x v="2"/>
    <s v="Calgary North"/>
    <s v="Credit Card"/>
    <s v="C0029"/>
    <s v="Olivia White"/>
    <s v="Victoria"/>
    <s v="Consumer"/>
    <s v="Desk Lamp"/>
    <x v="1"/>
    <n v="127.21"/>
    <n v="211.08"/>
    <n v="10.554000000000002"/>
    <n v="200.52600000000001"/>
    <n v="127.21"/>
    <n v="73.316000000000017"/>
    <n v="0.36561842354607388"/>
    <n v="0"/>
    <n v="2025"/>
    <n v="1"/>
    <s v="janvier"/>
    <s v="Q1"/>
    <d v="2025-01-01T00:00:00"/>
    <x v="3"/>
  </r>
  <r>
    <s v="ORD-2025-00203"/>
    <d v="2025-03-08T00:00:00"/>
    <s v="C0120"/>
    <s v="P1012"/>
    <s v="Ethan King, Mississauga, Small Business"/>
    <s v="Toronto Downtown"/>
    <s v="L. Chen"/>
    <s v="Marketplace"/>
    <n v="3"/>
    <n v="79.849999999999994"/>
    <n v="0.05"/>
    <s v="Debit Card"/>
    <n v="7"/>
    <s v="No"/>
    <x v="1"/>
    <s v="Toronto Downtown"/>
    <s v="Debit Card"/>
    <s v="C0120"/>
    <s v="Ethan King"/>
    <s v="Mississauga"/>
    <s v="Small Business"/>
    <s v="Standing Desk"/>
    <x v="1"/>
    <n v="45.17"/>
    <n v="239.54999999999998"/>
    <n v="11.977499999999999"/>
    <n v="227.57249999999999"/>
    <n v="135.51"/>
    <n v="92.0625"/>
    <n v="0.4045414098803678"/>
    <n v="0"/>
    <n v="2025"/>
    <n v="3"/>
    <s v="mars"/>
    <s v="Q1"/>
    <d v="2025-03-01T00:00:00"/>
    <x v="1"/>
  </r>
  <r>
    <s v="ORD-2025-00204"/>
    <d v="2025-04-18T00:00:00"/>
    <s v="C0009"/>
    <s v="P1039"/>
    <s v="Ethan Tremblay, Mississauga, Corporate"/>
    <s v="Montreal Central"/>
    <s v="M. Wilson"/>
    <s v="Online"/>
    <n v="3"/>
    <n v="342.66"/>
    <n v="0"/>
    <s v="Credit Card"/>
    <n v="2"/>
    <s v="No"/>
    <x v="2"/>
    <s v="Montreal Central"/>
    <s v="Credit Card"/>
    <s v="C0009"/>
    <s v="Ethan Tremblay"/>
    <s v="Mississauga"/>
    <s v="Corporate"/>
    <s v="Travel Adapter"/>
    <x v="4"/>
    <n v="229.86"/>
    <n v="1027.98"/>
    <n v="0"/>
    <n v="1027.98"/>
    <n v="689.58"/>
    <n v="338.4"/>
    <n v="0.32918928383820695"/>
    <n v="0"/>
    <n v="2025"/>
    <n v="4"/>
    <s v="avril"/>
    <s v="Q2"/>
    <d v="2025-04-01T00:00:00"/>
    <x v="1"/>
  </r>
  <r>
    <s v="ORD-2025-00205"/>
    <d v="2025-07-06T00:00:00"/>
    <s v="C0020"/>
    <s v="P1032"/>
    <s v="Nora Khan, Mississauga, Consumer"/>
    <s v="Montreal Central"/>
    <s v="E. Roy"/>
    <s v="Online"/>
    <n v="1"/>
    <n v="206.56"/>
    <n v="0.2"/>
    <s v="Credit Card"/>
    <n v="7"/>
    <s v="No"/>
    <x v="2"/>
    <s v="Montreal Central"/>
    <s v="Credit Card"/>
    <s v="C0020"/>
    <s v="Nora Khan"/>
    <s v="Mississauga"/>
    <s v="Consumer"/>
    <s v="Gym Bag"/>
    <x v="2"/>
    <n v="132.72"/>
    <n v="206.56"/>
    <n v="41.312000000000005"/>
    <n v="165.24799999999999"/>
    <n v="132.72"/>
    <n v="32.527999999999992"/>
    <n v="0.1968435321456235"/>
    <n v="0"/>
    <n v="2025"/>
    <n v="7"/>
    <s v="juillet"/>
    <s v="Q3"/>
    <d v="2025-07-01T00:00:00"/>
    <x v="1"/>
  </r>
  <r>
    <s v="ORD-2025-00206"/>
    <d v="2025-04-27T00:00:00"/>
    <s v="C0066"/>
    <s v="P1023"/>
    <s v="Noah Clark, Laval, Consumer"/>
    <s v="Online Fulfillment"/>
    <s v="J. Tremblay"/>
    <s v="Retail Store"/>
    <n v="1"/>
    <n v="328.44"/>
    <n v="0"/>
    <s v="Credit Card"/>
    <n v="2"/>
    <s v="No"/>
    <x v="0"/>
    <s v="Online Fulfillment"/>
    <s v="Credit Card"/>
    <s v="C0066"/>
    <s v="Noah Clark"/>
    <s v="Laval"/>
    <s v="Consumer"/>
    <s v="Toaster"/>
    <x v="3"/>
    <n v="152.88"/>
    <n v="328.44"/>
    <n v="0"/>
    <n v="328.44"/>
    <n v="152.88"/>
    <n v="175.56"/>
    <n v="0.53452685421994883"/>
    <n v="0"/>
    <n v="2025"/>
    <n v="4"/>
    <s v="avril"/>
    <s v="Q2"/>
    <d v="2025-04-01T00:00:00"/>
    <x v="4"/>
  </r>
  <r>
    <s v="ORD-2025-00207"/>
    <d v="2025-01-09T00:00:00"/>
    <s v="C0070"/>
    <s v="P1010"/>
    <s v="Sophia Young, Halifax, Corporate"/>
    <s v="Vancouver West"/>
    <s v="S. Patel"/>
    <s v="Online"/>
    <n v="4"/>
    <n v="215.38"/>
    <n v="0"/>
    <s v="Credit Card"/>
    <n v="3"/>
    <s v="Yes"/>
    <x v="2"/>
    <s v="Vancouver West"/>
    <s v="Credit Card"/>
    <s v="C0070"/>
    <s v="Sophia Young"/>
    <s v="Halifax"/>
    <s v="Corporate"/>
    <s v="Desk Lamp"/>
    <x v="1"/>
    <n v="127.21"/>
    <n v="861.52"/>
    <n v="0"/>
    <n v="861.52"/>
    <n v="508.84"/>
    <n v="352.68"/>
    <n v="0.40936948648899624"/>
    <n v="1"/>
    <n v="2025"/>
    <n v="1"/>
    <s v="janvier"/>
    <s v="Q1"/>
    <d v="2025-01-01T00:00:00"/>
    <x v="2"/>
  </r>
  <r>
    <s v="ORD-2025-00208"/>
    <d v="2025-08-26T00:00:00"/>
    <s v="C0035"/>
    <s v="P1001"/>
    <s v="Amelia Scott, Edmonton, Small Business"/>
    <s v="Montreal Central"/>
    <s v="L. Chen"/>
    <s v="Online"/>
    <n v="1"/>
    <n v="376.44"/>
    <n v="0"/>
    <s v="Credit Card"/>
    <n v="1"/>
    <s v="No"/>
    <x v="2"/>
    <s v="Montreal Central"/>
    <s v="Credit Card"/>
    <s v="C0035"/>
    <s v="Amelia Scott"/>
    <s v="Edmonton"/>
    <s v="Small Business"/>
    <s v="Headphones"/>
    <x v="0"/>
    <n v="254.6"/>
    <n v="376.44"/>
    <n v="0"/>
    <n v="376.44"/>
    <n v="254.6"/>
    <n v="121.84"/>
    <n v="0.32366379768356179"/>
    <n v="0"/>
    <n v="2025"/>
    <n v="8"/>
    <s v="août"/>
    <s v="Q3"/>
    <d v="2025-08-01T00:00:00"/>
    <x v="0"/>
  </r>
  <r>
    <s v="ORD-2025-00209"/>
    <d v="2025-01-13T00:00:00"/>
    <s v="C0052"/>
    <s v="P1018"/>
    <s v="Liam Bennett, Edmonton, Corporate"/>
    <s v="Vancouver  West"/>
    <s v="E. Roy"/>
    <s v="Retail Store"/>
    <n v="2"/>
    <n v="29.86"/>
    <n v="0.1"/>
    <s v="Debit Card"/>
    <n v="3"/>
    <s v="No"/>
    <x v="0"/>
    <s v="Vancouver West"/>
    <s v="Debit Card"/>
    <s v="C0052"/>
    <s v="Liam Bennett"/>
    <s v="Edmonton"/>
    <s v="Corporate"/>
    <s v="Air Fryer"/>
    <x v="3"/>
    <n v="14.58"/>
    <n v="59.72"/>
    <n v="5.9720000000000004"/>
    <n v="53.747999999999998"/>
    <n v="29.16"/>
    <n v="24.587999999999997"/>
    <n v="0.45746818486269253"/>
    <n v="0"/>
    <n v="2025"/>
    <n v="1"/>
    <s v="janvier"/>
    <s v="Q1"/>
    <d v="2025-01-01T00:00:00"/>
    <x v="0"/>
  </r>
  <r>
    <s v="ORD-2025-00210"/>
    <d v="2025-03-02T00:00:00"/>
    <s v="C0048"/>
    <s v="P1028"/>
    <s v="Amelia Brown, Quebec City, Corporate"/>
    <s v="Toronto Downtown"/>
    <s v="S. Patel"/>
    <s v="Retail Store"/>
    <n v="3"/>
    <n v="377.43"/>
    <n v="0.1"/>
    <s v="Credit Card"/>
    <n v="2"/>
    <s v="No"/>
    <x v="0"/>
    <s v="Toronto Downtown"/>
    <s v="Credit Card"/>
    <s v="C0048"/>
    <s v="Amelia Brown"/>
    <s v="Quebec City"/>
    <s v="Corporate"/>
    <s v="Foam Roller"/>
    <x v="2"/>
    <n v="212.02"/>
    <n v="1132.29"/>
    <n v="113.229"/>
    <n v="1019.0609999999999"/>
    <n v="636.06000000000006"/>
    <n v="383.00099999999986"/>
    <n v="0.375837167745601"/>
    <n v="0"/>
    <n v="2025"/>
    <n v="3"/>
    <s v="mars"/>
    <s v="Q1"/>
    <d v="2025-03-01T00:00:00"/>
    <x v="4"/>
  </r>
  <r>
    <s v="ORD-2025-00211"/>
    <d v="2025-02-12T00:00:00"/>
    <s v="C0009"/>
    <s v="P1017"/>
    <s v="Ethan Tremblay, Mississauga, Corporate"/>
    <s v="Montreal Central"/>
    <s v="E. Roy"/>
    <s v="Online"/>
    <n v="2"/>
    <n v="349.44"/>
    <n v="0.05"/>
    <s v="Debit Card"/>
    <n v="1"/>
    <s v="No"/>
    <x v="2"/>
    <s v="Montreal Central"/>
    <s v="Debit Card"/>
    <s v="C0009"/>
    <s v="Ethan Tremblay"/>
    <s v="Mississauga"/>
    <s v="Corporate"/>
    <s v="Coffee Maker"/>
    <x v="3"/>
    <n v="241.16"/>
    <n v="698.88"/>
    <n v="34.944000000000003"/>
    <n v="663.93600000000004"/>
    <n v="482.32"/>
    <n v="181.61600000000004"/>
    <n v="0.27354443801812228"/>
    <n v="0"/>
    <n v="2025"/>
    <n v="2"/>
    <s v="février"/>
    <s v="Q1"/>
    <d v="2025-02-01T00:00:00"/>
    <x v="1"/>
  </r>
  <r>
    <s v="ORD-2025-00212"/>
    <d v="2025-11-29T00:00:00"/>
    <s v="C0099"/>
    <s v="P1028"/>
    <s v="Amine Gagnon, Laval, Small Business"/>
    <s v="Online Fulfillment"/>
    <s v="N. Brown"/>
    <s v="Online"/>
    <n v="1"/>
    <n v="371.09"/>
    <n v="0"/>
    <s v="Debit Card"/>
    <n v="9"/>
    <s v="No"/>
    <x v="2"/>
    <s v="Online Fulfillment"/>
    <s v="Debit Card"/>
    <s v="C0099"/>
    <s v="Amine Gagnon"/>
    <s v="Laval"/>
    <s v="Small Business"/>
    <s v="Foam Roller"/>
    <x v="2"/>
    <n v="212.02"/>
    <n v="371.09"/>
    <n v="0"/>
    <n v="371.09"/>
    <n v="212.02"/>
    <n v="159.06999999999996"/>
    <n v="0.42865612115659268"/>
    <n v="0"/>
    <n v="2025"/>
    <n v="11"/>
    <s v="novembre"/>
    <s v="Q4"/>
    <d v="2025-11-01T00:00:00"/>
    <x v="4"/>
  </r>
  <r>
    <s v="ORD-2025-00213"/>
    <d v="2025-08-29T00:00:00"/>
    <s v="C0087"/>
    <s v="P1002"/>
    <s v="Daniel Johnson, Halifax, Consumer"/>
    <s v="Toronto Downtown"/>
    <s v="N. Brown"/>
    <s v="Online"/>
    <n v="2"/>
    <n v="37.97"/>
    <n v="0.1"/>
    <s v="PayPal"/>
    <n v="7"/>
    <s v="No"/>
    <x v="2"/>
    <s v="Toronto Downtown"/>
    <s v="PayPal"/>
    <s v="C0087"/>
    <s v="Daniel Johnson"/>
    <s v="Halifax"/>
    <s v="Consumer"/>
    <s v="Keyboard"/>
    <x v="0"/>
    <n v="23.5"/>
    <n v="75.94"/>
    <n v="7.5940000000000003"/>
    <n v="68.346000000000004"/>
    <n v="47"/>
    <n v="21.346000000000004"/>
    <n v="0.31232259386065025"/>
    <n v="0"/>
    <n v="2025"/>
    <n v="8"/>
    <s v="août"/>
    <s v="Q3"/>
    <d v="2025-08-01T00:00:00"/>
    <x v="2"/>
  </r>
  <r>
    <s v="ORD-2025-00214"/>
    <d v="2025-09-06T00:00:00"/>
    <s v="C0055"/>
    <s v="P1033"/>
    <s v="Sarah Scott, Surrey, Consumer"/>
    <s v="Calgary North"/>
    <s v="N. Brown"/>
    <s v="Online"/>
    <n v="1"/>
    <n v="313.10000000000002"/>
    <n v="0"/>
    <s v="Credit Card"/>
    <n v="8"/>
    <s v="No"/>
    <x v="2"/>
    <s v="Calgary North"/>
    <s v="Credit Card"/>
    <s v="C0055"/>
    <s v="Sarah Scott"/>
    <s v="Surrey"/>
    <s v="Consumer"/>
    <s v="Backpack"/>
    <x v="4"/>
    <n v="152.55000000000001"/>
    <n v="313.10000000000002"/>
    <n v="0"/>
    <n v="313.10000000000002"/>
    <n v="152.55000000000001"/>
    <n v="160.55000000000001"/>
    <n v="0.51277547109549659"/>
    <n v="0"/>
    <n v="2025"/>
    <n v="9"/>
    <s v="septembre"/>
    <s v="Q3"/>
    <d v="2025-09-01T00:00:00"/>
    <x v="3"/>
  </r>
  <r>
    <s v="ORD-2025-00215"/>
    <d v="2025-05-18T00:00:00"/>
    <s v="C0031"/>
    <s v="P1035"/>
    <s v="Leo Gagnon , Surrey , Small Business"/>
    <s v="Online Fulfillment"/>
    <s v="L. Chen"/>
    <s v="Marketplace"/>
    <n v="1"/>
    <n v="88.17"/>
    <n v="0.15"/>
    <s v="Debit Card"/>
    <n v="1"/>
    <s v="No"/>
    <x v="1"/>
    <s v="Online Fulfillment"/>
    <s v="Debit Card"/>
    <s v="C0031"/>
    <s v="Leo Gagnon"/>
    <s v="Surrey"/>
    <s v="Small Business"/>
    <s v="Phone Stand"/>
    <x v="4"/>
    <n v="59.85"/>
    <n v="88.17"/>
    <n v="13.2255"/>
    <n v="74.944500000000005"/>
    <n v="59.85"/>
    <n v="15.094500000000004"/>
    <n v="0.20140904269159182"/>
    <n v="0"/>
    <n v="2025"/>
    <n v="5"/>
    <s v="mai"/>
    <s v="Q2"/>
    <d v="2025-05-01T00:00:00"/>
    <x v="3"/>
  </r>
  <r>
    <s v="ORD-2025-00216"/>
    <d v="2025-01-09T00:00:00"/>
    <s v="C0029"/>
    <s v="P1019"/>
    <s v="Olivia White , Victoria , Consumer"/>
    <s v="Montreal Central"/>
    <s v="N. Brown"/>
    <s v="Retail Store"/>
    <n v="4"/>
    <n v="263.74"/>
    <n v="0"/>
    <s v="Debit Card"/>
    <n v="1"/>
    <s v="Yes"/>
    <x v="0"/>
    <s v="Montreal Central"/>
    <s v="Debit Card"/>
    <s v="C0029"/>
    <s v="Olivia White"/>
    <s v="Victoria"/>
    <s v="Consumer"/>
    <s v="Vacuum"/>
    <x v="3"/>
    <n v="186.94"/>
    <n v="1054.96"/>
    <n v="0"/>
    <n v="1054.96"/>
    <n v="747.76"/>
    <n v="307.20000000000005"/>
    <n v="0.29119587472510811"/>
    <n v="1"/>
    <n v="2025"/>
    <n v="1"/>
    <s v="janvier"/>
    <s v="Q1"/>
    <d v="2025-01-01T00:00:00"/>
    <x v="3"/>
  </r>
  <r>
    <s v="ORD-2025-00217"/>
    <d v="2025-09-05T00:00:00"/>
    <s v="C0086"/>
    <s v="P1005"/>
    <s v="Adam Gagnon, Winnipeg, Consumer"/>
    <s v="Montreal  Central"/>
    <s v="E. Roy"/>
    <s v="Online"/>
    <n v="2"/>
    <n v="240.06"/>
    <n v="0.05"/>
    <s v="Debit Card"/>
    <n v="8"/>
    <s v="No"/>
    <x v="2"/>
    <s v="Montreal Central"/>
    <s v="Debit Card"/>
    <s v="C0086"/>
    <s v="Adam Gagnon"/>
    <s v="Winnipeg"/>
    <s v="Consumer"/>
    <s v="Portable SSD"/>
    <x v="0"/>
    <n v="131.19"/>
    <n v="480.12"/>
    <n v="24.006"/>
    <n v="456.11400000000003"/>
    <n v="262.38"/>
    <n v="193.73400000000004"/>
    <n v="0.42474907588892258"/>
    <n v="0"/>
    <n v="2025"/>
    <n v="9"/>
    <s v="septembre"/>
    <s v="Q3"/>
    <d v="2025-09-01T00:00:00"/>
    <x v="6"/>
  </r>
  <r>
    <s v="ORD-2025-00218"/>
    <d v="2025-11-13T00:00:00"/>
    <s v="C0090"/>
    <s v="P1039"/>
    <s v="Nora Young, Montreal, Small Business"/>
    <s v="Calgary North"/>
    <s v="L. Chen"/>
    <s v="Online"/>
    <n v="4"/>
    <n v="359.78"/>
    <n v="0.05"/>
    <s v="Credit Card"/>
    <n v="3"/>
    <s v="No"/>
    <x v="2"/>
    <s v="Calgary North"/>
    <s v="Credit Card"/>
    <s v="C0090"/>
    <s v="Nora Young"/>
    <s v="Montreal"/>
    <s v="Small Business"/>
    <s v="Travel Adapter"/>
    <x v="4"/>
    <n v="229.86"/>
    <n v="1439.12"/>
    <n v="71.956000000000003"/>
    <n v="1367.164"/>
    <n v="919.44"/>
    <n v="447.72399999999993"/>
    <n v="0.32748375469219487"/>
    <n v="0"/>
    <n v="2025"/>
    <n v="11"/>
    <s v="novembre"/>
    <s v="Q4"/>
    <d v="2025-11-01T00:00:00"/>
    <x v="4"/>
  </r>
  <r>
    <s v="ORD-2025-00219"/>
    <d v="2025-10-18T00:00:00"/>
    <s v="C0027"/>
    <s v="P1040"/>
    <s v="Nora Wilson, Toronto, Small Business"/>
    <s v="Calgary North"/>
    <s v="R. Singh"/>
    <s v="Online"/>
    <n v="2"/>
    <n v="303.27"/>
    <n v="0"/>
    <s v="Credit Card"/>
    <n v="1"/>
    <s v="No"/>
    <x v="2"/>
    <s v="Calgary North"/>
    <s v="Credit Card"/>
    <s v="C0027"/>
    <s v="Nora Wilson"/>
    <s v="Toronto"/>
    <s v="Small Business"/>
    <s v="Desk Pad"/>
    <x v="4"/>
    <n v="177.57"/>
    <n v="606.54"/>
    <n v="0"/>
    <n v="606.54"/>
    <n v="355.14"/>
    <n v="251.39999999999998"/>
    <n v="0.41448214462360272"/>
    <n v="0"/>
    <n v="2025"/>
    <n v="10"/>
    <s v="octobre"/>
    <s v="Q4"/>
    <d v="2025-10-01T00:00:00"/>
    <x v="1"/>
  </r>
  <r>
    <s v="ORD-2025-00220"/>
    <d v="2025-06-12T00:00:00"/>
    <s v="C0004"/>
    <s v="P1036"/>
    <s v="Mia Bennett, Laval, Consumer"/>
    <s v="Calgary North"/>
    <s v="A. Morgan"/>
    <s v="Online"/>
    <n v="1"/>
    <n v="152.16"/>
    <n v="0.15"/>
    <s v="PayPal"/>
    <n v="4"/>
    <s v="No"/>
    <x v="2"/>
    <s v="Calgary North"/>
    <s v="PayPal"/>
    <s v="C0004"/>
    <s v="Mia Bennett"/>
    <s v="Laval"/>
    <s v="Consumer"/>
    <s v="Power Bank"/>
    <x v="4"/>
    <n v="76.97"/>
    <n v="152.16"/>
    <n v="22.823999999999998"/>
    <n v="129.33600000000001"/>
    <n v="76.97"/>
    <n v="52.366000000000014"/>
    <n v="0.40488340446588739"/>
    <n v="0"/>
    <n v="2025"/>
    <n v="6"/>
    <s v="juin"/>
    <s v="Q2"/>
    <d v="2025-06-01T00:00:00"/>
    <x v="4"/>
  </r>
  <r>
    <s v="ORD-2025-00221"/>
    <d v="2025-06-15T00:00:00"/>
    <s v="C0109"/>
    <s v="P1036"/>
    <s v="Emma Wilson, Victoria, Consumer"/>
    <s v="Toronto Downtown"/>
    <s v="R. Singh"/>
    <s v="Retail Store"/>
    <n v="1"/>
    <n v="159.88"/>
    <n v="0"/>
    <s v="Credit Card"/>
    <n v="4"/>
    <s v="No"/>
    <x v="0"/>
    <s v="Toronto Downtown"/>
    <s v="Credit Card"/>
    <s v="C0109"/>
    <s v="Emma Wilson"/>
    <s v="Victoria"/>
    <s v="Consumer"/>
    <s v="Power Bank"/>
    <x v="4"/>
    <n v="76.97"/>
    <n v="159.88"/>
    <n v="0"/>
    <n v="159.88"/>
    <n v="76.97"/>
    <n v="82.91"/>
    <n v="0.51857643232424322"/>
    <n v="0"/>
    <n v="2025"/>
    <n v="6"/>
    <s v="juin"/>
    <s v="Q2"/>
    <d v="2025-06-01T00:00:00"/>
    <x v="3"/>
  </r>
  <r>
    <s v="ORD-2025-00222"/>
    <d v="2025-08-18T00:00:00"/>
    <s v="C0075"/>
    <s v="P1036"/>
    <s v="Amelia Wilson, Vancouver, Consumer"/>
    <s v="Calgary North"/>
    <s v="S. Patel"/>
    <s v="Online"/>
    <n v="3"/>
    <n v="166.23"/>
    <n v="0"/>
    <s v="Credit Card"/>
    <n v="7"/>
    <s v="No"/>
    <x v="2"/>
    <s v="Calgary North"/>
    <s v="Credit Card"/>
    <s v="C0075"/>
    <s v="Amelia Wilson"/>
    <s v="Vancouver"/>
    <s v="Consumer"/>
    <s v="Power Bank"/>
    <x v="4"/>
    <n v="76.97"/>
    <n v="498.68999999999994"/>
    <n v="0"/>
    <n v="498.68999999999994"/>
    <n v="230.91"/>
    <n v="267.77999999999997"/>
    <n v="0.53696685315526682"/>
    <n v="0"/>
    <n v="2025"/>
    <n v="8"/>
    <s v="août"/>
    <s v="Q3"/>
    <d v="2025-08-01T00:00:00"/>
    <x v="3"/>
  </r>
  <r>
    <s v="ORD-2025-00223"/>
    <d v="2025-01-19T00:00:00"/>
    <s v="C0067"/>
    <s v="P1028"/>
    <s v="Leo Bennett, Mississauga, Consumer"/>
    <s v="Vancouver West"/>
    <s v="M. Wilson"/>
    <s v="Online"/>
    <n v="1"/>
    <n v="360.28"/>
    <n v="0.2"/>
    <s v="Credit Card"/>
    <n v="3"/>
    <s v="No"/>
    <x v="2"/>
    <s v="Vancouver West"/>
    <s v="Credit Card"/>
    <s v="C0067"/>
    <s v="Leo Bennett"/>
    <s v="Mississauga"/>
    <s v="Consumer"/>
    <s v="Foam Roller"/>
    <x v="2"/>
    <n v="212.02"/>
    <n v="360.28"/>
    <n v="72.055999999999997"/>
    <n v="288.22399999999999"/>
    <n v="212.02"/>
    <n v="76.203999999999979"/>
    <n v="0.26439158432330401"/>
    <n v="0"/>
    <n v="2025"/>
    <n v="1"/>
    <s v="janvier"/>
    <s v="Q1"/>
    <d v="2025-01-01T00:00:00"/>
    <x v="1"/>
  </r>
  <r>
    <s v="ORD-2025-00224"/>
    <d v="2025-02-03T00:00:00"/>
    <s v="C0075"/>
    <s v="P1032"/>
    <s v="Amelia Wilson, Vancouver, Consumer"/>
    <s v="Montreal Central"/>
    <s v="R. Singh"/>
    <s v="Online"/>
    <n v="3"/>
    <n v="210.42"/>
    <n v="0.2"/>
    <s v="Credit Card"/>
    <n v="5"/>
    <s v="No"/>
    <x v="2"/>
    <s v="Montreal Central"/>
    <s v="Credit Card"/>
    <s v="C0075"/>
    <s v="Amelia Wilson"/>
    <s v="Vancouver"/>
    <s v="Consumer"/>
    <s v="Gym Bag"/>
    <x v="2"/>
    <n v="132.72"/>
    <n v="631.26"/>
    <n v="126.25200000000001"/>
    <n v="505.00799999999998"/>
    <n v="398.15999999999997"/>
    <n v="106.84800000000001"/>
    <n v="0.21157684630738527"/>
    <n v="0"/>
    <n v="2025"/>
    <n v="2"/>
    <s v="février"/>
    <s v="Q1"/>
    <d v="2025-02-01T00:00:00"/>
    <x v="3"/>
  </r>
  <r>
    <s v="ORD-2025-00225"/>
    <d v="2025-06-12T00:00:00"/>
    <s v="C0016"/>
    <s v="P1030"/>
    <s v="Nora Singh, Calgary, Consumer"/>
    <s v="Montreal Central"/>
    <s v="E. Roy"/>
    <s v="Online"/>
    <n v="3"/>
    <n v="231.45"/>
    <n v="0"/>
    <s v="Credit Card"/>
    <n v="5"/>
    <s v="No"/>
    <x v="2"/>
    <s v="Montreal Central"/>
    <s v="Credit Card"/>
    <s v="C0016"/>
    <s v="Nora Singh"/>
    <s v="Calgary"/>
    <s v="Consumer"/>
    <s v="Pull-up Bar"/>
    <x v="2"/>
    <n v="125.4"/>
    <n v="694.34999999999991"/>
    <n v="0"/>
    <n v="694.34999999999991"/>
    <n v="376.20000000000005"/>
    <n v="318.14999999999986"/>
    <n v="0.45819831497083591"/>
    <n v="0"/>
    <n v="2025"/>
    <n v="6"/>
    <s v="juin"/>
    <s v="Q2"/>
    <d v="2025-06-01T00:00:00"/>
    <x v="0"/>
  </r>
  <r>
    <s v="ORD-2025-00226"/>
    <d v="2025-05-30T00:00:00"/>
    <s v="C0109"/>
    <s v="P1027"/>
    <s v="Emma Wilson, Victoria, Consumer"/>
    <s v="Vancouver West"/>
    <s v="N. Brown"/>
    <s v="Online"/>
    <n v="1"/>
    <n v="55.31"/>
    <n v="0"/>
    <s v="Debit Card"/>
    <n v="2"/>
    <s v="No"/>
    <x v="2"/>
    <s v="Vancouver West"/>
    <s v="Debit Card"/>
    <s v="C0109"/>
    <s v="Emma Wilson"/>
    <s v="Victoria"/>
    <s v="Consumer"/>
    <s v="Kettlebell"/>
    <x v="2"/>
    <n v="25.97"/>
    <n v="55.31"/>
    <n v="0"/>
    <n v="55.31"/>
    <n v="25.97"/>
    <n v="29.340000000000003"/>
    <n v="0.5304646537696619"/>
    <n v="0"/>
    <n v="2025"/>
    <n v="5"/>
    <s v="mai"/>
    <s v="Q2"/>
    <d v="2025-05-01T00:00:00"/>
    <x v="3"/>
  </r>
  <r>
    <s v="ORD-2025-00227"/>
    <d v="2025-08-28T00:00:00"/>
    <s v="C0083"/>
    <s v="P1025"/>
    <s v="Amine King, Edmonton, Consumer"/>
    <s v="Toronto Downtown"/>
    <s v="M. Wilson"/>
    <s v="Online"/>
    <n v="2"/>
    <n v="304.89"/>
    <n v="0"/>
    <s v="Credit Card"/>
    <n v="5"/>
    <s v="No"/>
    <x v="2"/>
    <s v="Toronto Downtown"/>
    <s v="Credit Card"/>
    <s v="C0083"/>
    <s v="Amine King"/>
    <s v="Edmonton"/>
    <s v="Consumer"/>
    <s v="Yoga Mat"/>
    <x v="2"/>
    <n v="197.33"/>
    <n v="609.78"/>
    <n v="0"/>
    <n v="609.78"/>
    <n v="394.66"/>
    <n v="215.11999999999995"/>
    <n v="0.35278297090754035"/>
    <n v="0"/>
    <n v="2025"/>
    <n v="8"/>
    <s v="août"/>
    <s v="Q3"/>
    <d v="2025-08-01T00:00:00"/>
    <x v="0"/>
  </r>
  <r>
    <s v="ORD-2025-00228"/>
    <d v="2025-07-24T00:00:00"/>
    <s v="C0045"/>
    <s v="P1008"/>
    <s v="Lucas Chen, Ottawa, Corporate"/>
    <s v="Vancouver West"/>
    <s v="L. Chen"/>
    <s v="Marketplace"/>
    <n v="4"/>
    <n v="138.33000000000001"/>
    <n v="0.2"/>
    <s v="Credit Card"/>
    <n v="8"/>
    <s v="No"/>
    <x v="1"/>
    <s v="Vancouver West"/>
    <s v="Credit Card"/>
    <s v="C0045"/>
    <s v="Lucas Chen"/>
    <s v="Ottawa"/>
    <s v="Corporate"/>
    <s v="Smart Speaker"/>
    <x v="0"/>
    <n v="69"/>
    <n v="553.32000000000005"/>
    <n v="110.66400000000002"/>
    <n v="442.65600000000006"/>
    <n v="276"/>
    <n v="166.65600000000006"/>
    <n v="0.37649099978312739"/>
    <n v="0"/>
    <n v="2025"/>
    <n v="7"/>
    <s v="juillet"/>
    <s v="Q3"/>
    <d v="2025-07-01T00:00:00"/>
    <x v="1"/>
  </r>
  <r>
    <s v="ORD-2025-00229"/>
    <d v="2025-09-23T00:00:00"/>
    <s v="C0051"/>
    <s v="P1018"/>
    <s v="Daniel Brown, Vancouver, Small Business"/>
    <s v="Montreal Central"/>
    <s v="A. Morgan"/>
    <s v="Online"/>
    <n v="1"/>
    <n v="30.43"/>
    <n v="0.25"/>
    <s v="Debit Card"/>
    <n v="9"/>
    <s v="Yes"/>
    <x v="2"/>
    <s v="Montreal Central"/>
    <s v="Debit Card"/>
    <s v="C0051"/>
    <s v="Daniel Brown"/>
    <s v="Vancouver"/>
    <s v="Small Business"/>
    <s v="Air Fryer"/>
    <x v="3"/>
    <n v="14.58"/>
    <n v="30.43"/>
    <n v="7.6074999999999999"/>
    <n v="22.822499999999998"/>
    <n v="14.58"/>
    <n v="8.2424999999999979"/>
    <n v="0.36115675320407487"/>
    <n v="1"/>
    <n v="2025"/>
    <n v="9"/>
    <s v="septembre"/>
    <s v="Q3"/>
    <d v="2025-09-01T00:00:00"/>
    <x v="3"/>
  </r>
  <r>
    <s v="ORD-2025-00230"/>
    <d v="2025-01-08T00:00:00"/>
    <s v="C0060"/>
    <s v="P1029"/>
    <s v="Sarah Wilson , Quebec City , Corporate"/>
    <s v="Montreal Central"/>
    <s v="M. Wilson"/>
    <s v="Online"/>
    <n v="1"/>
    <n v="212.95"/>
    <n v="0.15"/>
    <s v="Debit Card"/>
    <n v="7"/>
    <s v="No"/>
    <x v="2"/>
    <s v="Montreal Central"/>
    <s v="Debit Card"/>
    <s v="C0060"/>
    <s v="Sarah Wilson"/>
    <s v="Quebec City"/>
    <s v="Corporate"/>
    <s v="Jump Rope"/>
    <x v="2"/>
    <n v="101"/>
    <n v="212.95"/>
    <n v="31.942499999999995"/>
    <n v="181.00749999999999"/>
    <n v="101"/>
    <n v="80.007499999999993"/>
    <n v="0.44201207132301146"/>
    <n v="0"/>
    <n v="2025"/>
    <n v="1"/>
    <s v="janvier"/>
    <s v="Q1"/>
    <d v="2025-01-01T00:00:00"/>
    <x v="4"/>
  </r>
  <r>
    <s v="ORD-2025-00231"/>
    <d v="2025-02-24T00:00:00"/>
    <s v="C0110"/>
    <s v="P1023"/>
    <s v="Sarah Smith , Laval , Consumer"/>
    <s v="Calgary North"/>
    <s v="L. Chen"/>
    <s v="Online"/>
    <n v="5"/>
    <n v="340.28"/>
    <n v="0"/>
    <s v="Debit Card"/>
    <n v="4"/>
    <s v="No"/>
    <x v="2"/>
    <s v="Calgary North"/>
    <s v="Debit Card"/>
    <s v="C0110"/>
    <s v="Sarah Smith"/>
    <s v="Laval"/>
    <s v="Consumer"/>
    <s v="Toaster"/>
    <x v="3"/>
    <n v="152.88"/>
    <n v="1701.3999999999999"/>
    <n v="0"/>
    <n v="1701.3999999999999"/>
    <n v="764.4"/>
    <n v="936.99999999999989"/>
    <n v="0.55072293405430817"/>
    <n v="0"/>
    <n v="2025"/>
    <n v="2"/>
    <s v="février"/>
    <s v="Q1"/>
    <d v="2025-02-01T00:00:00"/>
    <x v="4"/>
  </r>
  <r>
    <s v="ORD-2025-00232"/>
    <d v="2025-05-25T00:00:00"/>
    <s v="C0056"/>
    <s v="P1008"/>
    <s v="Sarah Wilson, Halifax, Consumer"/>
    <s v="Montreal Central"/>
    <s v="J. Tremblay"/>
    <s v="Online"/>
    <n v="1"/>
    <n v="141.15"/>
    <n v="0.1"/>
    <s v="Gift Card"/>
    <n v="9"/>
    <s v="No"/>
    <x v="2"/>
    <s v="Montreal Central"/>
    <s v="Gift Card"/>
    <s v="C0056"/>
    <s v="Sarah Wilson"/>
    <s v="Halifax"/>
    <s v="Consumer"/>
    <s v="Smart Speaker"/>
    <x v="0"/>
    <n v="69"/>
    <n v="141.15"/>
    <n v="14.115000000000002"/>
    <n v="127.035"/>
    <n v="69"/>
    <n v="58.034999999999997"/>
    <n v="0.45684260243240049"/>
    <n v="0"/>
    <n v="2025"/>
    <n v="5"/>
    <s v="mai"/>
    <s v="Q2"/>
    <d v="2025-05-01T00:00:00"/>
    <x v="2"/>
  </r>
  <r>
    <s v="ORD-2025-00233"/>
    <d v="2025-01-27T00:00:00"/>
    <s v="C0086"/>
    <s v="P1027"/>
    <s v="Adam Gagnon, Winnipeg, Consumer"/>
    <s v="Montreal Central"/>
    <s v="M. Wilson"/>
    <s v="Online"/>
    <n v="3"/>
    <n v="55.19"/>
    <n v="0.1"/>
    <s v="Credit Card"/>
    <n v="1"/>
    <s v="No"/>
    <x v="2"/>
    <s v="Montreal Central"/>
    <s v="Credit Card"/>
    <s v="C0086"/>
    <s v="Adam Gagnon"/>
    <s v="Winnipeg"/>
    <s v="Consumer"/>
    <s v="Kettlebell"/>
    <x v="2"/>
    <n v="25.97"/>
    <n v="165.57"/>
    <n v="16.556999999999999"/>
    <n v="149.01300000000001"/>
    <n v="77.91"/>
    <n v="71.103000000000009"/>
    <n v="0.47715971089770698"/>
    <n v="0"/>
    <n v="2025"/>
    <n v="1"/>
    <s v="janvier"/>
    <s v="Q1"/>
    <d v="2025-01-01T00:00:00"/>
    <x v="6"/>
  </r>
  <r>
    <s v="ORD-2025-00234"/>
    <d v="2025-05-03T00:00:00"/>
    <s v="C0118"/>
    <s v="P1025"/>
    <s v="Ryan Smith, Victoria, Small Business"/>
    <s v="Online Fulfillment"/>
    <s v="N. Brown"/>
    <s v="Online"/>
    <n v="1"/>
    <n v="297.98"/>
    <n v="0.1"/>
    <s v="Credit Card"/>
    <n v="7"/>
    <s v="No"/>
    <x v="2"/>
    <s v="Online Fulfillment"/>
    <s v="Credit Card"/>
    <s v="C0118"/>
    <s v="Ryan Smith"/>
    <s v="Victoria"/>
    <s v="Small Business"/>
    <s v="Yoga Mat"/>
    <x v="2"/>
    <n v="197.33"/>
    <n v="297.98"/>
    <n v="29.798000000000002"/>
    <n v="268.18200000000002"/>
    <n v="197.33"/>
    <n v="70.852000000000004"/>
    <n v="0.26419371919069884"/>
    <n v="0"/>
    <n v="2025"/>
    <n v="5"/>
    <s v="mai"/>
    <s v="Q2"/>
    <d v="2025-05-01T00:00:00"/>
    <x v="3"/>
  </r>
  <r>
    <s v="ORD-2025-00235"/>
    <d v="2025-06-26T00:00:00"/>
    <s v="C0090"/>
    <s v="P1023"/>
    <s v="Nora Young, Montreal, Small Business"/>
    <s v="Toronto Downtown"/>
    <s v="S. Patel"/>
    <s v="Retail Store"/>
    <n v="1"/>
    <n v="338.18"/>
    <n v="0.15"/>
    <s v="Debit Card"/>
    <n v="1"/>
    <s v="No"/>
    <x v="0"/>
    <s v="Toronto Downtown"/>
    <s v="Debit Card"/>
    <s v="C0090"/>
    <s v="Nora Young"/>
    <s v="Montreal"/>
    <s v="Small Business"/>
    <s v="Toaster"/>
    <x v="3"/>
    <n v="152.88"/>
    <n v="338.18"/>
    <n v="50.726999999999997"/>
    <n v="287.45300000000003"/>
    <n v="152.88"/>
    <n v="134.57300000000004"/>
    <n v="0.46815653341589764"/>
    <n v="0"/>
    <n v="2025"/>
    <n v="6"/>
    <s v="juin"/>
    <s v="Q2"/>
    <d v="2025-06-01T00:00:00"/>
    <x v="4"/>
  </r>
  <r>
    <s v="ORD-2025-00236"/>
    <d v="2025-03-03T00:00:00"/>
    <s v="C0058"/>
    <s v="P1018"/>
    <s v="Mia Singh, Laval, Consumer"/>
    <s v="Calgary North"/>
    <s v="N. Brown"/>
    <s v="Online"/>
    <n v="1"/>
    <n v="29.8"/>
    <n v="0.2"/>
    <s v="Credit Card"/>
    <n v="7"/>
    <s v="No"/>
    <x v="2"/>
    <s v="Calgary North"/>
    <s v="Credit Card"/>
    <s v="C0058"/>
    <s v="Mia Singh"/>
    <s v="Laval"/>
    <s v="Consumer"/>
    <s v="Air Fryer"/>
    <x v="3"/>
    <n v="14.58"/>
    <n v="29.8"/>
    <n v="5.9600000000000009"/>
    <n v="23.84"/>
    <n v="14.58"/>
    <n v="9.26"/>
    <n v="0.38842281879194629"/>
    <n v="0"/>
    <n v="2025"/>
    <n v="3"/>
    <s v="mars"/>
    <s v="Q1"/>
    <d v="2025-03-01T00:00:00"/>
    <x v="4"/>
  </r>
  <r>
    <s v="ORD-2025-00237"/>
    <d v="2025-06-26T00:00:00"/>
    <s v="C0082"/>
    <s v="P1002"/>
    <s v="Ryan King, Winnipeg, Small Business"/>
    <s v="Online Fulfillment"/>
    <s v="J. Tremblay"/>
    <s v="Online"/>
    <n v="1"/>
    <n v="40.01"/>
    <n v="0"/>
    <s v="Gift Card"/>
    <n v="8"/>
    <s v="No"/>
    <x v="2"/>
    <s v="Online Fulfillment"/>
    <s v="Gift Card"/>
    <s v="C0082"/>
    <s v="Ryan King"/>
    <s v="Winnipeg"/>
    <s v="Small Business"/>
    <s v="Keyboard"/>
    <x v="0"/>
    <n v="23.5"/>
    <n v="40.01"/>
    <n v="0"/>
    <n v="40.01"/>
    <n v="23.5"/>
    <n v="16.509999999999998"/>
    <n v="0.41264683829042736"/>
    <n v="0"/>
    <n v="2025"/>
    <n v="6"/>
    <s v="juin"/>
    <s v="Q2"/>
    <d v="2025-06-01T00:00:00"/>
    <x v="6"/>
  </r>
  <r>
    <s v="ORD-2025-00238"/>
    <d v="2025-04-05T00:00:00"/>
    <s v="C0003"/>
    <s v="P1005"/>
    <s v="Amelia Young, Ottawa, Corporate"/>
    <s v="Toronto Downtown"/>
    <s v="R. Singh"/>
    <s v="Online"/>
    <n v="4"/>
    <n v="236.6"/>
    <n v="0.1"/>
    <s v="PayPal"/>
    <n v="2"/>
    <s v="No"/>
    <x v="2"/>
    <s v="Toronto Downtown"/>
    <s v="PayPal"/>
    <s v="C0003"/>
    <s v="Amelia Young"/>
    <s v="Ottawa"/>
    <s v="Corporate"/>
    <s v="Portable SSD"/>
    <x v="0"/>
    <n v="131.19"/>
    <n v="946.4"/>
    <n v="94.64"/>
    <n v="851.76"/>
    <n v="524.76"/>
    <n v="327"/>
    <n v="0.38391096083403775"/>
    <n v="0"/>
    <n v="2025"/>
    <n v="4"/>
    <s v="avril"/>
    <s v="Q2"/>
    <d v="2025-04-01T00:00:00"/>
    <x v="1"/>
  </r>
  <r>
    <s v="ORD-2025-00239"/>
    <d v="2025-09-27T00:00:00"/>
    <s v="C0031"/>
    <s v="P1024"/>
    <s v="Leo Gagnon, Surrey, Small Business"/>
    <s v="Vancouver West"/>
    <s v="R. Singh"/>
    <s v="Retail Store"/>
    <n v="1"/>
    <n v="97.2"/>
    <n v="0.15"/>
    <s v="Debit Card"/>
    <n v="3"/>
    <s v="No"/>
    <x v="0"/>
    <s v="Vancouver West"/>
    <s v="Debit Card"/>
    <s v="C0031"/>
    <s v="Leo Gagnon"/>
    <s v="Surrey"/>
    <s v="Small Business"/>
    <s v="Food Scale"/>
    <x v="3"/>
    <n v="46.07"/>
    <n v="97.2"/>
    <n v="14.58"/>
    <n v="82.62"/>
    <n v="46.07"/>
    <n v="36.550000000000004"/>
    <n v="0.4423868312757202"/>
    <n v="0"/>
    <n v="2025"/>
    <n v="9"/>
    <s v="septembre"/>
    <s v="Q3"/>
    <d v="2025-09-01T00:00:00"/>
    <x v="3"/>
  </r>
  <r>
    <s v="ORD-2025-00240"/>
    <d v="2025-05-31T00:00:00"/>
    <s v="C0082"/>
    <s v="P1029"/>
    <s v="Ryan King, Winnipeg, Small Business"/>
    <s v="Montreal Central"/>
    <s v="E. Roy"/>
    <s v="Retail Store"/>
    <n v="1"/>
    <n v="213.45"/>
    <n v="0.1"/>
    <s v="PayPal"/>
    <n v="0"/>
    <s v="No"/>
    <x v="0"/>
    <s v="Montreal Central"/>
    <s v="PayPal"/>
    <s v="C0082"/>
    <s v="Ryan King"/>
    <s v="Winnipeg"/>
    <s v="Small Business"/>
    <s v="Jump Rope"/>
    <x v="2"/>
    <n v="101"/>
    <n v="213.45"/>
    <n v="21.344999999999999"/>
    <n v="192.10499999999999"/>
    <n v="101"/>
    <n v="91.10499999999999"/>
    <n v="0.47424585513130835"/>
    <n v="0"/>
    <n v="2025"/>
    <n v="5"/>
    <s v="mai"/>
    <s v="Q2"/>
    <d v="2025-05-01T00:00:00"/>
    <x v="6"/>
  </r>
  <r>
    <s v="ORD-2025-00241"/>
    <d v="2025-11-13T00:00:00"/>
    <s v="C0062"/>
    <s v="P1035"/>
    <s v="Yasmine Scott, Toronto, Consumer"/>
    <s v="Toronto Downtown"/>
    <s v="E. Roy"/>
    <s v="Retail Store"/>
    <n v="1"/>
    <n v="85.67"/>
    <n v="0.2"/>
    <s v="Credit Card"/>
    <n v="1"/>
    <s v="No"/>
    <x v="0"/>
    <s v="Toronto Downtown"/>
    <s v="Credit Card"/>
    <s v="C0062"/>
    <s v="Yasmine Scott"/>
    <s v="Toronto"/>
    <s v="Consumer"/>
    <s v="Phone Stand"/>
    <x v="4"/>
    <n v="59.85"/>
    <n v="85.67"/>
    <n v="17.134"/>
    <n v="68.536000000000001"/>
    <n v="59.85"/>
    <n v="8.6859999999999999"/>
    <n v="0.12673631376211042"/>
    <n v="0"/>
    <n v="2025"/>
    <n v="11"/>
    <s v="novembre"/>
    <s v="Q4"/>
    <d v="2025-11-01T00:00:00"/>
    <x v="1"/>
  </r>
  <r>
    <s v="ORD-2025-00242"/>
    <d v="2025-06-07T00:00:00"/>
    <s v="C0038"/>
    <s v="P1035"/>
    <s v="Noah Brown, Montreal, Consumer"/>
    <s v="Montreal Central"/>
    <s v="A. Morgan"/>
    <s v="Online"/>
    <n v="1"/>
    <n v="86.15"/>
    <n v="0.15"/>
    <s v="Debit Card"/>
    <n v="1"/>
    <s v="No"/>
    <x v="2"/>
    <s v="Montreal Central"/>
    <s v="Debit Card"/>
    <s v="C0038"/>
    <s v="Noah Brown"/>
    <s v="Montreal"/>
    <s v="Consumer"/>
    <s v="Phone Stand"/>
    <x v="4"/>
    <n v="59.85"/>
    <n v="86.15"/>
    <n v="12.922500000000001"/>
    <n v="73.227500000000006"/>
    <n v="59.85"/>
    <n v="13.377500000000005"/>
    <n v="0.18268410091837087"/>
    <n v="0"/>
    <n v="2025"/>
    <n v="6"/>
    <s v="juin"/>
    <s v="Q2"/>
    <d v="2025-06-01T00:00:00"/>
    <x v="4"/>
  </r>
  <r>
    <s v="ORD-2025-00243"/>
    <d v="2025-10-24T00:00:00"/>
    <s v="C0113"/>
    <s v="P1026"/>
    <s v="Olivia Johnson , Surrey , Consumer"/>
    <s v="Calgary North"/>
    <s v="E. Roy"/>
    <s v="Online"/>
    <n v="2"/>
    <n v="217.71"/>
    <n v="0.05"/>
    <s v="Credit Card"/>
    <n v="4"/>
    <s v="No"/>
    <x v="2"/>
    <s v="Calgary North"/>
    <s v="Credit Card"/>
    <s v="C0113"/>
    <s v="Olivia Johnson"/>
    <s v="Surrey"/>
    <s v="Consumer"/>
    <s v="Resistance Bands"/>
    <x v="2"/>
    <n v="139.19999999999999"/>
    <n v="435.42"/>
    <n v="21.771000000000001"/>
    <n v="413.649"/>
    <n v="278.39999999999998"/>
    <n v="135.24900000000002"/>
    <n v="0.32696561577569394"/>
    <n v="0"/>
    <n v="2025"/>
    <n v="10"/>
    <s v="octobre"/>
    <s v="Q4"/>
    <d v="2025-10-01T00:00:00"/>
    <x v="3"/>
  </r>
  <r>
    <s v="ORD-2025-00245"/>
    <d v="2025-07-12T00:00:00"/>
    <s v="C0109"/>
    <s v="P1017"/>
    <s v="Emma Wilson, Victoria, Consumer"/>
    <s v="Vancouver West"/>
    <s v="R. Singh"/>
    <s v="Retail Store"/>
    <n v="2"/>
    <n v="373.3"/>
    <n v="0"/>
    <s v="Credit Card"/>
    <n v="4"/>
    <s v="Yes"/>
    <x v="0"/>
    <s v="Vancouver West"/>
    <s v="Credit Card"/>
    <s v="C0109"/>
    <s v="Emma Wilson"/>
    <s v="Victoria"/>
    <s v="Consumer"/>
    <s v="Coffee Maker"/>
    <x v="3"/>
    <n v="241.16"/>
    <n v="746.6"/>
    <n v="0"/>
    <n v="746.6"/>
    <n v="482.32"/>
    <n v="264.28000000000003"/>
    <n v="0.35397803375301368"/>
    <n v="1"/>
    <n v="2025"/>
    <n v="7"/>
    <s v="juillet"/>
    <s v="Q3"/>
    <d v="2025-07-01T00:00:00"/>
    <x v="3"/>
  </r>
  <r>
    <s v="ORD-2025-00246"/>
    <d v="2025-12-22T00:00:00"/>
    <s v="C0033"/>
    <s v="P1007"/>
    <s v="Maya Hall, Winnipeg, Consumer"/>
    <s v="Toronto Downtown"/>
    <s v="M. Wilson"/>
    <s v="Online"/>
    <n v="1"/>
    <n v="359.5"/>
    <n v="0"/>
    <s v="PayPal"/>
    <n v="2"/>
    <s v="No"/>
    <x v="2"/>
    <s v="Toronto Downtown"/>
    <s v="PayPal"/>
    <s v="C0033"/>
    <s v="Maya Hall"/>
    <s v="Winnipeg"/>
    <s v="Consumer"/>
    <s v="Monitor"/>
    <x v="0"/>
    <n v="224.47"/>
    <n v="359.5"/>
    <n v="0"/>
    <n v="359.5"/>
    <n v="224.47"/>
    <n v="135.03"/>
    <n v="0.37560500695410293"/>
    <n v="0"/>
    <n v="2025"/>
    <n v="12"/>
    <s v="décembre"/>
    <s v="Q4"/>
    <d v="2025-12-01T00:00:00"/>
    <x v="6"/>
  </r>
  <r>
    <s v="ORD-2025-00247"/>
    <d v="2025-03-27T00:00:00"/>
    <s v="C0083"/>
    <s v="P1022"/>
    <s v="Amine King, Edmonton, Consumer"/>
    <s v="Montreal Central"/>
    <s v="N. Brown"/>
    <s v="Retail Store"/>
    <n v="2"/>
    <n v="416.38"/>
    <n v="0.1"/>
    <s v="Credit Card"/>
    <n v="4"/>
    <s v="No"/>
    <x v="0"/>
    <s v="Montreal Central"/>
    <s v="Credit Card"/>
    <s v="C0083"/>
    <s v="Amine King"/>
    <s v="Edmonton"/>
    <s v="Consumer"/>
    <s v="Humidifier"/>
    <x v="3"/>
    <n v="239.67"/>
    <n v="832.76"/>
    <n v="83.27600000000001"/>
    <n v="749.48399999999992"/>
    <n v="479.34"/>
    <n v="270.14399999999995"/>
    <n v="0.36043998270810312"/>
    <n v="0"/>
    <n v="2025"/>
    <n v="3"/>
    <s v="mars"/>
    <s v="Q1"/>
    <d v="2025-03-01T00:00:00"/>
    <x v="0"/>
  </r>
  <r>
    <s v="ORD-2025-00248"/>
    <d v="2025-03-13T00:00:00"/>
    <s v="C0109"/>
    <s v="P1027"/>
    <s v="Emma Wilson , Victoria , Consumer"/>
    <s v="Montreal Central"/>
    <s v="S. Patel"/>
    <s v="Retail Store"/>
    <n v="3"/>
    <n v="58.01"/>
    <n v="0"/>
    <s v="Debit Card"/>
    <n v="3"/>
    <s v="No"/>
    <x v="0"/>
    <s v="Montreal Central"/>
    <s v="Debit Card"/>
    <s v="C0109"/>
    <s v="Emma Wilson"/>
    <s v="Victoria"/>
    <s v="Consumer"/>
    <s v="Kettlebell"/>
    <x v="2"/>
    <n v="25.97"/>
    <n v="174.03"/>
    <n v="0"/>
    <n v="174.03"/>
    <n v="77.91"/>
    <n v="96.12"/>
    <n v="0.55231856576452343"/>
    <n v="0"/>
    <n v="2025"/>
    <n v="3"/>
    <s v="mars"/>
    <s v="Q1"/>
    <d v="2025-03-01T00:00:00"/>
    <x v="3"/>
  </r>
  <r>
    <s v="ORD-2025-00249"/>
    <d v="2025-07-26T00:00:00"/>
    <s v="C0024"/>
    <s v="P1035"/>
    <s v="Ryan King, Mississauga, Consumer"/>
    <s v="Montreal Central"/>
    <s v="A. Morgan"/>
    <s v="Online"/>
    <n v="2"/>
    <n v="83.7"/>
    <n v="0.05"/>
    <s v="Credit  Card"/>
    <n v="1"/>
    <s v="No"/>
    <x v="2"/>
    <s v="Montreal Central"/>
    <s v="Credit Card"/>
    <s v="C0024"/>
    <s v="Ryan King"/>
    <s v="Mississauga"/>
    <s v="Consumer"/>
    <s v="Phone Stand"/>
    <x v="4"/>
    <n v="59.85"/>
    <n v="167.4"/>
    <n v="8.370000000000001"/>
    <n v="159.03"/>
    <n v="119.7"/>
    <n v="39.33"/>
    <n v="0.24731182795698922"/>
    <n v="0"/>
    <n v="2025"/>
    <n v="7"/>
    <s v="juillet"/>
    <s v="Q3"/>
    <d v="2025-07-01T00:00:00"/>
    <x v="1"/>
  </r>
  <r>
    <s v="ORD-2025-00250"/>
    <d v="2025-07-04T00:00:00"/>
    <s v="C0104"/>
    <s v="P1015"/>
    <s v="Ava Scott, Edmonton, Corporate"/>
    <s v="Toronto Downtown"/>
    <s v="A. Morgan"/>
    <s v="Marketplace"/>
    <n v="1"/>
    <n v="385.1"/>
    <n v="0.1"/>
    <s v="Credit Card"/>
    <n v="3"/>
    <s v="No"/>
    <x v="1"/>
    <s v="Toronto Downtown"/>
    <s v="Credit Card"/>
    <s v="C0104"/>
    <s v="Ava Scott"/>
    <s v="Edmonton"/>
    <s v="Corporate"/>
    <s v="Desk Organizer"/>
    <x v="1"/>
    <n v="235.76"/>
    <n v="385.1"/>
    <n v="38.510000000000005"/>
    <n v="346.59000000000003"/>
    <n v="235.76"/>
    <n v="110.83000000000004"/>
    <n v="0.31977264202660211"/>
    <n v="0"/>
    <n v="2025"/>
    <n v="7"/>
    <s v="juillet"/>
    <s v="Q3"/>
    <d v="2025-07-01T00:00:00"/>
    <x v="0"/>
  </r>
  <r>
    <s v="ORD-2025-00251"/>
    <d v="2025-08-15T00:00:00"/>
    <s v="C0083"/>
    <s v="P1021"/>
    <s v="Amine King, Edmonton, Consumer"/>
    <s v="Online Fulfillment"/>
    <s v="R. Singh"/>
    <s v="Online"/>
    <n v="1"/>
    <n v="296.18"/>
    <n v="0"/>
    <s v="Credit Card"/>
    <n v="4"/>
    <s v="No"/>
    <x v="2"/>
    <s v="Online Fulfillment"/>
    <s v="Credit Card"/>
    <s v="C0083"/>
    <s v="Amine King"/>
    <s v="Edmonton"/>
    <s v="Consumer"/>
    <s v="Kettle"/>
    <x v="3"/>
    <n v="139.86000000000001"/>
    <n v="296.18"/>
    <n v="0"/>
    <n v="296.18"/>
    <n v="139.86000000000001"/>
    <n v="156.32"/>
    <n v="0.52778715645891006"/>
    <n v="0"/>
    <n v="2025"/>
    <n v="8"/>
    <s v="août"/>
    <s v="Q3"/>
    <d v="2025-08-01T00:00:00"/>
    <x v="0"/>
  </r>
  <r>
    <s v="ORD-2025-00252"/>
    <d v="2025-04-29T00:00:00"/>
    <s v="C0080"/>
    <s v="P1037"/>
    <s v="Sarah Smith, Mississauga, Corporate"/>
    <s v="Vancouver West"/>
    <s v="A. Morgan"/>
    <s v="Retail Store"/>
    <n v="2"/>
    <n v="352.88"/>
    <n v="0.15"/>
    <s v="Credit Card"/>
    <n v="2"/>
    <s v="No"/>
    <x v="0"/>
    <s v="Vancouver West"/>
    <s v="Credit Card"/>
    <s v="C0080"/>
    <s v="Sarah Smith"/>
    <s v="Mississauga"/>
    <s v="Corporate"/>
    <s v="Cable Set"/>
    <x v="4"/>
    <n v="200.16"/>
    <n v="705.76"/>
    <n v="105.86399999999999"/>
    <n v="599.89599999999996"/>
    <n v="400.32"/>
    <n v="199.57599999999996"/>
    <n v="0.33268433195087144"/>
    <n v="0"/>
    <n v="2025"/>
    <n v="4"/>
    <s v="avril"/>
    <s v="Q2"/>
    <d v="2025-04-01T00:00:00"/>
    <x v="1"/>
  </r>
  <r>
    <s v="ORD-2025-00253"/>
    <d v="2025-02-03T00:00:00"/>
    <s v="C0055"/>
    <s v="P1002"/>
    <s v="Sarah Scott, Surrey, Consumer"/>
    <s v="Calgary North"/>
    <s v="N. Brown"/>
    <s v="Marketplace"/>
    <n v="3"/>
    <n v="36.1"/>
    <n v="0"/>
    <s v="Credit Card"/>
    <n v="8"/>
    <s v="No"/>
    <x v="1"/>
    <s v="Calgary North"/>
    <s v="Credit Card"/>
    <s v="C0055"/>
    <s v="Sarah Scott"/>
    <s v="Surrey"/>
    <s v="Consumer"/>
    <s v="Keyboard"/>
    <x v="0"/>
    <n v="23.5"/>
    <n v="108.30000000000001"/>
    <n v="0"/>
    <n v="108.30000000000001"/>
    <n v="70.5"/>
    <n v="37.800000000000011"/>
    <n v="0.34903047091412748"/>
    <n v="0"/>
    <n v="2025"/>
    <n v="2"/>
    <s v="février"/>
    <s v="Q1"/>
    <d v="2025-02-01T00:00:00"/>
    <x v="3"/>
  </r>
  <r>
    <s v="ORD-2025-00254"/>
    <d v="2025-06-21T00:00:00"/>
    <s v="C0011"/>
    <s v="P1006"/>
    <s v="Ethan Hall, Quebec City, Consumer"/>
    <s v="Calgary North"/>
    <s v="J. Tremblay"/>
    <s v="Retail Store"/>
    <n v="1"/>
    <n v="101.87"/>
    <n v="0.1"/>
    <s v="Debit Card"/>
    <n v="2"/>
    <s v="No"/>
    <x v="0"/>
    <s v="Calgary North"/>
    <s v="Debit Card"/>
    <s v="C0011"/>
    <s v="Ethan Hall"/>
    <s v="Quebec City"/>
    <s v="Consumer"/>
    <s v="USB-C Hub"/>
    <x v="0"/>
    <n v="72"/>
    <n v="101.87"/>
    <n v="10.187000000000001"/>
    <n v="91.683000000000007"/>
    <n v="72"/>
    <n v="19.683000000000007"/>
    <n v="0.21468538333169732"/>
    <n v="0"/>
    <n v="2025"/>
    <n v="6"/>
    <s v="juin"/>
    <s v="Q2"/>
    <d v="2025-06-01T00:00:00"/>
    <x v="4"/>
  </r>
  <r>
    <s v="ORD-2025-00255"/>
    <d v="2025-12-29T00:00:00"/>
    <s v="C0050"/>
    <s v="P1039"/>
    <s v="Sarah Singh, Mississauga, Consumer"/>
    <s v="Calgary North"/>
    <s v="E. Roy"/>
    <s v="Online"/>
    <n v="2"/>
    <n v="349.83"/>
    <n v="0"/>
    <s v="Debit Card"/>
    <n v="4"/>
    <s v="No"/>
    <x v="2"/>
    <s v="Calgary North"/>
    <s v="Debit Card"/>
    <s v="C0050"/>
    <s v="Sarah Singh"/>
    <s v="Mississauga"/>
    <s v="Consumer"/>
    <s v="Travel Adapter"/>
    <x v="4"/>
    <n v="229.86"/>
    <n v="699.66"/>
    <n v="0"/>
    <n v="699.66"/>
    <n v="459.72"/>
    <n v="239.93999999999994"/>
    <n v="0.34293799845639306"/>
    <n v="0"/>
    <n v="2025"/>
    <n v="12"/>
    <s v="décembre"/>
    <s v="Q4"/>
    <d v="2025-12-01T00:00:00"/>
    <x v="1"/>
  </r>
  <r>
    <s v="ORD-2025-00256"/>
    <d v="2025-05-09T00:00:00"/>
    <s v="C0051"/>
    <s v="P1037"/>
    <s v="Daniel Brown, Vancouver, Small Business"/>
    <s v="Vancouver West"/>
    <s v="L. Chen"/>
    <s v="Online"/>
    <n v="1"/>
    <n v="343.83"/>
    <n v="0"/>
    <s v="Debit  Card"/>
    <n v="6"/>
    <s v="No"/>
    <x v="2"/>
    <s v="Vancouver West"/>
    <s v="Debit Card"/>
    <s v="C0051"/>
    <s v="Daniel Brown"/>
    <s v="Vancouver"/>
    <s v="Small Business"/>
    <s v="Cable Set"/>
    <x v="4"/>
    <n v="200.16"/>
    <n v="343.83"/>
    <n v="0"/>
    <n v="343.83"/>
    <n v="200.16"/>
    <n v="143.66999999999999"/>
    <n v="0.41785184538870951"/>
    <n v="0"/>
    <n v="2025"/>
    <n v="5"/>
    <s v="mai"/>
    <s v="Q2"/>
    <d v="2025-05-01T00:00:00"/>
    <x v="3"/>
  </r>
  <r>
    <s v="ORD-2025-00257"/>
    <d v="2025-06-30T00:00:00"/>
    <s v="C0092"/>
    <s v="P1026"/>
    <s v="Lucas Tremblay, Saskatoon, Consumer"/>
    <s v="Vancouver West"/>
    <s v="R. Singh"/>
    <s v="Online"/>
    <n v="5"/>
    <n v="214.13"/>
    <n v="0.15"/>
    <s v="Credit Card"/>
    <n v="3"/>
    <s v="No"/>
    <x v="2"/>
    <s v="Vancouver West"/>
    <s v="Credit Card"/>
    <s v="C0092"/>
    <s v="Lucas Tremblay"/>
    <s v="Saskatoon"/>
    <s v="Consumer"/>
    <s v="Resistance Bands"/>
    <x v="2"/>
    <n v="139.19999999999999"/>
    <n v="1070.6500000000001"/>
    <n v="160.5975"/>
    <n v="910.05250000000012"/>
    <n v="696"/>
    <n v="214.05250000000012"/>
    <n v="0.23520895772496653"/>
    <n v="0"/>
    <n v="2025"/>
    <n v="6"/>
    <s v="juin"/>
    <s v="Q2"/>
    <d v="2025-06-01T00:00:00"/>
    <x v="5"/>
  </r>
  <r>
    <s v="ORD-2025-00258"/>
    <d v="2025-06-09T00:00:00"/>
    <s v="C0114"/>
    <s v="P1009"/>
    <s v="Olivia Johnson, Ottawa, Consumer"/>
    <s v="Online Fulfillment"/>
    <s v="M. Wilson"/>
    <s v="Online"/>
    <n v="2"/>
    <n v="278.27"/>
    <n v="0.2"/>
    <s v="Debit Card"/>
    <n v="5"/>
    <s v="No"/>
    <x v="2"/>
    <s v="Online Fulfillment"/>
    <s v="Debit Card"/>
    <s v="C0114"/>
    <s v="Olivia Johnson"/>
    <s v="Ottawa"/>
    <s v="Consumer"/>
    <s v="Notebook"/>
    <x v="1"/>
    <n v="176.13"/>
    <n v="556.54"/>
    <n v="111.30799999999999"/>
    <n v="445.23199999999997"/>
    <n v="352.26"/>
    <n v="92.97199999999998"/>
    <n v="0.20881697631796453"/>
    <n v="0"/>
    <n v="2025"/>
    <n v="6"/>
    <s v="juin"/>
    <s v="Q2"/>
    <d v="2025-06-01T00:00:00"/>
    <x v="1"/>
  </r>
  <r>
    <s v="ORD-2025-00259"/>
    <d v="2025-07-09T00:00:00"/>
    <s v="C0100"/>
    <s v="P1022"/>
    <s v="Yasmine Smith, Mississauga, Consumer"/>
    <s v="Online  Fulfillment"/>
    <s v="M. Wilson"/>
    <s v="Marketplace"/>
    <n v="3"/>
    <n v="404.74"/>
    <n v="0.05"/>
    <s v="Debit Card"/>
    <n v="3"/>
    <s v="Yes"/>
    <x v="1"/>
    <s v="Online Fulfillment"/>
    <s v="Debit Card"/>
    <s v="C0100"/>
    <s v="Yasmine Smith"/>
    <s v="Mississauga"/>
    <s v="Consumer"/>
    <s v="Humidifier"/>
    <x v="3"/>
    <n v="239.67"/>
    <n v="1214.22"/>
    <n v="60.711000000000006"/>
    <n v="1153.509"/>
    <n v="719.01"/>
    <n v="434.49900000000002"/>
    <n v="0.37667586468766173"/>
    <n v="1"/>
    <n v="2025"/>
    <n v="7"/>
    <s v="juillet"/>
    <s v="Q3"/>
    <d v="2025-07-01T00:00:00"/>
    <x v="1"/>
  </r>
  <r>
    <s v="ORD-2025-00260"/>
    <d v="2025-11-19T00:00:00"/>
    <s v="C0084"/>
    <s v="P1026"/>
    <s v="Ryan Clark, Montreal, Corporate"/>
    <s v="Toronto Downtown"/>
    <s v="L. Chen"/>
    <s v="Online"/>
    <n v="3"/>
    <n v="223.29"/>
    <n v="0.2"/>
    <s v="Debit Card"/>
    <n v="3"/>
    <s v="No"/>
    <x v="2"/>
    <s v="Toronto Downtown"/>
    <s v="Debit Card"/>
    <s v="C0084"/>
    <s v="Ryan Clark"/>
    <s v="Montreal"/>
    <s v="Corporate"/>
    <s v="Resistance Bands"/>
    <x v="2"/>
    <n v="139.19999999999999"/>
    <n v="669.87"/>
    <n v="133.97400000000002"/>
    <n v="535.89599999999996"/>
    <n v="417.59999999999997"/>
    <n v="118.29599999999999"/>
    <n v="0.22074432352546017"/>
    <n v="0"/>
    <n v="2025"/>
    <n v="11"/>
    <s v="novembre"/>
    <s v="Q4"/>
    <d v="2025-11-01T00:00:00"/>
    <x v="4"/>
  </r>
  <r>
    <s v="ORD-2025-00261"/>
    <d v="2025-05-03T00:00:00"/>
    <s v="C0080"/>
    <s v="P1033"/>
    <s v="Sarah Smith, Mississauga, Corporate"/>
    <s v="Vancouver West"/>
    <s v="M. Wilson"/>
    <s v="Retail  Store"/>
    <n v="1"/>
    <n v="293.24"/>
    <n v="0.1"/>
    <s v="PayPal"/>
    <n v="1"/>
    <s v="No"/>
    <x v="0"/>
    <s v="Vancouver West"/>
    <s v="PayPal"/>
    <s v="C0080"/>
    <s v="Sarah Smith"/>
    <s v="Mississauga"/>
    <s v="Corporate"/>
    <s v="Backpack"/>
    <x v="4"/>
    <n v="152.55000000000001"/>
    <n v="293.24"/>
    <n v="29.324000000000002"/>
    <n v="263.916"/>
    <n v="152.55000000000001"/>
    <n v="111.36599999999999"/>
    <n v="0.42197517391897416"/>
    <n v="0"/>
    <n v="2025"/>
    <n v="5"/>
    <s v="mai"/>
    <s v="Q2"/>
    <d v="2025-05-01T00:00:00"/>
    <x v="1"/>
  </r>
  <r>
    <s v="ORD-2025-00262"/>
    <d v="2025-01-28T00:00:00"/>
    <s v="C0087"/>
    <s v="P1006"/>
    <s v="Daniel Johnson, Halifax, Consumer"/>
    <s v="Toronto Downtown"/>
    <s v="E. Roy"/>
    <s v="Retail Store"/>
    <n v="2"/>
    <n v="104.7"/>
    <n v="0.15"/>
    <s v="PayPal"/>
    <n v="0"/>
    <s v="No"/>
    <x v="0"/>
    <s v="Toronto Downtown"/>
    <s v="PayPal"/>
    <s v="C0087"/>
    <s v="Daniel Johnson"/>
    <s v="Halifax"/>
    <s v="Consumer"/>
    <s v="USB-C Hub"/>
    <x v="0"/>
    <n v="72"/>
    <n v="209.4"/>
    <n v="31.41"/>
    <n v="177.99"/>
    <n v="144"/>
    <n v="33.990000000000009"/>
    <n v="0.1909657845946402"/>
    <n v="0"/>
    <n v="2025"/>
    <n v="1"/>
    <s v="janvier"/>
    <s v="Q1"/>
    <d v="2025-01-01T00:00:00"/>
    <x v="2"/>
  </r>
  <r>
    <s v="ORD-2025-00263"/>
    <d v="2025-02-12T00:00:00"/>
    <s v="C0029"/>
    <s v="P1024"/>
    <s v="Olivia White, Victoria, Consumer"/>
    <s v="Toronto Downtown"/>
    <s v="S. Patel"/>
    <s v="Marketplace"/>
    <n v="1"/>
    <n v="104.04"/>
    <n v="0"/>
    <s v="Debit Card"/>
    <n v="6"/>
    <s v="No"/>
    <x v="1"/>
    <s v="Toronto Downtown"/>
    <s v="Debit Card"/>
    <s v="C0029"/>
    <s v="Olivia White"/>
    <s v="Victoria"/>
    <s v="Consumer"/>
    <s v="Food Scale"/>
    <x v="3"/>
    <n v="46.07"/>
    <n v="104.04"/>
    <n v="0"/>
    <n v="104.04"/>
    <n v="46.07"/>
    <n v="57.970000000000006"/>
    <n v="0.55718954248366015"/>
    <n v="0"/>
    <n v="2025"/>
    <n v="2"/>
    <s v="février"/>
    <s v="Q1"/>
    <d v="2025-02-01T00:00:00"/>
    <x v="3"/>
  </r>
  <r>
    <s v="ORD-2025-00264"/>
    <d v="2025-09-18T00:00:00"/>
    <s v="C0111"/>
    <s v="P1028"/>
    <s v="Noah Khan, Halifax, Consumer"/>
    <s v="Montreal Central"/>
    <s v="R. Singh"/>
    <s v="Retail Store"/>
    <n v="1"/>
    <n v="374.04"/>
    <n v="0.1"/>
    <s v="Debit Card"/>
    <n v="3"/>
    <s v="Yes"/>
    <x v="0"/>
    <s v="Montreal Central"/>
    <s v="Debit Card"/>
    <s v="C0111"/>
    <s v="Noah Khan"/>
    <s v="Halifax"/>
    <s v="Consumer"/>
    <s v="Foam Roller"/>
    <x v="2"/>
    <n v="212.02"/>
    <n v="374.04"/>
    <n v="37.404000000000003"/>
    <n v="336.63600000000002"/>
    <n v="212.02"/>
    <n v="124.61600000000001"/>
    <n v="0.37018025404294252"/>
    <n v="1"/>
    <n v="2025"/>
    <n v="9"/>
    <s v="septembre"/>
    <s v="Q3"/>
    <d v="2025-09-01T00:00:00"/>
    <x v="2"/>
  </r>
  <r>
    <s v="ORD-2025-00265"/>
    <d v="2025-03-13T00:00:00"/>
    <s v="C0004"/>
    <s v="P1025"/>
    <s v="Mia Bennett, Laval, Consumer"/>
    <s v="Online Fulfillment"/>
    <s v="E. Roy"/>
    <s v="Online"/>
    <n v="3"/>
    <n v="313.31"/>
    <n v="0.2"/>
    <s v="Credit Card"/>
    <n v="2"/>
    <s v="No"/>
    <x v="2"/>
    <s v="Online Fulfillment"/>
    <s v="Credit Card"/>
    <s v="C0004"/>
    <s v="Mia Bennett"/>
    <s v="Laval"/>
    <s v="Consumer"/>
    <s v="Yoga Mat"/>
    <x v="2"/>
    <n v="197.33"/>
    <n v="939.93000000000006"/>
    <n v="187.98600000000002"/>
    <n v="751.94400000000007"/>
    <n v="591.99"/>
    <n v="159.95400000000006"/>
    <n v="0.21272062813188222"/>
    <n v="0"/>
    <n v="2025"/>
    <n v="3"/>
    <s v="mars"/>
    <s v="Q1"/>
    <d v="2025-03-01T00:00:00"/>
    <x v="4"/>
  </r>
  <r>
    <s v="ORD-2025-00266"/>
    <d v="2025-10-15T00:00:00"/>
    <s v="C0075"/>
    <s v="P1003"/>
    <s v="Amelia Wilson, Vancouver, Consumer"/>
    <s v="Montreal Central"/>
    <s v="R. Singh"/>
    <s v="Retail Store"/>
    <n v="5"/>
    <n v="150.72999999999999"/>
    <n v="0.05"/>
    <s v="PayPal"/>
    <n v="2"/>
    <s v="No"/>
    <x v="0"/>
    <s v="Montreal Central"/>
    <s v="PayPal"/>
    <s v="C0075"/>
    <s v="Amelia Wilson"/>
    <s v="Vancouver"/>
    <s v="Consumer"/>
    <s v="Mouse"/>
    <x v="0"/>
    <n v="106.4"/>
    <n v="753.65"/>
    <n v="37.682499999999997"/>
    <n v="715.96749999999997"/>
    <n v="532"/>
    <n v="183.96749999999997"/>
    <n v="0.25694951237311747"/>
    <n v="0"/>
    <n v="2025"/>
    <n v="10"/>
    <s v="octobre"/>
    <s v="Q4"/>
    <d v="2025-10-01T00:00:00"/>
    <x v="3"/>
  </r>
  <r>
    <s v="ORD-2025-00267"/>
    <d v="2025-07-16T00:00:00"/>
    <s v="C0053"/>
    <s v="P1024"/>
    <s v="Ryan Lee, Laval, Consumer"/>
    <s v="Vancouver West"/>
    <s v="E. Roy"/>
    <s v="Retail Store"/>
    <n v="5"/>
    <n v="102.86"/>
    <n v="0.05"/>
    <s v="Credit Card"/>
    <n v="2"/>
    <s v="No"/>
    <x v="0"/>
    <s v="Vancouver West"/>
    <s v="Credit Card"/>
    <s v="C0053"/>
    <s v="Ryan Lee"/>
    <s v="Laval"/>
    <s v="Consumer"/>
    <s v="Food Scale"/>
    <x v="3"/>
    <n v="46.07"/>
    <n v="514.29999999999995"/>
    <n v="25.715"/>
    <n v="488.58499999999998"/>
    <n v="230.35"/>
    <n v="258.23500000000001"/>
    <n v="0.52853648802153164"/>
    <n v="0"/>
    <n v="2025"/>
    <n v="7"/>
    <s v="juillet"/>
    <s v="Q3"/>
    <d v="2025-07-01T00:00:00"/>
    <x v="4"/>
  </r>
  <r>
    <s v="ORD-2025-00268"/>
    <d v="2025-06-19T00:00:00"/>
    <s v="C0028"/>
    <s v="P1004"/>
    <s v="Mia Clark, Victoria, Consumer"/>
    <s v="Montreal Central"/>
    <s v="A. Morgan"/>
    <s v="Retail Store"/>
    <n v="3"/>
    <n v="275.74"/>
    <n v="0.1"/>
    <s v="Credit  Card"/>
    <n v="3"/>
    <s v="No"/>
    <x v="0"/>
    <s v="Montreal Central"/>
    <s v="Credit Card"/>
    <s v="C0028"/>
    <s v="Mia Clark"/>
    <s v="Victoria"/>
    <s v="Consumer"/>
    <s v="Webcam"/>
    <x v="0"/>
    <n v="154.72999999999999"/>
    <n v="827.22"/>
    <n v="82.722000000000008"/>
    <n v="744.49800000000005"/>
    <n v="464.18999999999994"/>
    <n v="280.30800000000011"/>
    <n v="0.37650604837084867"/>
    <n v="0"/>
    <n v="2025"/>
    <n v="6"/>
    <s v="juin"/>
    <s v="Q2"/>
    <d v="2025-06-01T00:00:00"/>
    <x v="3"/>
  </r>
  <r>
    <s v="ORD-2025-00269"/>
    <d v="2025-10-27T00:00:00"/>
    <s v="C0062"/>
    <s v="P1033"/>
    <s v="Yasmine Scott, Toronto, Consumer"/>
    <s v="Toronto Downtown"/>
    <s v="A. Morgan"/>
    <s v="Retail Store"/>
    <n v="1"/>
    <n v="290.17"/>
    <n v="0.15"/>
    <s v="Credit Card"/>
    <n v="4"/>
    <s v="No"/>
    <x v="0"/>
    <s v="Toronto Downtown"/>
    <s v="Credit Card"/>
    <s v="C0062"/>
    <s v="Yasmine Scott"/>
    <s v="Toronto"/>
    <s v="Consumer"/>
    <s v="Backpack"/>
    <x v="4"/>
    <n v="152.55000000000001"/>
    <n v="290.17"/>
    <n v="43.525500000000001"/>
    <n v="246.64450000000002"/>
    <n v="152.55000000000001"/>
    <n v="94.094500000000011"/>
    <n v="0.38149847249786639"/>
    <n v="0"/>
    <n v="2025"/>
    <n v="10"/>
    <s v="octobre"/>
    <s v="Q4"/>
    <d v="2025-10-01T00:00:00"/>
    <x v="1"/>
  </r>
  <r>
    <s v="ORD-2025-00270"/>
    <d v="2025-10-06T00:00:00"/>
    <s v="C0029"/>
    <s v="P1030"/>
    <s v="Olivia White, Victoria, Consumer"/>
    <s v="Toronto Downtown"/>
    <s v="N. Brown"/>
    <s v="Retail Store"/>
    <n v="2"/>
    <n v="250.11"/>
    <n v="0"/>
    <s v="Debit Card"/>
    <n v="2"/>
    <s v="No"/>
    <x v="0"/>
    <s v="Toronto Downtown"/>
    <s v="Debit Card"/>
    <s v="C0029"/>
    <s v="Olivia White"/>
    <s v="Victoria"/>
    <s v="Consumer"/>
    <s v="Pull-up Bar"/>
    <x v="2"/>
    <n v="125.4"/>
    <n v="500.22"/>
    <n v="0"/>
    <n v="500.22"/>
    <n v="250.8"/>
    <n v="249.42000000000002"/>
    <n v="0.49862060693294952"/>
    <n v="0"/>
    <n v="2025"/>
    <n v="10"/>
    <s v="octobre"/>
    <s v="Q4"/>
    <d v="2025-10-01T00:00:00"/>
    <x v="3"/>
  </r>
  <r>
    <s v="ORD-2025-00271"/>
    <d v="2025-04-08T00:00:00"/>
    <s v="C0107"/>
    <s v="P1009"/>
    <s v="Ava Lee, Calgary, Small Business"/>
    <s v="Online Fulfillment"/>
    <s v="M. Wilson"/>
    <s v="Online"/>
    <n v="2"/>
    <n v="285.47000000000003"/>
    <n v="0"/>
    <s v="Credit Card"/>
    <n v="1"/>
    <s v="No"/>
    <x v="2"/>
    <s v="Online Fulfillment"/>
    <s v="Credit Card"/>
    <s v="C0107"/>
    <s v="Ava Lee"/>
    <s v="Calgary"/>
    <s v="Small Business"/>
    <s v="Notebook"/>
    <x v="1"/>
    <n v="176.13"/>
    <n v="570.94000000000005"/>
    <n v="0"/>
    <n v="570.94000000000005"/>
    <n v="352.26"/>
    <n v="218.68000000000006"/>
    <n v="0.38301747994535335"/>
    <n v="0"/>
    <n v="2025"/>
    <n v="4"/>
    <s v="avril"/>
    <s v="Q2"/>
    <d v="2025-04-01T00:00:00"/>
    <x v="0"/>
  </r>
  <r>
    <s v="ORD-2025-00272"/>
    <d v="2025-07-23T00:00:00"/>
    <s v="C0004"/>
    <s v="P1025"/>
    <s v="Mia Bennett, Laval, Consumer"/>
    <s v="Online Fulfillment"/>
    <s v="N. Brown"/>
    <s v="Marketplace"/>
    <n v="3"/>
    <n v="297.58999999999997"/>
    <n v="0.05"/>
    <s v="Debit Card"/>
    <n v="6"/>
    <s v="No"/>
    <x v="1"/>
    <s v="Online Fulfillment"/>
    <s v="Debit Card"/>
    <s v="C0004"/>
    <s v="Mia Bennett"/>
    <s v="Laval"/>
    <s v="Consumer"/>
    <s v="Yoga Mat"/>
    <x v="2"/>
    <n v="197.33"/>
    <n v="892.77"/>
    <n v="44.638500000000001"/>
    <n v="848.13149999999996"/>
    <n v="591.99"/>
    <n v="256.14149999999995"/>
    <n v="0.30200682323436867"/>
    <n v="0"/>
    <n v="2025"/>
    <n v="7"/>
    <s v="juillet"/>
    <s v="Q3"/>
    <d v="2025-07-01T00:00:00"/>
    <x v="4"/>
  </r>
  <r>
    <s v="ORD-2025-00273"/>
    <d v="2025-12-13T00:00:00"/>
    <s v="C0027"/>
    <s v="P1019"/>
    <s v="Nora Wilson, Toronto, Small Business"/>
    <s v="Toronto Downtown"/>
    <s v="A. Morgan"/>
    <s v="Marketplace"/>
    <n v="3"/>
    <n v="272.70999999999998"/>
    <n v="0.25"/>
    <s v="Credit Card"/>
    <n v="3"/>
    <s v="No"/>
    <x v="1"/>
    <s v="Toronto Downtown"/>
    <s v="Credit Card"/>
    <s v="C0027"/>
    <s v="Nora Wilson"/>
    <s v="Toronto"/>
    <s v="Small Business"/>
    <s v="Vacuum"/>
    <x v="3"/>
    <n v="186.94"/>
    <n v="818.12999999999988"/>
    <n v="204.53249999999997"/>
    <n v="613.59749999999985"/>
    <n v="560.81999999999994"/>
    <n v="52.777499999999918"/>
    <n v="8.6013225282045525E-2"/>
    <n v="0"/>
    <n v="2025"/>
    <n v="12"/>
    <s v="décembre"/>
    <s v="Q4"/>
    <d v="2025-12-01T00:00:00"/>
    <x v="1"/>
  </r>
  <r>
    <s v="ORD-2025-00274"/>
    <d v="2025-07-20T00:00:00"/>
    <s v="C0101"/>
    <s v="P1015"/>
    <s v="Noah Martin, Saskatoon, Small Business"/>
    <s v="Montreal Central"/>
    <s v="N. Brown"/>
    <s v="Retail Store"/>
    <n v="1"/>
    <n v="402.61"/>
    <n v="0.05"/>
    <s v="Credit Card"/>
    <n v="4"/>
    <s v="No"/>
    <x v="0"/>
    <s v="Montreal Central"/>
    <s v="Credit Card"/>
    <s v="C0101"/>
    <s v="Noah Martin"/>
    <s v="Saskatoon"/>
    <s v="Small Business"/>
    <s v="Desk Organizer"/>
    <x v="1"/>
    <n v="235.76"/>
    <n v="402.61"/>
    <n v="20.130500000000001"/>
    <n v="382.47950000000003"/>
    <n v="235.76"/>
    <n v="146.71950000000004"/>
    <n v="0.38360095116208848"/>
    <n v="0"/>
    <n v="2025"/>
    <n v="7"/>
    <s v="juillet"/>
    <s v="Q3"/>
    <d v="2025-07-01T00:00:00"/>
    <x v="5"/>
  </r>
  <r>
    <s v="ORD-2025-00275"/>
    <d v="2025-10-25T00:00:00"/>
    <s v="C0012"/>
    <s v="P1011"/>
    <s v="Daniel Taylor , Victoria , Corporate"/>
    <s v="Toronto Downtown"/>
    <s v="E. Roy"/>
    <s v="Online"/>
    <n v="3"/>
    <n v="84.93"/>
    <n v="0"/>
    <s v="PayPal"/>
    <n v="6"/>
    <s v="No"/>
    <x v="2"/>
    <s v="Toronto Downtown"/>
    <s v="PayPal"/>
    <s v="C0012"/>
    <s v="Daniel Taylor"/>
    <s v="Victoria"/>
    <s v="Corporate"/>
    <s v="Office Chair"/>
    <x v="1"/>
    <n v="39.26"/>
    <n v="254.79000000000002"/>
    <n v="0"/>
    <n v="254.79000000000002"/>
    <n v="117.78"/>
    <n v="137.01000000000002"/>
    <n v="0.53773695984928771"/>
    <n v="0"/>
    <n v="2025"/>
    <n v="10"/>
    <s v="octobre"/>
    <s v="Q4"/>
    <d v="2025-10-01T00:00:00"/>
    <x v="3"/>
  </r>
  <r>
    <s v="ORD-2025-00276"/>
    <d v="2025-01-03T00:00:00"/>
    <s v="C0084"/>
    <s v="P1040"/>
    <s v="Ryan Clark, Montreal, Corporate"/>
    <s v="Calgary North"/>
    <s v="A. Morgan"/>
    <s v="Marketplace"/>
    <n v="2"/>
    <n v="300.93"/>
    <n v="0.2"/>
    <s v="CC"/>
    <n v="1"/>
    <s v="No"/>
    <x v="1"/>
    <s v="Calgary North"/>
    <s v="Credit Card"/>
    <s v="C0084"/>
    <s v="Ryan Clark"/>
    <s v="Montreal"/>
    <s v="Corporate"/>
    <s v="Desk Pad"/>
    <x v="4"/>
    <n v="177.57"/>
    <n v="601.86"/>
    <n v="120.37200000000001"/>
    <n v="481.488"/>
    <n v="355.14"/>
    <n v="126.34800000000001"/>
    <n v="0.26241152427474829"/>
    <n v="0"/>
    <n v="2025"/>
    <n v="1"/>
    <s v="janvier"/>
    <s v="Q1"/>
    <d v="2025-01-01T00:00:00"/>
    <x v="4"/>
  </r>
  <r>
    <s v="ORD-2025-00277"/>
    <d v="2025-02-12T00:00:00"/>
    <s v="C0023"/>
    <s v="P1001"/>
    <s v="Ryan Gagnon, Ottawa, Small Business"/>
    <s v="Calgary North"/>
    <s v="J. Tremblay"/>
    <s v="Online"/>
    <n v="2"/>
    <n v="381.2"/>
    <n v="0"/>
    <s v="Credit Card"/>
    <n v="7"/>
    <s v="No"/>
    <x v="2"/>
    <s v="Calgary North"/>
    <s v="Credit Card"/>
    <s v="C0023"/>
    <s v="Ryan Gagnon"/>
    <s v="Ottawa"/>
    <s v="Small Business"/>
    <s v="Headphones"/>
    <x v="0"/>
    <n v="254.6"/>
    <n v="762.4"/>
    <n v="0"/>
    <n v="762.4"/>
    <n v="509.2"/>
    <n v="253.2"/>
    <n v="0.33210912906610701"/>
    <n v="0"/>
    <n v="2025"/>
    <n v="2"/>
    <s v="février"/>
    <s v="Q1"/>
    <d v="2025-02-01T00:00:00"/>
    <x v="1"/>
  </r>
  <r>
    <s v="ORD-2025-00279"/>
    <d v="2025-01-03T00:00:00"/>
    <s v="C0005"/>
    <s v="P1008"/>
    <s v="Yasmine Taylor, Calgary, Consumer"/>
    <s v="Online  Fulfillment"/>
    <s v="M. Wilson"/>
    <s v="Retail Store"/>
    <n v="1"/>
    <n v="139.33000000000001"/>
    <n v="0.05"/>
    <s v="Credit Card"/>
    <n v="3"/>
    <s v="No"/>
    <x v="0"/>
    <s v="Online Fulfillment"/>
    <s v="Credit Card"/>
    <s v="C0005"/>
    <s v="Yasmine Taylor"/>
    <s v="Calgary"/>
    <s v="Consumer"/>
    <s v="Smart Speaker"/>
    <x v="0"/>
    <n v="69"/>
    <n v="139.33000000000001"/>
    <n v="6.9665000000000008"/>
    <n v="132.36350000000002"/>
    <n v="69"/>
    <n v="63.363500000000016"/>
    <n v="0.47870825416372342"/>
    <n v="0"/>
    <n v="2025"/>
    <n v="1"/>
    <s v="janvier"/>
    <s v="Q1"/>
    <d v="2025-01-01T00:00:00"/>
    <x v="0"/>
  </r>
  <r>
    <s v="ORD-2025-00280"/>
    <d v="2025-09-23T00:00:00"/>
    <s v="C0089"/>
    <s v="P1036"/>
    <s v="Lucas Martin, Vancouver, Consumer"/>
    <s v="Montreal Central"/>
    <s v="J. Tremblay"/>
    <s v="Retail Store"/>
    <n v="4"/>
    <n v="153.82"/>
    <n v="0"/>
    <s v="Credit Card"/>
    <n v="2"/>
    <s v="No"/>
    <x v="0"/>
    <s v="Montreal Central"/>
    <s v="Credit Card"/>
    <s v="C0089"/>
    <s v="Lucas Martin"/>
    <s v="Vancouver"/>
    <s v="Consumer"/>
    <s v="Power Bank"/>
    <x v="4"/>
    <n v="76.97"/>
    <n v="615.28"/>
    <n v="0"/>
    <n v="615.28"/>
    <n v="307.88"/>
    <n v="307.39999999999998"/>
    <n v="0.49960993368872708"/>
    <n v="0"/>
    <n v="2025"/>
    <n v="9"/>
    <s v="septembre"/>
    <s v="Q3"/>
    <d v="2025-09-01T00:00:00"/>
    <x v="3"/>
  </r>
  <r>
    <s v="ORD-2025-00281"/>
    <d v="2025-02-20T00:00:00"/>
    <s v="C0109"/>
    <s v="P1014"/>
    <s v="Emma Wilson, Victoria, Consumer"/>
    <s v="Toronto Downtown"/>
    <s v="E. Roy"/>
    <s v="Online"/>
    <n v="1"/>
    <n v="234.76"/>
    <n v="0.15"/>
    <s v="PayPal"/>
    <n v="1"/>
    <s v="Yes"/>
    <x v="2"/>
    <s v="Toronto Downtown"/>
    <s v="PayPal"/>
    <s v="C0109"/>
    <s v="Emma Wilson"/>
    <s v="Victoria"/>
    <s v="Consumer"/>
    <s v="Document Shredder"/>
    <x v="1"/>
    <n v="117.65"/>
    <n v="234.76"/>
    <n v="35.213999999999999"/>
    <n v="199.54599999999999"/>
    <n v="117.65"/>
    <n v="81.895999999999987"/>
    <n v="0.41041163441011091"/>
    <n v="1"/>
    <n v="2025"/>
    <n v="2"/>
    <s v="février"/>
    <s v="Q1"/>
    <d v="2025-02-01T00:00:00"/>
    <x v="3"/>
  </r>
  <r>
    <s v="ORD-2025-00282"/>
    <d v="2025-01-25T00:00:00"/>
    <s v="C0035"/>
    <s v="P1023"/>
    <s v="Amelia Scott, Edmonton, Small Business"/>
    <s v="Calgary North"/>
    <s v="L. Chen"/>
    <s v="Online"/>
    <n v="1"/>
    <n v="337.81"/>
    <n v="0.1"/>
    <s v="Debit Card"/>
    <n v="5"/>
    <s v="Yes"/>
    <x v="2"/>
    <s v="Calgary North"/>
    <s v="Debit Card"/>
    <s v="C0035"/>
    <s v="Amelia Scott"/>
    <s v="Edmonton"/>
    <s v="Small Business"/>
    <s v="Toaster"/>
    <x v="3"/>
    <n v="152.88"/>
    <n v="337.81"/>
    <n v="33.780999999999999"/>
    <n v="304.029"/>
    <n v="152.88"/>
    <n v="151.149"/>
    <n v="0.49715323209299112"/>
    <n v="1"/>
    <n v="2025"/>
    <n v="1"/>
    <s v="janvier"/>
    <s v="Q1"/>
    <d v="2025-01-01T00:00:00"/>
    <x v="0"/>
  </r>
  <r>
    <s v="ORD-2025-00283"/>
    <d v="2025-08-03T00:00:00"/>
    <s v="C0030"/>
    <s v="P1007"/>
    <s v="Emma Lee, Calgary, Corporate"/>
    <s v="Calgary North"/>
    <s v="S. Patel"/>
    <s v="Marketplace"/>
    <n v="3"/>
    <n v="359.35"/>
    <n v="0.2"/>
    <s v="Credit Card"/>
    <n v="2"/>
    <s v="No"/>
    <x v="1"/>
    <s v="Calgary North"/>
    <s v="Credit Card"/>
    <s v="C0030"/>
    <s v="Emma Lee"/>
    <s v="Calgary"/>
    <s v="Corporate"/>
    <s v="Monitor"/>
    <x v="0"/>
    <n v="224.47"/>
    <n v="1078.0500000000002"/>
    <n v="215.61000000000004"/>
    <n v="862.44000000000017"/>
    <n v="673.41"/>
    <n v="189.0300000000002"/>
    <n v="0.21918046472798128"/>
    <n v="0"/>
    <n v="2025"/>
    <n v="8"/>
    <s v="août"/>
    <s v="Q3"/>
    <d v="2025-08-01T00:00:00"/>
    <x v="0"/>
  </r>
  <r>
    <s v="ORD-2025-00284"/>
    <d v="2025-08-10T00:00:00"/>
    <s v="C0053"/>
    <s v="P1039"/>
    <s v="Ryan Lee, Laval, Consumer"/>
    <s v="Vancouver West"/>
    <s v="A. Morgan"/>
    <s v="Online"/>
    <n v="2"/>
    <n v="331.42"/>
    <n v="0"/>
    <s v="PayPal"/>
    <n v="7"/>
    <s v="No"/>
    <x v="2"/>
    <s v="Vancouver West"/>
    <s v="PayPal"/>
    <s v="C0053"/>
    <s v="Ryan Lee"/>
    <s v="Laval"/>
    <s v="Consumer"/>
    <s v="Travel Adapter"/>
    <x v="4"/>
    <n v="229.86"/>
    <n v="662.84"/>
    <n v="0"/>
    <n v="662.84"/>
    <n v="459.72"/>
    <n v="203.12"/>
    <n v="0.30643895962826623"/>
    <n v="0"/>
    <n v="2025"/>
    <n v="8"/>
    <s v="août"/>
    <s v="Q3"/>
    <d v="2025-08-01T00:00:00"/>
    <x v="4"/>
  </r>
  <r>
    <s v="ORD-2025-00285"/>
    <d v="2025-07-07T00:00:00"/>
    <s v="C0101"/>
    <s v="P1025"/>
    <s v="Noah Martin, Saskatoon, Small Business"/>
    <s v="Online Fulfillment"/>
    <s v="A. Morgan"/>
    <s v="Retail Store"/>
    <n v="1"/>
    <n v="307.8"/>
    <n v="0"/>
    <s v="PayPal"/>
    <n v="1"/>
    <s v="No"/>
    <x v="0"/>
    <s v="Online Fulfillment"/>
    <s v="PayPal"/>
    <s v="C0101"/>
    <s v="Noah Martin"/>
    <s v="Saskatoon"/>
    <s v="Small Business"/>
    <s v="Yoga Mat"/>
    <x v="2"/>
    <n v="197.33"/>
    <n v="307.8"/>
    <n v="0"/>
    <n v="307.8"/>
    <n v="197.33"/>
    <n v="110.47"/>
    <n v="0.35890188434048081"/>
    <n v="0"/>
    <n v="2025"/>
    <n v="7"/>
    <s v="juillet"/>
    <s v="Q3"/>
    <d v="2025-07-01T00:00:00"/>
    <x v="5"/>
  </r>
  <r>
    <s v="ORD-2025-00286"/>
    <d v="2025-11-08T00:00:00"/>
    <s v="C0008"/>
    <s v="P1029"/>
    <s v="Mia Wilson, Calgary, Consumer"/>
    <s v="Calgary North"/>
    <s v="L. Chen"/>
    <s v="Online"/>
    <n v="3"/>
    <n v="194.83"/>
    <n v="0"/>
    <s v="Credit Card"/>
    <n v="1"/>
    <s v="No"/>
    <x v="2"/>
    <s v="Calgary North"/>
    <s v="Credit Card"/>
    <s v="C0008"/>
    <s v="Mia Wilson"/>
    <s v="Calgary"/>
    <s v="Consumer"/>
    <s v="Jump Rope"/>
    <x v="2"/>
    <n v="101"/>
    <n v="584.49"/>
    <n v="0"/>
    <n v="584.49"/>
    <n v="303"/>
    <n v="281.49"/>
    <n v="0.4815993430169892"/>
    <n v="0"/>
    <n v="2025"/>
    <n v="11"/>
    <s v="novembre"/>
    <s v="Q4"/>
    <d v="2025-11-01T00:00:00"/>
    <x v="0"/>
  </r>
  <r>
    <s v="ORD-2025-00287"/>
    <d v="2025-08-02T00:00:00"/>
    <s v="C0027"/>
    <s v="P1014"/>
    <s v="Nora Wilson, Toronto, Small Business"/>
    <s v="Toronto Downtown"/>
    <s v="A. Morgan"/>
    <s v="Retail Store"/>
    <n v="2"/>
    <n v="238.26"/>
    <n v="0"/>
    <s v="PayPal"/>
    <n v="3"/>
    <s v="No"/>
    <x v="0"/>
    <s v="Toronto Downtown"/>
    <s v="PayPal"/>
    <s v="C0027"/>
    <s v="Nora Wilson"/>
    <s v="Toronto"/>
    <s v="Small Business"/>
    <s v="Document Shredder"/>
    <x v="1"/>
    <n v="117.65"/>
    <n v="476.52"/>
    <n v="0"/>
    <n v="476.52"/>
    <n v="235.3"/>
    <n v="241.21999999999997"/>
    <n v="0.50621170150256023"/>
    <n v="0"/>
    <n v="2025"/>
    <n v="8"/>
    <s v="août"/>
    <s v="Q3"/>
    <d v="2025-08-01T00:00:00"/>
    <x v="1"/>
  </r>
  <r>
    <s v="ORD-2025-00288"/>
    <d v="2025-09-12T00:00:00"/>
    <s v="C0064"/>
    <s v="P1009"/>
    <s v="Amine Khan, Edmonton, Consumer"/>
    <s v="Calgary North"/>
    <s v="L. Chen"/>
    <s v="Online"/>
    <n v="1"/>
    <n v="293.91000000000003"/>
    <n v="0.15"/>
    <s v="Credit Card"/>
    <n v="8"/>
    <s v="No"/>
    <x v="2"/>
    <s v="Calgary North"/>
    <s v="Credit Card"/>
    <s v="C0064"/>
    <s v="Amine Khan"/>
    <s v="Edmonton"/>
    <s v="Consumer"/>
    <s v="Notebook"/>
    <x v="1"/>
    <n v="176.13"/>
    <n v="293.91000000000003"/>
    <n v="44.086500000000001"/>
    <n v="249.82350000000002"/>
    <n v="176.13"/>
    <n v="73.693500000000029"/>
    <n v="0.2949822574737766"/>
    <n v="0"/>
    <n v="2025"/>
    <n v="9"/>
    <s v="septembre"/>
    <s v="Q3"/>
    <d v="2025-09-01T00:00:00"/>
    <x v="0"/>
  </r>
  <r>
    <s v="ORD-2025-00289"/>
    <d v="2025-09-20T00:00:00"/>
    <s v="C0075"/>
    <s v="P1038"/>
    <s v="Amelia Wilson, Vancouver, Consumer"/>
    <s v="Toronto Downtown"/>
    <s v="N. Brown"/>
    <s v="Online"/>
    <n v="1"/>
    <n v="274.36"/>
    <n v="0"/>
    <s v="Credit Card"/>
    <n v="8"/>
    <s v="No"/>
    <x v="2"/>
    <s v="Toronto Downtown"/>
    <s v="Credit Card"/>
    <s v="C0075"/>
    <s v="Amelia Wilson"/>
    <s v="Vancouver"/>
    <s v="Consumer"/>
    <s v="Water Bottle"/>
    <x v="4"/>
    <n v="119.16"/>
    <n v="274.36"/>
    <n v="0"/>
    <n v="274.36"/>
    <n v="119.16"/>
    <n v="155.20000000000002"/>
    <n v="0.56568012829858583"/>
    <n v="0"/>
    <n v="2025"/>
    <n v="9"/>
    <s v="septembre"/>
    <s v="Q3"/>
    <d v="2025-09-01T00:00:00"/>
    <x v="3"/>
  </r>
  <r>
    <s v="ORD-2025-00290"/>
    <d v="2025-04-22T00:00:00"/>
    <s v="C0019"/>
    <s v="P1024"/>
    <s v="Lucas Taylor, Montreal, Small Business"/>
    <s v="Calgary North"/>
    <s v="J. Tremblay"/>
    <s v="Retail  Store"/>
    <n v="2"/>
    <n v="100.73"/>
    <n v="0"/>
    <s v="PayPal"/>
    <n v="3"/>
    <s v="No"/>
    <x v="0"/>
    <s v="Calgary North"/>
    <s v="PayPal"/>
    <s v="C0019"/>
    <s v="Lucas Taylor"/>
    <s v="Montreal"/>
    <s v="Small Business"/>
    <s v="Food Scale"/>
    <x v="3"/>
    <n v="46.07"/>
    <n v="201.46"/>
    <n v="0"/>
    <n v="201.46"/>
    <n v="92.14"/>
    <n v="109.32000000000001"/>
    <n v="0.54263873721830636"/>
    <n v="0"/>
    <n v="2025"/>
    <n v="4"/>
    <s v="avril"/>
    <s v="Q2"/>
    <d v="2025-04-01T00:00:00"/>
    <x v="4"/>
  </r>
  <r>
    <s v="ORD-2025-00291"/>
    <d v="2025-12-05T00:00:00"/>
    <s v="C0013"/>
    <s v="P1036"/>
    <s v="Amelia Martin, Quebec City, Small Business"/>
    <s v="Montreal Central"/>
    <s v="S. Patel"/>
    <s v="Retail Store"/>
    <n v="2"/>
    <n v="165.88"/>
    <n v="0.15"/>
    <s v="PayPal"/>
    <n v="2"/>
    <s v="No"/>
    <x v="0"/>
    <s v="Montreal Central"/>
    <s v="PayPal"/>
    <s v="C0013"/>
    <s v="Amelia Martin"/>
    <s v="Quebec City"/>
    <s v="Small Business"/>
    <s v="Power Bank"/>
    <x v="4"/>
    <n v="76.97"/>
    <n v="331.76"/>
    <n v="49.763999999999996"/>
    <n v="281.99599999999998"/>
    <n v="153.94"/>
    <n v="128.05599999999998"/>
    <n v="0.45410573199619853"/>
    <n v="0"/>
    <n v="2025"/>
    <n v="12"/>
    <s v="décembre"/>
    <s v="Q4"/>
    <d v="2025-12-01T00:00:00"/>
    <x v="4"/>
  </r>
  <r>
    <s v="ORD-2025-00292"/>
    <d v="2025-07-14T00:00:00"/>
    <s v="C0097"/>
    <s v="P1034"/>
    <s v="Sarah Khan, Montreal, Consumer"/>
    <s v="Online Fulfillment"/>
    <s v="S. Patel"/>
    <s v="Retail Store"/>
    <n v="2"/>
    <n v="144.15"/>
    <n v="0.2"/>
    <s v="Debit Card"/>
    <n v="0"/>
    <s v="No"/>
    <x v="0"/>
    <s v="Online Fulfillment"/>
    <s v="Debit Card"/>
    <s v="C0097"/>
    <s v="Sarah Khan"/>
    <s v="Montreal"/>
    <s v="Consumer"/>
    <s v="Laptop Sleeve"/>
    <x v="4"/>
    <n v="78.95"/>
    <n v="288.3"/>
    <n v="57.660000000000004"/>
    <n v="230.64000000000001"/>
    <n v="157.9"/>
    <n v="72.740000000000009"/>
    <n v="0.31538328130419702"/>
    <n v="0"/>
    <n v="2025"/>
    <n v="7"/>
    <s v="juillet"/>
    <s v="Q3"/>
    <d v="2025-07-01T00:00:00"/>
    <x v="4"/>
  </r>
  <r>
    <s v="ORD-2025-00293"/>
    <d v="2025-06-20T00:00:00"/>
    <s v="C0005"/>
    <s v="P1020"/>
    <s v="Yasmine Taylor, Calgary, Consumer"/>
    <s v="Vancouver West"/>
    <s v="R. Singh"/>
    <s v="Online"/>
    <n v="1"/>
    <n v="64.86"/>
    <n v="0.1"/>
    <s v="Credit Card"/>
    <n v="3"/>
    <s v="No"/>
    <x v="2"/>
    <s v="Vancouver West"/>
    <s v="Credit Card"/>
    <s v="C0005"/>
    <s v="Yasmine Taylor"/>
    <s v="Calgary"/>
    <s v="Consumer"/>
    <s v="Blender"/>
    <x v="3"/>
    <n v="37.46"/>
    <n v="64.86"/>
    <n v="6.4860000000000007"/>
    <n v="58.373999999999995"/>
    <n v="37.46"/>
    <n v="20.913999999999994"/>
    <n v="0.35827594476993174"/>
    <n v="0"/>
    <n v="2025"/>
    <n v="6"/>
    <s v="juin"/>
    <s v="Q2"/>
    <d v="2025-06-01T00:00:00"/>
    <x v="0"/>
  </r>
  <r>
    <s v="ORD-2025-00294"/>
    <d v="2025-05-16T00:00:00"/>
    <s v="C0024"/>
    <s v="P1002"/>
    <s v="Ryan King, Mississauga, Consumer"/>
    <s v="Vancouver West"/>
    <s v="R. Singh"/>
    <s v="Online"/>
    <n v="1"/>
    <n v="39.409999999999997"/>
    <n v="0.25"/>
    <s v="Debit Card"/>
    <n v="1"/>
    <s v="No"/>
    <x v="2"/>
    <s v="Vancouver West"/>
    <s v="Debit Card"/>
    <s v="C0024"/>
    <s v="Ryan King"/>
    <s v="Mississauga"/>
    <s v="Consumer"/>
    <s v="Keyboard"/>
    <x v="0"/>
    <n v="23.5"/>
    <n v="39.409999999999997"/>
    <n v="9.8524999999999991"/>
    <n v="29.557499999999997"/>
    <n v="23.5"/>
    <n v="6.0574999999999974"/>
    <n v="0.20493952465533274"/>
    <n v="0"/>
    <n v="2025"/>
    <n v="5"/>
    <s v="mai"/>
    <s v="Q2"/>
    <d v="2025-05-01T00:00:00"/>
    <x v="1"/>
  </r>
  <r>
    <s v="ORD-2025-00295"/>
    <d v="2025-07-26T00:00:00"/>
    <s v="C0052"/>
    <s v="P1011"/>
    <s v="Liam Bennett, Edmonton, Corporate"/>
    <s v="Toronto Downtown"/>
    <s v="S. Patel"/>
    <s v="Online"/>
    <n v="1"/>
    <n v="76.13"/>
    <n v="0.15"/>
    <s v="PayPal"/>
    <n v="2"/>
    <s v="No"/>
    <x v="2"/>
    <s v="Toronto Downtown"/>
    <s v="PayPal"/>
    <s v="C0052"/>
    <s v="Liam Bennett"/>
    <s v="Edmonton"/>
    <s v="Corporate"/>
    <s v="Office Chair"/>
    <x v="1"/>
    <n v="39.26"/>
    <n v="76.13"/>
    <n v="11.419499999999999"/>
    <n v="64.710499999999996"/>
    <n v="39.26"/>
    <n v="25.450499999999998"/>
    <n v="0.39329784192673523"/>
    <n v="0"/>
    <n v="2025"/>
    <n v="7"/>
    <s v="juillet"/>
    <s v="Q3"/>
    <d v="2025-07-01T00:00:00"/>
    <x v="0"/>
  </r>
  <r>
    <s v="ORD-2025-00296"/>
    <d v="2025-05-21T00:00:00"/>
    <s v="C0096"/>
    <s v="P1023"/>
    <s v="Ryan Roy, Laval, Corporate"/>
    <s v="Calgary North"/>
    <s v="M. Wilson"/>
    <s v="Retail Store"/>
    <n v="2"/>
    <n v="324.64"/>
    <n v="0.15"/>
    <s v="Gift Card"/>
    <n v="1"/>
    <s v="No"/>
    <x v="0"/>
    <s v="Calgary North"/>
    <s v="Gift Card"/>
    <s v="C0096"/>
    <s v="Ryan Roy"/>
    <s v="Laval"/>
    <s v="Corporate"/>
    <s v="Toaster"/>
    <x v="3"/>
    <n v="152.88"/>
    <n v="649.28"/>
    <n v="97.391999999999996"/>
    <n v="551.88799999999992"/>
    <n v="305.76"/>
    <n v="246.12799999999993"/>
    <n v="0.44597454555996863"/>
    <n v="0"/>
    <n v="2025"/>
    <n v="5"/>
    <s v="mai"/>
    <s v="Q2"/>
    <d v="2025-05-01T00:00:00"/>
    <x v="4"/>
  </r>
  <r>
    <s v="ORD-2025-00297"/>
    <d v="2025-03-11T00:00:00"/>
    <s v="C0006"/>
    <s v="P1006"/>
    <s v="Nora Wilson, Laval, Consumer"/>
    <s v="Montreal Central"/>
    <s v="M. Wilson"/>
    <s v="Retail Store"/>
    <n v="1"/>
    <n v="100.86"/>
    <n v="0.2"/>
    <s v="Debit Card"/>
    <n v="2"/>
    <s v="No"/>
    <x v="0"/>
    <s v="Montreal Central"/>
    <s v="Debit Card"/>
    <s v="C0006"/>
    <s v="Nora Wilson"/>
    <s v="Laval"/>
    <s v="Consumer"/>
    <s v="USB-C Hub"/>
    <x v="0"/>
    <n v="72"/>
    <n v="100.86"/>
    <n v="20.172000000000001"/>
    <n v="80.688000000000002"/>
    <n v="72"/>
    <n v="8.6880000000000024"/>
    <n v="0.10767400356930401"/>
    <n v="0"/>
    <n v="2025"/>
    <n v="3"/>
    <s v="mars"/>
    <s v="Q1"/>
    <d v="2025-03-01T00:00:00"/>
    <x v="4"/>
  </r>
  <r>
    <s v="ORD-2025-00298"/>
    <d v="2025-07-11T00:00:00"/>
    <s v="C0054"/>
    <s v="P1036"/>
    <s v="Maya Hall, Surrey, Small Business"/>
    <s v="Montreal Central"/>
    <s v="L. Chen"/>
    <s v="Retail Store"/>
    <n v="1"/>
    <n v="152.72999999999999"/>
    <n v="0.25"/>
    <s v="Debit Card"/>
    <n v="3"/>
    <s v="No"/>
    <x v="0"/>
    <s v="Montreal Central"/>
    <s v="Debit Card"/>
    <s v="C0054"/>
    <s v="Maya Hall"/>
    <s v="Surrey"/>
    <s v="Small Business"/>
    <s v="Power Bank"/>
    <x v="4"/>
    <n v="76.97"/>
    <n v="152.72999999999999"/>
    <n v="38.182499999999997"/>
    <n v="114.54749999999999"/>
    <n v="76.97"/>
    <n v="37.577499999999986"/>
    <n v="0.32805168161679643"/>
    <n v="0"/>
    <n v="2025"/>
    <n v="7"/>
    <s v="juillet"/>
    <s v="Q3"/>
    <d v="2025-07-01T00:00:00"/>
    <x v="3"/>
  </r>
  <r>
    <s v="ORD-2025-00299"/>
    <d v="2025-11-12T00:00:00"/>
    <s v="C0060"/>
    <s v="P1023"/>
    <s v="Sarah Wilson, Quebec City, Corporate"/>
    <s v="Montreal Central"/>
    <s v="E. Roy"/>
    <s v="Retail Store"/>
    <n v="1"/>
    <n v="316.62"/>
    <n v="0"/>
    <s v="Credit Card"/>
    <n v="1"/>
    <s v="No"/>
    <x v="0"/>
    <s v="Montreal Central"/>
    <s v="Credit Card"/>
    <s v="C0060"/>
    <s v="Sarah Wilson"/>
    <s v="Quebec City"/>
    <s v="Corporate"/>
    <s v="Toaster"/>
    <x v="3"/>
    <n v="152.88"/>
    <n v="316.62"/>
    <n v="0"/>
    <n v="316.62"/>
    <n v="152.88"/>
    <n v="163.74"/>
    <n v="0.51714989577411408"/>
    <n v="0"/>
    <n v="2025"/>
    <n v="11"/>
    <s v="novembre"/>
    <s v="Q4"/>
    <d v="2025-11-01T00:00:00"/>
    <x v="4"/>
  </r>
  <r>
    <s v="ORD-2025-00300"/>
    <d v="2025-06-01T00:00:00"/>
    <s v="C0028"/>
    <s v="P1025"/>
    <s v="Mia Clark, Victoria, Consumer"/>
    <s v="Montreal Central"/>
    <s v="A. Morgan"/>
    <s v="Retail Store"/>
    <n v="2"/>
    <n v="308.31"/>
    <n v="0.05"/>
    <s v="Debit  Card"/>
    <n v="3"/>
    <s v="No"/>
    <x v="0"/>
    <s v="Montreal Central"/>
    <s v="Debit Card"/>
    <s v="C0028"/>
    <s v="Mia Clark"/>
    <s v="Victoria"/>
    <s v="Consumer"/>
    <s v="Yoga Mat"/>
    <x v="2"/>
    <n v="197.33"/>
    <n v="616.62"/>
    <n v="30.831000000000003"/>
    <n v="585.78899999999999"/>
    <n v="394.66"/>
    <n v="191.12899999999996"/>
    <n v="0.3262761847696013"/>
    <n v="0"/>
    <n v="2025"/>
    <n v="6"/>
    <s v="juin"/>
    <s v="Q2"/>
    <d v="2025-06-01T00:00:00"/>
    <x v="3"/>
  </r>
  <r>
    <s v="ORD-2025-00301"/>
    <d v="2025-01-19T00:00:00"/>
    <s v="C0092"/>
    <s v="P1038"/>
    <s v="Lucas Tremblay, Saskatoon, Consumer"/>
    <s v="Vancouver West"/>
    <s v="N. Brown"/>
    <s v="Online"/>
    <n v="2"/>
    <n v="253.83"/>
    <n v="0.1"/>
    <s v="Debit Card"/>
    <n v="9"/>
    <s v="No"/>
    <x v="2"/>
    <s v="Vancouver West"/>
    <s v="Debit Card"/>
    <s v="C0092"/>
    <s v="Lucas Tremblay"/>
    <s v="Saskatoon"/>
    <s v="Consumer"/>
    <s v="Water Bottle"/>
    <x v="4"/>
    <n v="119.16"/>
    <n v="507.66"/>
    <n v="50.766000000000005"/>
    <n v="456.89400000000001"/>
    <n v="238.32"/>
    <n v="218.57400000000001"/>
    <n v="0.47839104912736874"/>
    <n v="0"/>
    <n v="2025"/>
    <n v="1"/>
    <s v="janvier"/>
    <s v="Q1"/>
    <d v="2025-01-01T00:00:00"/>
    <x v="5"/>
  </r>
  <r>
    <s v="ORD-2025-00302"/>
    <d v="2025-02-08T00:00:00"/>
    <s v="C0052"/>
    <s v="P1010"/>
    <s v="Liam Bennett, Edmonton, Corporate"/>
    <s v="Calgary North"/>
    <s v="S. Patel"/>
    <s v="Online"/>
    <n v="1"/>
    <n v="218.34"/>
    <n v="0.15"/>
    <s v="Credit Card"/>
    <n v="5"/>
    <s v="No"/>
    <x v="2"/>
    <s v="Calgary North"/>
    <s v="Credit Card"/>
    <s v="C0052"/>
    <s v="Liam Bennett"/>
    <s v="Edmonton"/>
    <s v="Corporate"/>
    <s v="Desk Lamp"/>
    <x v="1"/>
    <n v="127.21"/>
    <n v="218.34"/>
    <n v="32.750999999999998"/>
    <n v="185.589"/>
    <n v="127.21"/>
    <n v="58.379000000000005"/>
    <n v="0.31456066900516738"/>
    <n v="0"/>
    <n v="2025"/>
    <n v="2"/>
    <s v="février"/>
    <s v="Q1"/>
    <d v="2025-02-01T00:00:00"/>
    <x v="0"/>
  </r>
  <r>
    <s v="ORD-2025-00303"/>
    <d v="2025-01-25T00:00:00"/>
    <s v="C0108"/>
    <s v="P1024"/>
    <s v="Noah Lee, Surrey, Consumer"/>
    <s v="Online Fulfillment"/>
    <s v="M. Wilson"/>
    <s v="Online"/>
    <n v="4"/>
    <n v="106.03"/>
    <n v="0.05"/>
    <s v="Credit Card"/>
    <n v="7"/>
    <s v="No"/>
    <x v="2"/>
    <s v="Online Fulfillment"/>
    <s v="Credit Card"/>
    <s v="C0108"/>
    <s v="Noah Lee"/>
    <s v="Surrey"/>
    <s v="Consumer"/>
    <s v="Food Scale"/>
    <x v="3"/>
    <n v="46.07"/>
    <n v="424.12"/>
    <n v="21.206000000000003"/>
    <n v="402.91399999999999"/>
    <n v="184.28"/>
    <n v="218.63399999999999"/>
    <n v="0.54263192641605895"/>
    <n v="0"/>
    <n v="2025"/>
    <n v="1"/>
    <s v="janvier"/>
    <s v="Q1"/>
    <d v="2025-01-01T00:00:00"/>
    <x v="3"/>
  </r>
  <r>
    <s v="ORD-2025-00304"/>
    <d v="2025-04-18T00:00:00"/>
    <s v="C0016"/>
    <s v="P1002"/>
    <s v="Nora Singh, Calgary, Consumer"/>
    <s v="Montreal Central"/>
    <s v="L. Chen"/>
    <s v="Online"/>
    <n v="3"/>
    <n v="40.25"/>
    <n v="0"/>
    <s v="PayPal"/>
    <n v="1"/>
    <s v="No"/>
    <x v="2"/>
    <s v="Montreal Central"/>
    <s v="PayPal"/>
    <s v="C0016"/>
    <s v="Nora Singh"/>
    <s v="Calgary"/>
    <s v="Consumer"/>
    <s v="Keyboard"/>
    <x v="0"/>
    <n v="23.5"/>
    <n v="120.75"/>
    <n v="0"/>
    <n v="120.75"/>
    <n v="70.5"/>
    <n v="50.25"/>
    <n v="0.41614906832298137"/>
    <n v="0"/>
    <n v="2025"/>
    <n v="4"/>
    <s v="avril"/>
    <s v="Q2"/>
    <d v="2025-04-01T00:00:00"/>
    <x v="0"/>
  </r>
  <r>
    <s v="ORD-2025-00305"/>
    <d v="2025-11-07T00:00:00"/>
    <s v="C0078"/>
    <s v="P1011"/>
    <s v="Sarah Smith, Edmonton, Corporate"/>
    <s v="Vancouver West"/>
    <s v="M. Wilson"/>
    <s v="Retail Store"/>
    <n v="1"/>
    <n v="79.12"/>
    <n v="0"/>
    <s v="Credit Card"/>
    <n v="3"/>
    <s v="No"/>
    <x v="0"/>
    <s v="Vancouver West"/>
    <s v="Credit Card"/>
    <s v="C0078"/>
    <s v="Sarah Smith"/>
    <s v="Edmonton"/>
    <s v="Corporate"/>
    <s v="Office Chair"/>
    <x v="1"/>
    <n v="39.26"/>
    <n v="79.12"/>
    <n v="0"/>
    <n v="79.12"/>
    <n v="39.26"/>
    <n v="39.860000000000007"/>
    <n v="0.50379170879676449"/>
    <n v="0"/>
    <n v="2025"/>
    <n v="11"/>
    <s v="novembre"/>
    <s v="Q4"/>
    <d v="2025-11-01T00:00:00"/>
    <x v="0"/>
  </r>
  <r>
    <s v="ORD-2025-00306"/>
    <d v="2025-01-26T00:00:00"/>
    <s v="C0071"/>
    <s v="P1031"/>
    <s v="Ethan Lee, Surrey, Consumer"/>
    <s v="Toronto Downtown"/>
    <s v="R. Singh"/>
    <s v="Retail Store"/>
    <n v="4"/>
    <n v="253.26"/>
    <n v="0.15"/>
    <s v="Credit Card"/>
    <n v="4"/>
    <s v="No"/>
    <x v="0"/>
    <s v="Toronto Downtown"/>
    <s v="Credit Card"/>
    <s v="C0071"/>
    <s v="Ethan Lee"/>
    <s v="Surrey"/>
    <s v="Consumer"/>
    <s v="Dumbbell Set"/>
    <x v="2"/>
    <n v="131.72999999999999"/>
    <n v="1013.04"/>
    <n v="151.95599999999999"/>
    <n v="861.08399999999995"/>
    <n v="526.91999999999996"/>
    <n v="334.16399999999999"/>
    <n v="0.3880736374151651"/>
    <n v="0"/>
    <n v="2025"/>
    <n v="1"/>
    <s v="janvier"/>
    <s v="Q1"/>
    <d v="2025-01-01T00:00:00"/>
    <x v="3"/>
  </r>
  <r>
    <s v="ORD-2025-00307"/>
    <d v="2025-06-10T00:00:00"/>
    <s v="C0069"/>
    <s v="P1032"/>
    <s v="Sarah White, Ottawa, Consumer"/>
    <s v="Online Fulfillment"/>
    <s v="R. Singh"/>
    <s v="Retail Store"/>
    <n v="2"/>
    <n v="201.38"/>
    <n v="0"/>
    <s v="Debit  Card"/>
    <n v="1"/>
    <s v="No"/>
    <x v="0"/>
    <s v="Online Fulfillment"/>
    <s v="Debit Card"/>
    <s v="C0069"/>
    <s v="Sarah White"/>
    <s v="Ottawa"/>
    <s v="Consumer"/>
    <s v="Gym Bag"/>
    <x v="2"/>
    <n v="132.72"/>
    <n v="402.76"/>
    <n v="0"/>
    <n v="402.76"/>
    <n v="265.44"/>
    <n v="137.32"/>
    <n v="0.34094746250869001"/>
    <n v="0"/>
    <n v="2025"/>
    <n v="6"/>
    <s v="juin"/>
    <s v="Q2"/>
    <d v="2025-06-01T00:00:00"/>
    <x v="1"/>
  </r>
  <r>
    <s v="ORD-2025-00309"/>
    <d v="2025-07-18T00:00:00"/>
    <s v="C0003"/>
    <s v="P1031"/>
    <s v="Amelia Young, Ottawa, Corporate"/>
    <s v="Calgary North"/>
    <s v="R. Singh"/>
    <s v="Online"/>
    <n v="3"/>
    <n v="252.56"/>
    <n v="0.15"/>
    <s v="PayPal"/>
    <n v="5"/>
    <s v="No"/>
    <x v="2"/>
    <s v="Calgary North"/>
    <s v="PayPal"/>
    <s v="C0003"/>
    <s v="Amelia Young"/>
    <s v="Ottawa"/>
    <s v="Corporate"/>
    <s v="Dumbbell Set"/>
    <x v="2"/>
    <n v="131.72999999999999"/>
    <n v="757.68000000000006"/>
    <n v="113.652"/>
    <n v="644.02800000000002"/>
    <n v="395.18999999999994"/>
    <n v="248.83800000000008"/>
    <n v="0.38637761091132694"/>
    <n v="0"/>
    <n v="2025"/>
    <n v="7"/>
    <s v="juillet"/>
    <s v="Q3"/>
    <d v="2025-07-01T00:00:00"/>
    <x v="1"/>
  </r>
  <r>
    <s v="ORD-2025-00310"/>
    <d v="2025-12-16T00:00:00"/>
    <s v="C0021"/>
    <s v="P1034"/>
    <s v="Nora King, Halifax, Corporate"/>
    <s v="Calgary North"/>
    <s v="M. Wilson"/>
    <s v="Marketplace"/>
    <n v="2"/>
    <n v="140.47"/>
    <n v="0.15"/>
    <s v="Credit Card"/>
    <n v="6"/>
    <s v="No"/>
    <x v="1"/>
    <s v="Calgary North"/>
    <s v="Credit Card"/>
    <s v="C0021"/>
    <s v="Nora King"/>
    <s v="Halifax"/>
    <s v="Corporate"/>
    <s v="Laptop Sleeve"/>
    <x v="4"/>
    <n v="78.95"/>
    <n v="280.94"/>
    <n v="42.140999999999998"/>
    <n v="238.79900000000001"/>
    <n v="157.9"/>
    <n v="80.899000000000001"/>
    <n v="0.33877445047927335"/>
    <n v="0"/>
    <n v="2025"/>
    <n v="12"/>
    <s v="décembre"/>
    <s v="Q4"/>
    <d v="2025-12-01T00:00:00"/>
    <x v="2"/>
  </r>
  <r>
    <s v="ORD-2025-00311"/>
    <d v="2025-09-23T00:00:00"/>
    <s v="C0050"/>
    <s v="P1036"/>
    <s v="Sarah Singh, Mississauga, Consumer"/>
    <s v="Vancouver West"/>
    <s v="N. Brown"/>
    <s v="Retail Store"/>
    <n v="1"/>
    <n v="168.49"/>
    <n v="0.05"/>
    <s v="Debit Card"/>
    <n v="3"/>
    <s v="No"/>
    <x v="0"/>
    <s v="Vancouver West"/>
    <s v="Debit Card"/>
    <s v="C0050"/>
    <s v="Sarah Singh"/>
    <s v="Mississauga"/>
    <s v="Consumer"/>
    <s v="Power Bank"/>
    <x v="4"/>
    <n v="76.97"/>
    <n v="168.49"/>
    <n v="8.4245000000000001"/>
    <n v="160.06550000000001"/>
    <n v="76.97"/>
    <n v="83.095500000000015"/>
    <n v="0.51913435437367828"/>
    <n v="0"/>
    <n v="2025"/>
    <n v="9"/>
    <s v="septembre"/>
    <s v="Q3"/>
    <d v="2025-09-01T00:00:00"/>
    <x v="1"/>
  </r>
  <r>
    <s v="ORD-2025-00312"/>
    <d v="2025-05-18T00:00:00"/>
    <s v="C0107"/>
    <s v="P1035"/>
    <s v="Ava Lee, Calgary, Small Business"/>
    <s v="Montreal Central"/>
    <s v="M. Wilson"/>
    <s v="Online"/>
    <n v="2"/>
    <n v="82.55"/>
    <n v="0.05"/>
    <s v="PayPal"/>
    <n v="7"/>
    <s v="No"/>
    <x v="2"/>
    <s v="Montreal Central"/>
    <s v="PayPal"/>
    <s v="C0107"/>
    <s v="Ava Lee"/>
    <s v="Calgary"/>
    <s v="Small Business"/>
    <s v="Phone Stand"/>
    <x v="4"/>
    <n v="59.85"/>
    <n v="165.1"/>
    <n v="8.2550000000000008"/>
    <n v="156.845"/>
    <n v="119.7"/>
    <n v="37.144999999999996"/>
    <n v="0.2368261659600242"/>
    <n v="0"/>
    <n v="2025"/>
    <n v="5"/>
    <s v="mai"/>
    <s v="Q2"/>
    <d v="2025-05-01T00:00:00"/>
    <x v="0"/>
  </r>
  <r>
    <s v="ORD-2025-00313"/>
    <d v="2025-07-17T00:00:00"/>
    <s v="C0019"/>
    <s v="P1029"/>
    <s v="Lucas Taylor, Montreal, Small Business"/>
    <s v="Montreal Central"/>
    <s v="M. Wilson"/>
    <s v="Retail Store"/>
    <n v="2"/>
    <n v="197.34"/>
    <n v="0.1"/>
    <s v="CC"/>
    <n v="1"/>
    <s v="No"/>
    <x v="0"/>
    <s v="Montreal Central"/>
    <s v="Credit Card"/>
    <s v="C0019"/>
    <s v="Lucas Taylor"/>
    <s v="Montreal"/>
    <s v="Small Business"/>
    <s v="Jump Rope"/>
    <x v="2"/>
    <n v="101"/>
    <n v="394.68"/>
    <n v="39.468000000000004"/>
    <n v="355.21199999999999"/>
    <n v="202"/>
    <n v="153.21199999999999"/>
    <n v="0.43132551828204002"/>
    <n v="0"/>
    <n v="2025"/>
    <n v="7"/>
    <s v="juillet"/>
    <s v="Q3"/>
    <d v="2025-07-01T00:00:00"/>
    <x v="4"/>
  </r>
  <r>
    <s v="ORD-2025-00314"/>
    <d v="2025-08-07T00:00:00"/>
    <s v="C0007"/>
    <s v="P1033"/>
    <s v="Lucas Wilson, Ottawa, Consumer"/>
    <s v="Calgary North"/>
    <s v="R. Singh"/>
    <s v="Retail Store"/>
    <n v="1"/>
    <n v="301.12"/>
    <n v="0.2"/>
    <s v="Credit Card"/>
    <n v="0"/>
    <s v="No"/>
    <x v="0"/>
    <s v="Calgary North"/>
    <s v="Credit Card"/>
    <s v="C0007"/>
    <s v="Lucas Wilson"/>
    <s v="Ottawa"/>
    <s v="Consumer"/>
    <s v="Backpack"/>
    <x v="4"/>
    <n v="152.55000000000001"/>
    <n v="301.12"/>
    <n v="60.224000000000004"/>
    <n v="240.89600000000002"/>
    <n v="152.55000000000001"/>
    <n v="88.346000000000004"/>
    <n v="0.36673917375132836"/>
    <n v="0"/>
    <n v="2025"/>
    <n v="8"/>
    <s v="août"/>
    <s v="Q3"/>
    <d v="2025-08-01T00:00:00"/>
    <x v="1"/>
  </r>
  <r>
    <s v="ORD-2025-00315"/>
    <d v="2025-04-14T00:00:00"/>
    <s v="C0019"/>
    <s v="P1013"/>
    <s v="Lucas Taylor, Montreal, Small Business"/>
    <s v="Calgary North"/>
    <s v="N. Brown"/>
    <s v="Online"/>
    <n v="1"/>
    <n v="127.63"/>
    <n v="0.05"/>
    <s v="Debit Card"/>
    <n v="4"/>
    <s v="No"/>
    <x v="2"/>
    <s v="Calgary North"/>
    <s v="Debit Card"/>
    <s v="C0019"/>
    <s v="Lucas Taylor"/>
    <s v="Montreal"/>
    <s v="Small Business"/>
    <s v="Whiteboard"/>
    <x v="1"/>
    <n v="85.73"/>
    <n v="127.63"/>
    <n v="6.3815"/>
    <n v="121.24849999999999"/>
    <n v="85.73"/>
    <n v="35.518499999999989"/>
    <n v="0.29293970647059542"/>
    <n v="0"/>
    <n v="2025"/>
    <n v="4"/>
    <s v="avril"/>
    <s v="Q2"/>
    <d v="2025-04-01T00:00:00"/>
    <x v="4"/>
  </r>
  <r>
    <s v="ORD-2025-00316"/>
    <d v="2025-04-15T00:00:00"/>
    <s v="C0001"/>
    <s v="P1039"/>
    <s v="Ethan Roy, Halifax, Consumer"/>
    <s v="Vancouver West"/>
    <s v="A. Morgan"/>
    <s v="Retail Store"/>
    <n v="1"/>
    <n v="337.2"/>
    <n v="0.05"/>
    <s v="Credit Card"/>
    <n v="1"/>
    <s v="No"/>
    <x v="0"/>
    <s v="Vancouver West"/>
    <s v="Credit Card"/>
    <s v="C0001"/>
    <s v="Ethan Roy"/>
    <s v="Halifax"/>
    <s v="Consumer"/>
    <s v="Travel Adapter"/>
    <x v="4"/>
    <n v="229.86"/>
    <n v="337.2"/>
    <n v="16.86"/>
    <n v="320.33999999999997"/>
    <n v="229.86"/>
    <n v="90.479999999999961"/>
    <n v="0.28244989698445394"/>
    <n v="0"/>
    <n v="2025"/>
    <n v="4"/>
    <s v="avril"/>
    <s v="Q2"/>
    <d v="2025-04-01T00:00:00"/>
    <x v="2"/>
  </r>
  <r>
    <s v="ORD-2025-00317"/>
    <d v="2025-06-15T00:00:00"/>
    <s v="C0118"/>
    <s v="P1039"/>
    <s v="Ryan Smith, Victoria, Small Business"/>
    <s v="Online Fulfillment"/>
    <s v="M. Wilson"/>
    <s v="Online"/>
    <n v="1"/>
    <n v="334.17"/>
    <n v="0.05"/>
    <s v="Debit Card"/>
    <n v="7"/>
    <s v="No"/>
    <x v="2"/>
    <s v="Online Fulfillment"/>
    <s v="Debit Card"/>
    <s v="C0118"/>
    <s v="Ryan Smith"/>
    <s v="Victoria"/>
    <s v="Small Business"/>
    <s v="Travel Adapter"/>
    <x v="4"/>
    <n v="229.86"/>
    <n v="334.17"/>
    <n v="16.708500000000001"/>
    <n v="317.4615"/>
    <n v="229.86"/>
    <n v="87.601499999999987"/>
    <n v="0.27594369710972821"/>
    <n v="0"/>
    <n v="2025"/>
    <n v="6"/>
    <s v="juin"/>
    <s v="Q2"/>
    <d v="2025-06-01T00:00:00"/>
    <x v="3"/>
  </r>
  <r>
    <s v="ORD-2025-00318"/>
    <d v="2025-05-18T00:00:00"/>
    <s v="C0080"/>
    <s v="P1015"/>
    <s v="Sarah Smith, Mississauga, Corporate"/>
    <s v="Online Fulfillment"/>
    <s v="N. Brown"/>
    <s v="Online"/>
    <n v="1"/>
    <n v="390.94"/>
    <n v="0.2"/>
    <s v="CC"/>
    <n v="4"/>
    <s v="No"/>
    <x v="2"/>
    <s v="Online Fulfillment"/>
    <s v="Credit Card"/>
    <s v="C0080"/>
    <s v="Sarah Smith"/>
    <s v="Mississauga"/>
    <s v="Corporate"/>
    <s v="Desk Organizer"/>
    <x v="1"/>
    <n v="235.76"/>
    <n v="390.94"/>
    <n v="78.188000000000002"/>
    <n v="312.75200000000001"/>
    <n v="235.76"/>
    <n v="76.992000000000019"/>
    <n v="0.24617588376733007"/>
    <n v="0"/>
    <n v="2025"/>
    <n v="5"/>
    <s v="mai"/>
    <s v="Q2"/>
    <d v="2025-05-01T00:00:00"/>
    <x v="1"/>
  </r>
  <r>
    <s v="ORD-2025-00319"/>
    <d v="2025-02-21T00:00:00"/>
    <s v="C0051"/>
    <s v="P1039"/>
    <s v="Daniel Brown, Vancouver, Small Business"/>
    <s v="Calgary North"/>
    <s v="J. Tremblay"/>
    <s v="Marketplace"/>
    <n v="4"/>
    <n v="339.87"/>
    <n v="0"/>
    <s v="Debit Card"/>
    <n v="8"/>
    <s v="No"/>
    <x v="1"/>
    <s v="Calgary North"/>
    <s v="Debit Card"/>
    <s v="C0051"/>
    <s v="Daniel Brown"/>
    <s v="Vancouver"/>
    <s v="Small Business"/>
    <s v="Travel Adapter"/>
    <x v="4"/>
    <n v="229.86"/>
    <n v="1359.48"/>
    <n v="0"/>
    <n v="1359.48"/>
    <n v="919.44"/>
    <n v="440.03999999999996"/>
    <n v="0.32368258451760962"/>
    <n v="0"/>
    <n v="2025"/>
    <n v="2"/>
    <s v="février"/>
    <s v="Q1"/>
    <d v="2025-02-01T00:00:00"/>
    <x v="3"/>
  </r>
  <r>
    <s v="ORD-2025-00320"/>
    <d v="2025-07-28T00:00:00"/>
    <s v="C0116"/>
    <s v="P1019"/>
    <s v="Lucas Brown, Mississauga, Corporate"/>
    <s v="Montreal Central"/>
    <s v="R. Singh"/>
    <s v="Retail Store"/>
    <n v="2"/>
    <n v="268.60000000000002"/>
    <n v="0.15"/>
    <s v="PayPal"/>
    <n v="1"/>
    <s v="No"/>
    <x v="0"/>
    <s v="Montreal Central"/>
    <s v="PayPal"/>
    <s v="C0116"/>
    <s v="Lucas Brown"/>
    <s v="Mississauga"/>
    <s v="Corporate"/>
    <s v="Vacuum"/>
    <x v="3"/>
    <n v="186.94"/>
    <n v="537.20000000000005"/>
    <n v="80.58"/>
    <n v="456.62000000000006"/>
    <n v="373.88"/>
    <n v="82.740000000000066"/>
    <n v="0.18120099864219713"/>
    <n v="0"/>
    <n v="2025"/>
    <n v="7"/>
    <s v="juillet"/>
    <s v="Q3"/>
    <d v="2025-07-01T00:00:00"/>
    <x v="1"/>
  </r>
  <r>
    <s v="ORD-2025-00321"/>
    <d v="2025-03-11T00:00:00"/>
    <s v="C0058"/>
    <s v="P1023"/>
    <s v="Mia Singh, Laval, Consumer"/>
    <s v="Toronto Downtown"/>
    <s v="N. Brown"/>
    <s v="Retail Store"/>
    <n v="3"/>
    <n v="325.47000000000003"/>
    <n v="0.25"/>
    <s v="PayPal"/>
    <n v="3"/>
    <s v="No"/>
    <x v="0"/>
    <s v="Toronto Downtown"/>
    <s v="PayPal"/>
    <s v="C0058"/>
    <s v="Mia Singh"/>
    <s v="Laval"/>
    <s v="Consumer"/>
    <s v="Toaster"/>
    <x v="3"/>
    <n v="152.88"/>
    <n v="976.41000000000008"/>
    <n v="244.10250000000002"/>
    <n v="732.30750000000012"/>
    <n v="458.64"/>
    <n v="273.66750000000013"/>
    <n v="0.37370571788490503"/>
    <n v="0"/>
    <n v="2025"/>
    <n v="3"/>
    <s v="mars"/>
    <s v="Q1"/>
    <d v="2025-03-01T00:00:00"/>
    <x v="4"/>
  </r>
  <r>
    <s v="ORD-2025-00322"/>
    <d v="2025-12-16T00:00:00"/>
    <s v="C0089"/>
    <s v="P1039"/>
    <s v="Lucas Martin , Vancouver , Consumer"/>
    <s v="Online Fulfillment"/>
    <s v="S. Patel"/>
    <s v="Marketplace"/>
    <n v="1"/>
    <n v="354.82"/>
    <n v="0.1"/>
    <s v="Credit Card"/>
    <n v="7"/>
    <s v="No"/>
    <x v="1"/>
    <s v="Online Fulfillment"/>
    <s v="Credit Card"/>
    <s v="C0089"/>
    <s v="Lucas Martin"/>
    <s v="Vancouver"/>
    <s v="Consumer"/>
    <s v="Travel Adapter"/>
    <x v="4"/>
    <n v="229.86"/>
    <n v="354.82"/>
    <n v="35.481999999999999"/>
    <n v="319.33799999999997"/>
    <n v="229.86"/>
    <n v="89.477999999999952"/>
    <n v="0.2801984104616424"/>
    <n v="0"/>
    <n v="2025"/>
    <n v="12"/>
    <s v="décembre"/>
    <s v="Q4"/>
    <d v="2025-12-01T00:00:00"/>
    <x v="3"/>
  </r>
  <r>
    <s v="ORD-2025-00323"/>
    <d v="2025-09-01T00:00:00"/>
    <s v="C0012"/>
    <s v="P1026"/>
    <s v="Daniel Taylor, Victoria, Corporate"/>
    <s v="Vancouver West"/>
    <s v="N. Brown"/>
    <s v="Online"/>
    <n v="1"/>
    <n v="225.3"/>
    <n v="0.05"/>
    <s v="PayPal"/>
    <n v="4"/>
    <s v="No"/>
    <x v="2"/>
    <s v="Vancouver West"/>
    <s v="PayPal"/>
    <s v="C0012"/>
    <s v="Daniel Taylor"/>
    <s v="Victoria"/>
    <s v="Corporate"/>
    <s v="Resistance Bands"/>
    <x v="2"/>
    <n v="139.19999999999999"/>
    <n v="225.3"/>
    <n v="11.265000000000001"/>
    <n v="214.03500000000003"/>
    <n v="139.19999999999999"/>
    <n v="74.835000000000036"/>
    <n v="0.34963907772093361"/>
    <n v="0"/>
    <n v="2025"/>
    <n v="9"/>
    <s v="septembre"/>
    <s v="Q3"/>
    <d v="2025-09-01T00:00:00"/>
    <x v="3"/>
  </r>
  <r>
    <s v="ORD-2025-00324"/>
    <d v="2025-07-02T00:00:00"/>
    <s v="C0050"/>
    <s v="P1022"/>
    <s v="Sarah Singh, Mississauga, Consumer"/>
    <s v="Vancouver West"/>
    <s v="R. Singh"/>
    <s v="Marketplace"/>
    <n v="2"/>
    <n v="430.2"/>
    <n v="0"/>
    <s v="Credit Card"/>
    <n v="6"/>
    <s v="No"/>
    <x v="1"/>
    <s v="Vancouver West"/>
    <s v="Credit Card"/>
    <s v="C0050"/>
    <s v="Sarah Singh"/>
    <s v="Mississauga"/>
    <s v="Consumer"/>
    <s v="Humidifier"/>
    <x v="3"/>
    <n v="239.67"/>
    <n v="860.4"/>
    <n v="0"/>
    <n v="860.4"/>
    <n v="479.34"/>
    <n v="381.06"/>
    <n v="0.44288702928870294"/>
    <n v="0"/>
    <n v="2025"/>
    <n v="7"/>
    <s v="juillet"/>
    <s v="Q3"/>
    <d v="2025-07-01T00:00:00"/>
    <x v="1"/>
  </r>
  <r>
    <s v="ORD-2025-00325"/>
    <d v="2025-05-12T00:00:00"/>
    <s v="C0091"/>
    <s v="P1016"/>
    <s v="Leo Taylor, Victoria, Small Business"/>
    <s v="Montreal Central"/>
    <s v="E. Roy"/>
    <s v="Online"/>
    <n v="3"/>
    <n v="313.67"/>
    <n v="0.25"/>
    <s v="Credit Card"/>
    <n v="7"/>
    <s v="Yes"/>
    <x v="2"/>
    <s v="Montreal Central"/>
    <s v="Credit Card"/>
    <s v="C0091"/>
    <s v="Leo Taylor"/>
    <s v="Victoria"/>
    <s v="Small Business"/>
    <s v="Printer"/>
    <x v="1"/>
    <n v="156.75"/>
    <n v="941.01"/>
    <n v="235.2525"/>
    <n v="705.75749999999994"/>
    <n v="470.25"/>
    <n v="235.50749999999994"/>
    <n v="0.33369464724073067"/>
    <n v="1"/>
    <n v="2025"/>
    <n v="5"/>
    <s v="mai"/>
    <s v="Q2"/>
    <d v="2025-05-01T00:00:00"/>
    <x v="3"/>
  </r>
  <r>
    <s v="ORD-2025-00326"/>
    <d v="2025-12-27T00:00:00"/>
    <s v="C0092"/>
    <s v="P1010"/>
    <s v="Lucas Tremblay, Saskatoon, Consumer"/>
    <s v="Montreal Central"/>
    <s v="R. Singh"/>
    <s v="Online"/>
    <n v="1"/>
    <n v="215.29"/>
    <n v="0"/>
    <s v="Credit Card"/>
    <n v="3"/>
    <s v="Yes"/>
    <x v="2"/>
    <s v="Montreal Central"/>
    <s v="Credit Card"/>
    <s v="C0092"/>
    <s v="Lucas Tremblay"/>
    <s v="Saskatoon"/>
    <s v="Consumer"/>
    <s v="Desk Lamp"/>
    <x v="1"/>
    <n v="127.21"/>
    <n v="215.29"/>
    <n v="0"/>
    <n v="215.29"/>
    <n v="127.21"/>
    <n v="88.08"/>
    <n v="0.40912257884713643"/>
    <n v="1"/>
    <n v="2025"/>
    <n v="12"/>
    <s v="décembre"/>
    <s v="Q4"/>
    <d v="2025-12-01T00:00:00"/>
    <x v="5"/>
  </r>
  <r>
    <s v="ORD-2025-00327"/>
    <d v="2025-07-26T00:00:00"/>
    <s v="C0031"/>
    <s v="P1021"/>
    <s v="Leo Gagnon, Surrey, Small Business"/>
    <s v="Montreal Central"/>
    <s v="A. Morgan"/>
    <s v="Retail  Store"/>
    <n v="1"/>
    <n v="289.89"/>
    <n v="0.05"/>
    <s v="Debit Card"/>
    <n v="1"/>
    <s v="No"/>
    <x v="0"/>
    <s v="Montreal Central"/>
    <s v="Debit Card"/>
    <s v="C0031"/>
    <s v="Leo Gagnon"/>
    <s v="Surrey"/>
    <s v="Small Business"/>
    <s v="Kettle"/>
    <x v="3"/>
    <n v="139.86000000000001"/>
    <n v="289.89"/>
    <n v="14.4945"/>
    <n v="275.39549999999997"/>
    <n v="139.86000000000001"/>
    <n v="135.53549999999996"/>
    <n v="0.492148564519028"/>
    <n v="0"/>
    <n v="2025"/>
    <n v="7"/>
    <s v="juillet"/>
    <s v="Q3"/>
    <d v="2025-07-01T00:00:00"/>
    <x v="3"/>
  </r>
  <r>
    <s v="ORD-2025-00328"/>
    <d v="2025-03-20T00:00:00"/>
    <s v="C0092"/>
    <s v="P1007"/>
    <s v="Lucas Tremblay, Saskatoon, Consumer"/>
    <s v="Calgary North"/>
    <s v="J. Tremblay"/>
    <s v="Retail  Store"/>
    <n v="5"/>
    <n v="335.95"/>
    <n v="0"/>
    <s v="Debit Card"/>
    <n v="1"/>
    <s v="No"/>
    <x v="0"/>
    <s v="Calgary North"/>
    <s v="Debit Card"/>
    <s v="C0092"/>
    <s v="Lucas Tremblay"/>
    <s v="Saskatoon"/>
    <s v="Consumer"/>
    <s v="Monitor"/>
    <x v="0"/>
    <n v="224.47"/>
    <n v="1679.75"/>
    <n v="0"/>
    <n v="1679.75"/>
    <n v="1122.3499999999999"/>
    <n v="557.40000000000009"/>
    <n v="0.33183509450811138"/>
    <n v="0"/>
    <n v="2025"/>
    <n v="3"/>
    <s v="mars"/>
    <s v="Q1"/>
    <d v="2025-03-01T00:00:00"/>
    <x v="5"/>
  </r>
  <r>
    <s v="ORD-2025-00329"/>
    <d v="2025-09-10T00:00:00"/>
    <s v="C0093"/>
    <s v="P1039"/>
    <s v="Ethan Roy, Winnipeg, Consumer"/>
    <s v="Montreal Central"/>
    <s v="S. Patel"/>
    <s v="Online"/>
    <n v="1"/>
    <n v="343.98"/>
    <n v="0.1"/>
    <s v="Credit Card"/>
    <n v="3"/>
    <s v="No"/>
    <x v="2"/>
    <s v="Montreal Central"/>
    <s v="Credit Card"/>
    <s v="C0093"/>
    <s v="Ethan Roy"/>
    <s v="Winnipeg"/>
    <s v="Consumer"/>
    <s v="Travel Adapter"/>
    <x v="4"/>
    <n v="229.86"/>
    <n v="343.98"/>
    <n v="34.398000000000003"/>
    <n v="309.58199999999999"/>
    <n v="229.86"/>
    <n v="79.72199999999998"/>
    <n v="0.25751497180068605"/>
    <n v="0"/>
    <n v="2025"/>
    <n v="9"/>
    <s v="septembre"/>
    <s v="Q3"/>
    <d v="2025-09-01T00:00:00"/>
    <x v="6"/>
  </r>
  <r>
    <s v="ORD-2025-00330"/>
    <d v="2025-10-10T00:00:00"/>
    <s v="C0020"/>
    <s v="P1026"/>
    <s v="Nora Khan, Mississauga, Consumer"/>
    <s v="Vancouver West"/>
    <s v="E. Roy"/>
    <s v="Retail Store"/>
    <n v="4"/>
    <n v="228.16"/>
    <n v="0.15"/>
    <s v="Debit Card"/>
    <n v="3"/>
    <s v="No"/>
    <x v="0"/>
    <s v="Vancouver West"/>
    <s v="Debit Card"/>
    <s v="C0020"/>
    <s v="Nora Khan"/>
    <s v="Mississauga"/>
    <s v="Consumer"/>
    <s v="Resistance Bands"/>
    <x v="2"/>
    <n v="139.19999999999999"/>
    <n v="912.64"/>
    <n v="136.89599999999999"/>
    <n v="775.74400000000003"/>
    <n v="556.79999999999995"/>
    <n v="218.94400000000007"/>
    <n v="0.28223743915518529"/>
    <n v="0"/>
    <n v="2025"/>
    <n v="10"/>
    <s v="octobre"/>
    <s v="Q4"/>
    <d v="2025-10-01T00:00:00"/>
    <x v="1"/>
  </r>
  <r>
    <s v="ORD-2025-00331"/>
    <d v="2025-06-12T00:00:00"/>
    <s v="C0019"/>
    <s v="P1028"/>
    <s v="Lucas Taylor, Montreal, Small Business"/>
    <s v="Montreal Central"/>
    <s v="L. Chen"/>
    <s v="Online"/>
    <n v="2"/>
    <n v="369.52"/>
    <n v="0"/>
    <s v="CC"/>
    <n v="4"/>
    <s v="No"/>
    <x v="2"/>
    <s v="Montreal Central"/>
    <s v="Credit Card"/>
    <s v="C0019"/>
    <s v="Lucas Taylor"/>
    <s v="Montreal"/>
    <s v="Small Business"/>
    <s v="Foam Roller"/>
    <x v="2"/>
    <n v="212.02"/>
    <n v="739.04"/>
    <n v="0"/>
    <n v="739.04"/>
    <n v="424.04"/>
    <n v="314.99999999999994"/>
    <n v="0.42622862091361763"/>
    <n v="0"/>
    <n v="2025"/>
    <n v="6"/>
    <s v="juin"/>
    <s v="Q2"/>
    <d v="2025-06-01T00:00:00"/>
    <x v="4"/>
  </r>
  <r>
    <s v="ORD-2025-00332"/>
    <d v="2025-10-16T00:00:00"/>
    <s v="C0111"/>
    <s v="P1022"/>
    <s v="Noah Khan, Halifax, Consumer"/>
    <s v="Montreal Central"/>
    <s v="S. Patel"/>
    <s v="Online"/>
    <n v="2"/>
    <n v="430.93"/>
    <n v="0.15"/>
    <s v="Credit Card"/>
    <n v="4"/>
    <s v="No"/>
    <x v="2"/>
    <s v="Montreal Central"/>
    <s v="Credit Card"/>
    <s v="C0111"/>
    <s v="Noah Khan"/>
    <s v="Halifax"/>
    <s v="Consumer"/>
    <s v="Humidifier"/>
    <x v="3"/>
    <n v="239.67"/>
    <n v="861.86"/>
    <n v="129.279"/>
    <n v="732.58100000000002"/>
    <n v="479.34"/>
    <n v="253.24100000000004"/>
    <n v="0.34568327597903853"/>
    <n v="0"/>
    <n v="2025"/>
    <n v="10"/>
    <s v="octobre"/>
    <s v="Q4"/>
    <d v="2025-10-01T00:00:00"/>
    <x v="2"/>
  </r>
  <r>
    <s v="ORD-2025-00333"/>
    <d v="2025-04-02T00:00:00"/>
    <s v="C0089"/>
    <s v="P1016"/>
    <s v="Lucas Martin, Vancouver, Consumer"/>
    <s v="Toronto Downtown"/>
    <s v="J. Tremblay"/>
    <s v="Online"/>
    <n v="3"/>
    <n v="319.5"/>
    <n v="0"/>
    <s v="Debit Card"/>
    <n v="2"/>
    <s v="No"/>
    <x v="2"/>
    <s v="Toronto Downtown"/>
    <s v="Debit Card"/>
    <s v="C0089"/>
    <s v="Lucas Martin"/>
    <s v="Vancouver"/>
    <s v="Consumer"/>
    <s v="Printer"/>
    <x v="1"/>
    <n v="156.75"/>
    <n v="958.5"/>
    <n v="0"/>
    <n v="958.5"/>
    <n v="470.25"/>
    <n v="488.25"/>
    <n v="0.50938967136150237"/>
    <n v="0"/>
    <n v="2025"/>
    <n v="4"/>
    <s v="avril"/>
    <s v="Q2"/>
    <d v="2025-04-01T00:00:00"/>
    <x v="3"/>
  </r>
  <r>
    <s v="ORD-2025-00334"/>
    <d v="2025-01-24T00:00:00"/>
    <s v="C0041"/>
    <s v="P1027"/>
    <s v="Amine Chen, Halifax, Small Business"/>
    <s v="Calgary North"/>
    <s v="R. Singh"/>
    <s v="Retail Store"/>
    <n v="1"/>
    <n v="56.55"/>
    <n v="0.1"/>
    <s v="Debit Card"/>
    <n v="4"/>
    <s v="No"/>
    <x v="0"/>
    <s v="Calgary North"/>
    <s v="Debit Card"/>
    <s v="C0041"/>
    <s v="Amine Chen"/>
    <s v="Halifax"/>
    <s v="Small Business"/>
    <s v="Kettlebell"/>
    <x v="2"/>
    <n v="25.97"/>
    <n v="56.55"/>
    <n v="5.6550000000000002"/>
    <n v="50.894999999999996"/>
    <n v="25.97"/>
    <n v="24.924999999999997"/>
    <n v="0.48973376559583454"/>
    <n v="0"/>
    <n v="2025"/>
    <n v="1"/>
    <s v="janvier"/>
    <s v="Q1"/>
    <d v="2025-01-01T00:00:00"/>
    <x v="2"/>
  </r>
  <r>
    <s v="ORD-2025-00335"/>
    <d v="2025-10-07T00:00:00"/>
    <s v="C0021"/>
    <s v="P1023"/>
    <s v="Nora King, Halifax, Corporate"/>
    <s v="Toronto Downtown"/>
    <s v="J. Tremblay"/>
    <s v="Online"/>
    <n v="2"/>
    <n v="330.56"/>
    <n v="0.2"/>
    <s v="Credit Card"/>
    <n v="3"/>
    <s v="No"/>
    <x v="2"/>
    <s v="Toronto Downtown"/>
    <s v="Credit Card"/>
    <s v="C0021"/>
    <s v="Nora King"/>
    <s v="Halifax"/>
    <s v="Corporate"/>
    <s v="Toaster"/>
    <x v="3"/>
    <n v="152.88"/>
    <n v="661.12"/>
    <n v="132.22400000000002"/>
    <n v="528.89599999999996"/>
    <n v="305.76"/>
    <n v="223.13599999999997"/>
    <n v="0.42189012584704738"/>
    <n v="0"/>
    <n v="2025"/>
    <n v="10"/>
    <s v="octobre"/>
    <s v="Q4"/>
    <d v="2025-10-01T00:00:00"/>
    <x v="2"/>
  </r>
  <r>
    <s v="ORD-2025-00336"/>
    <d v="2025-10-20T00:00:00"/>
    <s v="C0089"/>
    <s v="P1014"/>
    <s v="Lucas Martin, Vancouver, Consumer"/>
    <s v="Calgary North"/>
    <s v="E. Roy"/>
    <s v="Online"/>
    <n v="1"/>
    <n v="249.26"/>
    <n v="0.2"/>
    <s v="Credit Card"/>
    <n v="7"/>
    <s v="No"/>
    <x v="2"/>
    <s v="Calgary North"/>
    <s v="Credit Card"/>
    <s v="C0089"/>
    <s v="Lucas Martin"/>
    <s v="Vancouver"/>
    <s v="Consumer"/>
    <s v="Document Shredder"/>
    <x v="1"/>
    <n v="117.65"/>
    <n v="249.26"/>
    <n v="49.852000000000004"/>
    <n v="199.40799999999999"/>
    <n v="117.65"/>
    <n v="81.757999999999981"/>
    <n v="0.41000361068763536"/>
    <n v="0"/>
    <n v="2025"/>
    <n v="10"/>
    <s v="octobre"/>
    <s v="Q4"/>
    <d v="2025-10-01T00:00:00"/>
    <x v="3"/>
  </r>
  <r>
    <s v="ORD-2025-00337"/>
    <d v="2025-02-14T00:00:00"/>
    <s v="C0067"/>
    <s v="P1008"/>
    <s v="Leo Bennett, Mississauga, Consumer"/>
    <s v="Vancouver West"/>
    <s v="M. Wilson"/>
    <s v="Retail  Store"/>
    <n v="1"/>
    <n v="141.25"/>
    <n v="0.15"/>
    <s v="PayPal"/>
    <n v="4"/>
    <s v="No"/>
    <x v="0"/>
    <s v="Vancouver West"/>
    <s v="PayPal"/>
    <s v="C0067"/>
    <s v="Leo Bennett"/>
    <s v="Mississauga"/>
    <s v="Consumer"/>
    <s v="Smart Speaker"/>
    <x v="0"/>
    <n v="69"/>
    <n v="141.25"/>
    <n v="21.1875"/>
    <n v="120.0625"/>
    <n v="69"/>
    <n v="51.0625"/>
    <n v="0.42529932326913067"/>
    <n v="0"/>
    <n v="2025"/>
    <n v="2"/>
    <s v="février"/>
    <s v="Q1"/>
    <d v="2025-02-01T00:00:00"/>
    <x v="1"/>
  </r>
  <r>
    <s v="ORD-2025-00338"/>
    <d v="2025-09-18T00:00:00"/>
    <s v="C0060"/>
    <s v="P1009"/>
    <s v="Sarah Wilson, Quebec City, Corporate"/>
    <s v="Vancouver West"/>
    <s v="E. Roy"/>
    <s v="Retail Store"/>
    <n v="1"/>
    <n v="280.99"/>
    <n v="0"/>
    <s v="Debit Card"/>
    <n v="3"/>
    <s v="No"/>
    <x v="0"/>
    <s v="Vancouver West"/>
    <s v="Debit Card"/>
    <s v="C0060"/>
    <s v="Sarah Wilson"/>
    <s v="Quebec City"/>
    <s v="Corporate"/>
    <s v="Notebook"/>
    <x v="1"/>
    <n v="176.13"/>
    <n v="280.99"/>
    <n v="0"/>
    <n v="280.99"/>
    <n v="176.13"/>
    <n v="104.86000000000001"/>
    <n v="0.37318054023274855"/>
    <n v="0"/>
    <n v="2025"/>
    <n v="9"/>
    <s v="septembre"/>
    <s v="Q3"/>
    <d v="2025-09-01T00:00:00"/>
    <x v="4"/>
  </r>
  <r>
    <s v="ORD-2025-00339"/>
    <d v="2025-06-18T00:00:00"/>
    <s v="C0114"/>
    <s v="P1034"/>
    <s v="Olivia Johnson, Ottawa, Consumer"/>
    <s v="Online Fulfillment"/>
    <s v="R. Singh"/>
    <s v="Retail Store"/>
    <n v="1"/>
    <n v="136.97999999999999"/>
    <n v="0.2"/>
    <s v="Credit Card"/>
    <n v="4"/>
    <s v="No"/>
    <x v="0"/>
    <s v="Online Fulfillment"/>
    <s v="Credit Card"/>
    <s v="C0114"/>
    <s v="Olivia Johnson"/>
    <s v="Ottawa"/>
    <s v="Consumer"/>
    <s v="Laptop Sleeve"/>
    <x v="4"/>
    <n v="78.95"/>
    <n v="136.97999999999999"/>
    <n v="27.396000000000001"/>
    <n v="109.58399999999999"/>
    <n v="78.95"/>
    <n v="30.633999999999986"/>
    <n v="0.2795481092130237"/>
    <n v="0"/>
    <n v="2025"/>
    <n v="6"/>
    <s v="juin"/>
    <s v="Q2"/>
    <d v="2025-06-01T00:00:00"/>
    <x v="1"/>
  </r>
  <r>
    <s v="ORD-2025-00340"/>
    <d v="2025-05-31T00:00:00"/>
    <s v="C0086"/>
    <s v="P1004"/>
    <s v="Adam Gagnon, Winnipeg, Consumer"/>
    <s v="Calgary North"/>
    <s v="S. Patel"/>
    <s v="Retail Store"/>
    <n v="3"/>
    <n v="297.43"/>
    <n v="0.15"/>
    <s v="Debit Card"/>
    <n v="0"/>
    <s v="No"/>
    <x v="0"/>
    <s v="Calgary North"/>
    <s v="Debit Card"/>
    <s v="C0086"/>
    <s v="Adam Gagnon"/>
    <s v="Winnipeg"/>
    <s v="Consumer"/>
    <s v="Webcam"/>
    <x v="0"/>
    <n v="154.72999999999999"/>
    <n v="892.29"/>
    <n v="133.84349999999998"/>
    <n v="758.44650000000001"/>
    <n v="464.18999999999994"/>
    <n v="294.25650000000007"/>
    <n v="0.38797265199325209"/>
    <n v="0"/>
    <n v="2025"/>
    <n v="5"/>
    <s v="mai"/>
    <s v="Q2"/>
    <d v="2025-05-01T00:00:00"/>
    <x v="6"/>
  </r>
  <r>
    <s v="ORD-2025-00341"/>
    <d v="2025-06-09T00:00:00"/>
    <s v="C0077"/>
    <s v="P1024"/>
    <s v="Amine Taylor, Surrey, Small Business"/>
    <s v="Montreal Central"/>
    <s v="R. Singh"/>
    <s v="Online"/>
    <n v="2"/>
    <n v="106.69"/>
    <n v="0.1"/>
    <s v="Credit Card"/>
    <n v="1"/>
    <s v="No"/>
    <x v="2"/>
    <s v="Montreal Central"/>
    <s v="Credit Card"/>
    <s v="C0077"/>
    <s v="Amine Taylor"/>
    <s v="Surrey"/>
    <s v="Small Business"/>
    <s v="Food Scale"/>
    <x v="3"/>
    <n v="46.07"/>
    <n v="213.38"/>
    <n v="21.338000000000001"/>
    <n v="192.042"/>
    <n v="92.14"/>
    <n v="99.902000000000001"/>
    <n v="0.5202091209214651"/>
    <n v="0"/>
    <n v="2025"/>
    <n v="6"/>
    <s v="juin"/>
    <s v="Q2"/>
    <d v="2025-06-01T00:00:00"/>
    <x v="3"/>
  </r>
  <r>
    <s v="ORD-2025-00342"/>
    <d v="2025-01-19T00:00:00"/>
    <s v="C0104"/>
    <s v="P1039"/>
    <s v="Ava Scott, Edmonton, Corporate"/>
    <s v="Calgary North"/>
    <s v="S. Patel"/>
    <s v="Marketplace"/>
    <n v="4"/>
    <n v="344.84"/>
    <n v="0"/>
    <s v="PayPal"/>
    <n v="7"/>
    <s v="No"/>
    <x v="1"/>
    <s v="Calgary North"/>
    <s v="PayPal"/>
    <s v="C0104"/>
    <s v="Ava Scott"/>
    <s v="Edmonton"/>
    <s v="Corporate"/>
    <s v="Travel Adapter"/>
    <x v="4"/>
    <n v="229.86"/>
    <n v="1379.36"/>
    <n v="0"/>
    <n v="1379.36"/>
    <n v="919.44"/>
    <n v="459.91999999999985"/>
    <n v="0.33342999652012517"/>
    <n v="0"/>
    <n v="2025"/>
    <n v="1"/>
    <s v="janvier"/>
    <s v="Q1"/>
    <d v="2025-01-01T00:00:00"/>
    <x v="0"/>
  </r>
  <r>
    <s v="ORD-2025-00343"/>
    <d v="2025-05-09T00:00:00"/>
    <s v="C0095"/>
    <s v="P1009"/>
    <s v="Maya White, Quebec City, Corporate"/>
    <s v="Montreal Central"/>
    <s v="M. Wilson"/>
    <s v="Online"/>
    <n v="2"/>
    <n v="309.99"/>
    <n v="0.05"/>
    <m/>
    <n v="2"/>
    <s v="No"/>
    <x v="2"/>
    <s v="Montreal Central"/>
    <s v="Non renseigné"/>
    <s v="C0095"/>
    <s v="Maya White"/>
    <s v="Quebec City"/>
    <s v="Corporate"/>
    <s v="Notebook"/>
    <x v="1"/>
    <n v="176.13"/>
    <n v="619.98"/>
    <n v="30.999000000000002"/>
    <n v="588.98099999999999"/>
    <n v="352.26"/>
    <n v="236.721"/>
    <n v="0.40191619084486596"/>
    <n v="0"/>
    <n v="2025"/>
    <n v="5"/>
    <s v="mai"/>
    <s v="Q2"/>
    <d v="2025-05-01T00:00:00"/>
    <x v="4"/>
  </r>
  <r>
    <s v="ORD-2025-00344"/>
    <d v="2025-02-15T00:00:00"/>
    <s v="C0034"/>
    <s v="P1028"/>
    <s v="Noah Tremblay, Toronto, Corporate"/>
    <s v="Montreal Central"/>
    <s v="L. Chen"/>
    <s v="Online"/>
    <n v="1"/>
    <n v="351.13"/>
    <n v="0"/>
    <s v="Debit Card"/>
    <n v="8"/>
    <s v="No"/>
    <x v="2"/>
    <s v="Montreal Central"/>
    <s v="Debit Card"/>
    <s v="C0034"/>
    <s v="Noah Tremblay"/>
    <s v="Toronto"/>
    <s v="Corporate"/>
    <s v="Foam Roller"/>
    <x v="2"/>
    <n v="212.02"/>
    <n v="351.13"/>
    <n v="0"/>
    <n v="351.13"/>
    <n v="212.02"/>
    <n v="139.10999999999999"/>
    <n v="0.39617805371230025"/>
    <n v="0"/>
    <n v="2025"/>
    <n v="2"/>
    <s v="février"/>
    <s v="Q1"/>
    <d v="2025-02-01T00:00:00"/>
    <x v="1"/>
  </r>
  <r>
    <s v="ORD-2025-00345"/>
    <d v="2025-08-15T00:00:00"/>
    <s v="C0024"/>
    <s v="P1006"/>
    <s v="Ryan King, Mississauga, Consumer"/>
    <s v="Vancouver West"/>
    <s v="L. Chen"/>
    <s v="Online"/>
    <n v="5"/>
    <n v="107.3"/>
    <n v="0"/>
    <s v="Credit Card"/>
    <n v="6"/>
    <s v="No"/>
    <x v="2"/>
    <s v="Vancouver West"/>
    <s v="Credit Card"/>
    <s v="C0024"/>
    <s v="Ryan King"/>
    <s v="Mississauga"/>
    <s v="Consumer"/>
    <s v="USB-C Hub"/>
    <x v="0"/>
    <n v="72"/>
    <n v="536.5"/>
    <n v="0"/>
    <n v="536.5"/>
    <n v="360"/>
    <n v="176.5"/>
    <n v="0.32898415657036345"/>
    <n v="0"/>
    <n v="2025"/>
    <n v="8"/>
    <s v="août"/>
    <s v="Q3"/>
    <d v="2025-08-01T00:00:00"/>
    <x v="1"/>
  </r>
  <r>
    <s v="ORD-2025-00346"/>
    <d v="2025-10-13T00:00:00"/>
    <s v="C0016"/>
    <s v="P1030"/>
    <s v="Nora Singh, Calgary, Consumer"/>
    <s v="Vancouver West"/>
    <s v="E. Roy"/>
    <s v="Online"/>
    <n v="1"/>
    <n v="236.69"/>
    <n v="0.05"/>
    <s v="Debit Card"/>
    <n v="5"/>
    <s v="No"/>
    <x v="2"/>
    <s v="Vancouver West"/>
    <s v="Debit Card"/>
    <s v="C0016"/>
    <s v="Nora Singh"/>
    <s v="Calgary"/>
    <s v="Consumer"/>
    <s v="Pull-up Bar"/>
    <x v="2"/>
    <n v="125.4"/>
    <n v="236.69"/>
    <n v="11.8345"/>
    <n v="224.85550000000001"/>
    <n v="125.4"/>
    <n v="99.455500000000001"/>
    <n v="0.44230850479530187"/>
    <n v="0"/>
    <n v="2025"/>
    <n v="10"/>
    <s v="octobre"/>
    <s v="Q4"/>
    <d v="2025-10-01T00:00:00"/>
    <x v="0"/>
  </r>
  <r>
    <s v="ORD-2025-00347"/>
    <d v="2025-10-06T00:00:00"/>
    <s v="C0007"/>
    <s v="P1031"/>
    <s v="Lucas Wilson, Ottawa, Consumer"/>
    <s v="Vancouver West"/>
    <s v="N. Brown"/>
    <s v="Online"/>
    <n v="2"/>
    <n v="237.79"/>
    <n v="0.1"/>
    <s v="Credit Card"/>
    <n v="7"/>
    <s v="No"/>
    <x v="2"/>
    <s v="Vancouver West"/>
    <s v="Credit Card"/>
    <s v="C0007"/>
    <s v="Lucas Wilson"/>
    <s v="Ottawa"/>
    <s v="Consumer"/>
    <s v="Dumbbell Set"/>
    <x v="2"/>
    <n v="131.72999999999999"/>
    <n v="475.58"/>
    <n v="47.558"/>
    <n v="428.02199999999999"/>
    <n v="263.45999999999998"/>
    <n v="164.56200000000001"/>
    <n v="0.38447089168313781"/>
    <n v="0"/>
    <n v="2025"/>
    <n v="10"/>
    <s v="octobre"/>
    <s v="Q4"/>
    <d v="2025-10-01T00:00:00"/>
    <x v="1"/>
  </r>
  <r>
    <s v="ORD-2025-00348"/>
    <d v="2025-05-05T00:00:00"/>
    <s v="C0009"/>
    <s v="P1019"/>
    <s v="Ethan Tremblay, Mississauga, Corporate"/>
    <s v="Calgary North"/>
    <s v="E. Roy"/>
    <s v="Retail Store"/>
    <n v="4"/>
    <n v="253.99"/>
    <n v="0"/>
    <s v="CC"/>
    <n v="4"/>
    <s v="No"/>
    <x v="0"/>
    <s v="Calgary North"/>
    <s v="Credit Card"/>
    <s v="C0009"/>
    <s v="Ethan Tremblay"/>
    <s v="Mississauga"/>
    <s v="Corporate"/>
    <s v="Vacuum"/>
    <x v="3"/>
    <n v="186.94"/>
    <n v="1015.96"/>
    <n v="0"/>
    <n v="1015.96"/>
    <n v="747.76"/>
    <n v="268.20000000000005"/>
    <n v="0.26398677113272179"/>
    <n v="0"/>
    <n v="2025"/>
    <n v="5"/>
    <s v="mai"/>
    <s v="Q2"/>
    <d v="2025-05-01T00:00:00"/>
    <x v="1"/>
  </r>
  <r>
    <s v="ORD-2025-00349"/>
    <d v="2025-06-28T00:00:00"/>
    <s v="C0052"/>
    <s v="P1027"/>
    <s v="Liam Bennett, Edmonton, Corporate"/>
    <s v="Vancouver West"/>
    <s v="J. Tremblay"/>
    <s v="Online"/>
    <n v="1"/>
    <n v="59.27"/>
    <n v="0.1"/>
    <s v="Credit Card"/>
    <n v="1"/>
    <s v="No"/>
    <x v="2"/>
    <s v="Vancouver West"/>
    <s v="Credit Card"/>
    <s v="C0052"/>
    <s v="Liam Bennett"/>
    <s v="Edmonton"/>
    <s v="Corporate"/>
    <s v="Kettlebell"/>
    <x v="2"/>
    <n v="25.97"/>
    <n v="59.27"/>
    <n v="5.9270000000000005"/>
    <n v="53.343000000000004"/>
    <n v="25.97"/>
    <n v="27.373000000000005"/>
    <n v="0.51315074142811623"/>
    <n v="0"/>
    <n v="2025"/>
    <n v="6"/>
    <s v="juin"/>
    <s v="Q2"/>
    <d v="2025-06-01T00:00:00"/>
    <x v="0"/>
  </r>
  <r>
    <s v="ORD-2025-00350"/>
    <d v="2025-08-27T00:00:00"/>
    <s v="C0096"/>
    <s v="P1005"/>
    <s v="Ryan Roy, Laval, Corporate"/>
    <s v="Calgary North"/>
    <s v="R. Singh"/>
    <s v="Online"/>
    <n v="1"/>
    <n v="244.01"/>
    <n v="0.05"/>
    <s v="Credit Card"/>
    <n v="6"/>
    <s v="Yes"/>
    <x v="2"/>
    <s v="Calgary North"/>
    <s v="Credit Card"/>
    <s v="C0096"/>
    <s v="Ryan Roy"/>
    <s v="Laval"/>
    <s v="Corporate"/>
    <s v="Portable SSD"/>
    <x v="0"/>
    <n v="131.19"/>
    <n v="244.01"/>
    <n v="12.2005"/>
    <n v="231.80949999999999"/>
    <n v="131.19"/>
    <n v="100.61949999999999"/>
    <n v="0.4340611579767007"/>
    <n v="1"/>
    <n v="2025"/>
    <n v="8"/>
    <s v="août"/>
    <s v="Q3"/>
    <d v="2025-08-01T00:00:00"/>
    <x v="4"/>
  </r>
  <r>
    <s v="ORD-2025-00351"/>
    <d v="2025-04-30T00:00:00"/>
    <s v="C0006"/>
    <s v="P1031"/>
    <s v="Nora Wilson, Laval, Consumer"/>
    <s v="Calgary North"/>
    <s v="M. Wilson"/>
    <s v="Retail Store"/>
    <n v="3"/>
    <n v="255.82"/>
    <n v="0"/>
    <s v="PayPal"/>
    <n v="4"/>
    <s v="No"/>
    <x v="0"/>
    <s v="Calgary North"/>
    <s v="PayPal"/>
    <s v="C0006"/>
    <s v="Nora Wilson"/>
    <s v="Laval"/>
    <s v="Consumer"/>
    <s v="Dumbbell Set"/>
    <x v="2"/>
    <n v="131.72999999999999"/>
    <n v="767.46"/>
    <n v="0"/>
    <n v="767.46"/>
    <n v="395.18999999999994"/>
    <n v="372.2700000000001"/>
    <n v="0.48506762567430234"/>
    <n v="0"/>
    <n v="2025"/>
    <n v="4"/>
    <s v="avril"/>
    <s v="Q2"/>
    <d v="2025-04-01T00:00:00"/>
    <x v="4"/>
  </r>
  <r>
    <s v="ORD-2025-00352"/>
    <d v="2025-08-09T00:00:00"/>
    <s v="C0091"/>
    <s v="P1003"/>
    <s v="Leo Taylor , Victoria , Small Business"/>
    <s v="Toronto Downtown"/>
    <s v="N. Brown"/>
    <s v="Marketplace"/>
    <n v="2"/>
    <n v="164.5"/>
    <n v="0"/>
    <s v="PayPal"/>
    <n v="2"/>
    <s v="No"/>
    <x v="1"/>
    <s v="Toronto Downtown"/>
    <s v="PayPal"/>
    <s v="C0091"/>
    <s v="Leo Taylor"/>
    <s v="Victoria"/>
    <s v="Small Business"/>
    <s v="Mouse"/>
    <x v="0"/>
    <n v="106.4"/>
    <n v="329"/>
    <n v="0"/>
    <n v="329"/>
    <n v="212.8"/>
    <n v="116.19999999999999"/>
    <n v="0.35319148936170208"/>
    <n v="0"/>
    <n v="2025"/>
    <n v="8"/>
    <s v="août"/>
    <s v="Q3"/>
    <d v="2025-08-01T00:00:00"/>
    <x v="3"/>
  </r>
  <r>
    <s v="ORD-2025-00353"/>
    <d v="2025-01-09T00:00:00"/>
    <s v="C0003"/>
    <s v="P1023"/>
    <s v="Amelia Young, Ottawa, Corporate"/>
    <s v="Montreal Central"/>
    <s v="A. Morgan"/>
    <s v="Retail Store"/>
    <n v="1"/>
    <n v="339.34"/>
    <n v="0.05"/>
    <s v="Credit Card"/>
    <n v="0"/>
    <s v="No"/>
    <x v="0"/>
    <s v="Montreal Central"/>
    <s v="Credit Card"/>
    <s v="C0003"/>
    <s v="Amelia Young"/>
    <s v="Ottawa"/>
    <s v="Corporate"/>
    <s v="Toaster"/>
    <x v="3"/>
    <n v="152.88"/>
    <n v="339.34"/>
    <n v="16.966999999999999"/>
    <n v="322.37299999999999"/>
    <n v="152.88"/>
    <n v="169.49299999999999"/>
    <n v="0.52576673604799407"/>
    <n v="0"/>
    <n v="2025"/>
    <n v="1"/>
    <s v="janvier"/>
    <s v="Q1"/>
    <d v="2025-01-01T00:00:00"/>
    <x v="1"/>
  </r>
  <r>
    <s v="ORD-2025-00354"/>
    <d v="2025-12-25T00:00:00"/>
    <s v="C0088"/>
    <s v="P1029"/>
    <s v="Olivia Bennett, Vancouver, Small Business"/>
    <s v="Online Fulfillment"/>
    <s v="M. Wilson"/>
    <s v="Retail Store"/>
    <n v="2"/>
    <n v="191.38"/>
    <n v="0.15"/>
    <s v="PayPal"/>
    <n v="2"/>
    <s v="No"/>
    <x v="0"/>
    <s v="Online Fulfillment"/>
    <s v="PayPal"/>
    <s v="C0088"/>
    <s v="Olivia Bennett"/>
    <s v="Vancouver"/>
    <s v="Small Business"/>
    <s v="Jump Rope"/>
    <x v="2"/>
    <n v="101"/>
    <n v="382.76"/>
    <n v="57.413999999999994"/>
    <n v="325.346"/>
    <n v="202"/>
    <n v="123.346"/>
    <n v="0.3791225341636289"/>
    <n v="0"/>
    <n v="2025"/>
    <n v="12"/>
    <s v="décembre"/>
    <s v="Q4"/>
    <d v="2025-12-01T00:00:00"/>
    <x v="3"/>
  </r>
  <r>
    <s v="ORD-2025-00355"/>
    <d v="2025-04-24T00:00:00"/>
    <s v="C0010"/>
    <s v="P1019"/>
    <s v="Ethan Martin, Victoria, Corporate"/>
    <s v="Toronto Downtown"/>
    <s v="N. Brown"/>
    <s v="Online"/>
    <n v="2"/>
    <n v="283.27999999999997"/>
    <n v="0.1"/>
    <s v="CC"/>
    <n v="4"/>
    <s v="Yes"/>
    <x v="2"/>
    <s v="Toronto Downtown"/>
    <s v="Credit Card"/>
    <s v="C0010"/>
    <s v="Ethan Martin"/>
    <s v="Victoria"/>
    <s v="Corporate"/>
    <s v="Vacuum"/>
    <x v="3"/>
    <n v="186.94"/>
    <n v="566.55999999999995"/>
    <n v="56.655999999999999"/>
    <n v="509.90399999999994"/>
    <n v="373.88"/>
    <n v="136.02399999999994"/>
    <n v="0.26676393987887909"/>
    <n v="1"/>
    <n v="2025"/>
    <n v="4"/>
    <s v="avril"/>
    <s v="Q2"/>
    <d v="2025-04-01T00:00:00"/>
    <x v="3"/>
  </r>
  <r>
    <s v="ORD-2025-00356"/>
    <d v="2025-12-30T00:00:00"/>
    <s v="C0053"/>
    <s v="P1011"/>
    <s v="Ryan Lee , Laval , Consumer"/>
    <s v="Calgary North"/>
    <s v="N. Brown"/>
    <s v="Retail Store"/>
    <n v="3"/>
    <n v="79.77"/>
    <n v="0"/>
    <s v="Debit Card"/>
    <n v="3"/>
    <s v="No"/>
    <x v="0"/>
    <s v="Calgary North"/>
    <s v="Debit Card"/>
    <s v="C0053"/>
    <s v="Ryan Lee"/>
    <s v="Laval"/>
    <s v="Consumer"/>
    <s v="Office Chair"/>
    <x v="1"/>
    <n v="39.26"/>
    <n v="239.31"/>
    <n v="0"/>
    <n v="239.31"/>
    <n v="117.78"/>
    <n v="121.53"/>
    <n v="0.50783502569888428"/>
    <n v="0"/>
    <n v="2025"/>
    <n v="12"/>
    <s v="décembre"/>
    <s v="Q4"/>
    <d v="2025-12-01T00:00:00"/>
    <x v="4"/>
  </r>
  <r>
    <s v="ORD-2025-00357"/>
    <d v="2025-08-10T00:00:00"/>
    <s v="C0084"/>
    <s v="P1033"/>
    <s v="Ryan Clark, Montreal, Corporate"/>
    <s v="Online Fulfillment"/>
    <s v="L. Chen"/>
    <s v="Retail Store"/>
    <n v="1"/>
    <n v="307.58999999999997"/>
    <n v="0.2"/>
    <s v="Credit Card"/>
    <n v="4"/>
    <s v="No"/>
    <x v="0"/>
    <s v="Online Fulfillment"/>
    <s v="Credit Card"/>
    <s v="C0084"/>
    <s v="Ryan Clark"/>
    <s v="Montreal"/>
    <s v="Corporate"/>
    <s v="Backpack"/>
    <x v="4"/>
    <n v="152.55000000000001"/>
    <n v="307.58999999999997"/>
    <n v="61.518000000000001"/>
    <n v="246.07199999999997"/>
    <n v="152.55000000000001"/>
    <n v="93.521999999999963"/>
    <n v="0.38005949478201489"/>
    <n v="0"/>
    <n v="2025"/>
    <n v="8"/>
    <s v="août"/>
    <s v="Q3"/>
    <d v="2025-08-01T00:00:00"/>
    <x v="4"/>
  </r>
  <r>
    <s v="ORD-2025-00358"/>
    <d v="2025-08-09T00:00:00"/>
    <s v="C0096"/>
    <s v="P1012"/>
    <s v="Ryan Roy, Laval, Corporate"/>
    <s v="Montreal Central"/>
    <s v="N. Brown"/>
    <s v="Online"/>
    <n v="2"/>
    <n v="85.44"/>
    <n v="0.1"/>
    <s v="Credit Card"/>
    <n v="7"/>
    <s v="Yes"/>
    <x v="2"/>
    <s v="Montreal Central"/>
    <s v="Credit Card"/>
    <s v="C0096"/>
    <s v="Ryan Roy"/>
    <s v="Laval"/>
    <s v="Corporate"/>
    <s v="Standing Desk"/>
    <x v="1"/>
    <n v="45.17"/>
    <n v="170.88"/>
    <n v="17.088000000000001"/>
    <n v="153.792"/>
    <n v="90.34"/>
    <n v="63.451999999999998"/>
    <n v="0.41258322929671243"/>
    <n v="1"/>
    <n v="2025"/>
    <n v="8"/>
    <s v="août"/>
    <s v="Q3"/>
    <d v="2025-08-01T00:00:00"/>
    <x v="4"/>
  </r>
  <r>
    <s v="ORD-2025-00359"/>
    <d v="2025-06-17T00:00:00"/>
    <s v="C0008"/>
    <s v="P1007"/>
    <s v="Mia Wilson, Calgary, Consumer"/>
    <s v="Toronto Downtown"/>
    <s v="A. Morgan"/>
    <s v="Online"/>
    <n v="2"/>
    <n v="364.57"/>
    <n v="0.15"/>
    <m/>
    <n v="1"/>
    <s v="No"/>
    <x v="2"/>
    <s v="Toronto Downtown"/>
    <s v="Non renseigné"/>
    <s v="C0008"/>
    <s v="Mia Wilson"/>
    <s v="Calgary"/>
    <s v="Consumer"/>
    <s v="Monitor"/>
    <x v="0"/>
    <n v="224.47"/>
    <n v="729.14"/>
    <n v="109.371"/>
    <n v="619.76900000000001"/>
    <n v="448.94"/>
    <n v="170.82900000000001"/>
    <n v="0.27563334080923702"/>
    <n v="0"/>
    <n v="2025"/>
    <n v="6"/>
    <s v="juin"/>
    <s v="Q2"/>
    <d v="2025-06-01T00:00:00"/>
    <x v="0"/>
  </r>
  <r>
    <s v="ORD-2025-00360"/>
    <d v="2025-04-09T00:00:00"/>
    <s v="C0091"/>
    <s v="P1018"/>
    <s v="Leo Taylor, Victoria, Small Business"/>
    <s v="Toronto Downtown"/>
    <s v="N. Brown"/>
    <s v="Online"/>
    <n v="1"/>
    <n v="31.76"/>
    <n v="0.05"/>
    <s v="Credit Card"/>
    <n v="7"/>
    <s v="No"/>
    <x v="2"/>
    <s v="Toronto Downtown"/>
    <s v="Credit Card"/>
    <s v="C0091"/>
    <s v="Leo Taylor"/>
    <s v="Victoria"/>
    <s v="Small Business"/>
    <s v="Air Fryer"/>
    <x v="3"/>
    <n v="14.58"/>
    <n v="31.76"/>
    <n v="1.5880000000000001"/>
    <n v="30.172000000000001"/>
    <n v="14.58"/>
    <n v="15.592000000000001"/>
    <n v="0.51677051570992971"/>
    <n v="0"/>
    <n v="2025"/>
    <n v="4"/>
    <s v="avril"/>
    <s v="Q2"/>
    <d v="2025-04-01T00:00:00"/>
    <x v="3"/>
  </r>
  <r>
    <s v="ORD-2025-00361"/>
    <d v="2025-02-14T00:00:00"/>
    <s v="C0040"/>
    <s v="P1028"/>
    <s v="Ethan Young, Surrey, Consumer"/>
    <s v="Vancouver West"/>
    <s v="L. Chen"/>
    <s v="Retail Store"/>
    <n v="4"/>
    <n v="366.27"/>
    <n v="0"/>
    <s v="PayPal"/>
    <n v="0"/>
    <s v="No"/>
    <x v="0"/>
    <s v="Vancouver West"/>
    <s v="PayPal"/>
    <s v="C0040"/>
    <s v="Ethan Young"/>
    <s v="Surrey"/>
    <s v="Consumer"/>
    <s v="Foam Roller"/>
    <x v="2"/>
    <n v="212.02"/>
    <n v="1465.08"/>
    <n v="0"/>
    <n v="1465.08"/>
    <n v="848.08"/>
    <n v="616.99999999999989"/>
    <n v="0.42113741229147889"/>
    <n v="0"/>
    <n v="2025"/>
    <n v="2"/>
    <s v="février"/>
    <s v="Q1"/>
    <d v="2025-02-01T00:00:00"/>
    <x v="3"/>
  </r>
  <r>
    <s v="ORD-2025-00362"/>
    <d v="2025-01-07T00:00:00"/>
    <s v="C0028"/>
    <s v="P1008"/>
    <s v="Mia Clark, Victoria, Consumer"/>
    <s v="Toronto Downtown"/>
    <s v="M. Wilson"/>
    <s v="Online"/>
    <n v="1"/>
    <n v="137"/>
    <n v="0.15"/>
    <s v="Debit Card"/>
    <n v="1"/>
    <s v="No"/>
    <x v="2"/>
    <s v="Toronto Downtown"/>
    <s v="Debit Card"/>
    <s v="C0028"/>
    <s v="Mia Clark"/>
    <s v="Victoria"/>
    <s v="Consumer"/>
    <s v="Smart Speaker"/>
    <x v="0"/>
    <n v="69"/>
    <n v="137"/>
    <n v="20.55"/>
    <n v="116.45"/>
    <n v="69"/>
    <n v="47.45"/>
    <n v="0.40747101760412197"/>
    <n v="0"/>
    <n v="2025"/>
    <n v="1"/>
    <s v="janvier"/>
    <s v="Q1"/>
    <d v="2025-01-01T00:00:00"/>
    <x v="3"/>
  </r>
  <r>
    <s v="ORD-2025-00363"/>
    <d v="2025-04-24T00:00:00"/>
    <s v="C0003"/>
    <s v="P1037"/>
    <s v="Amelia Young, Ottawa, Corporate"/>
    <s v="Montreal  Central"/>
    <s v="E. Roy"/>
    <s v="Retail  Store"/>
    <n v="2"/>
    <n v="346.11"/>
    <n v="0.15"/>
    <s v="Credit Card"/>
    <n v="0"/>
    <s v="Yes"/>
    <x v="0"/>
    <s v="Montreal Central"/>
    <s v="Credit Card"/>
    <s v="C0003"/>
    <s v="Amelia Young"/>
    <s v="Ottawa"/>
    <s v="Corporate"/>
    <s v="Cable Set"/>
    <x v="4"/>
    <n v="200.16"/>
    <n v="692.22"/>
    <n v="103.833"/>
    <n v="588.38700000000006"/>
    <n v="400.32"/>
    <n v="188.06700000000006"/>
    <n v="0.31963146704464929"/>
    <n v="1"/>
    <n v="2025"/>
    <n v="4"/>
    <s v="avril"/>
    <s v="Q2"/>
    <d v="2025-04-01T00:00:00"/>
    <x v="1"/>
  </r>
  <r>
    <s v="ORD-2025-00364"/>
    <d v="2025-10-09T00:00:00"/>
    <s v="C0065"/>
    <s v="P1005"/>
    <s v="Mia Wilson, Quebec City, Consumer"/>
    <s v="Online Fulfillment"/>
    <s v="L. Chen"/>
    <s v="Online"/>
    <n v="1"/>
    <n v="243.13"/>
    <n v="0"/>
    <s v="PayPal"/>
    <n v="5"/>
    <s v="No"/>
    <x v="2"/>
    <s v="Online Fulfillment"/>
    <s v="PayPal"/>
    <s v="C0065"/>
    <s v="Mia Wilson"/>
    <s v="Quebec City"/>
    <s v="Consumer"/>
    <s v="Portable SSD"/>
    <x v="0"/>
    <n v="131.19"/>
    <n v="243.13"/>
    <n v="0"/>
    <n v="243.13"/>
    <n v="131.19"/>
    <n v="111.94"/>
    <n v="0.46041212520051"/>
    <n v="0"/>
    <n v="2025"/>
    <n v="10"/>
    <s v="octobre"/>
    <s v="Q4"/>
    <d v="2025-10-01T00:00:00"/>
    <x v="4"/>
  </r>
  <r>
    <s v="ORD-2025-00365"/>
    <d v="2025-05-17T00:00:00"/>
    <s v="C0098"/>
    <s v="P1020"/>
    <s v="Nora Young, Winnipeg, Consumer"/>
    <s v="Vancouver West"/>
    <s v="R. Singh"/>
    <s v="Online"/>
    <n v="4"/>
    <n v="66.459999999999994"/>
    <n v="0"/>
    <s v="Credit Card"/>
    <n v="3"/>
    <s v="No"/>
    <x v="2"/>
    <s v="Vancouver West"/>
    <s v="Credit Card"/>
    <s v="C0098"/>
    <s v="Nora Young"/>
    <s v="Winnipeg"/>
    <s v="Consumer"/>
    <s v="Blender"/>
    <x v="3"/>
    <n v="37.46"/>
    <n v="265.83999999999997"/>
    <n v="0"/>
    <n v="265.83999999999997"/>
    <n v="149.84"/>
    <n v="115.99999999999997"/>
    <n v="0.43635269334938304"/>
    <n v="0"/>
    <n v="2025"/>
    <n v="5"/>
    <s v="mai"/>
    <s v="Q2"/>
    <d v="2025-05-01T00:00:00"/>
    <x v="6"/>
  </r>
  <r>
    <s v="ORD-2025-00366"/>
    <d v="2025-08-29T00:00:00"/>
    <s v="C0071"/>
    <s v="P1040"/>
    <s v="Ethan Lee, Surrey, Consumer"/>
    <s v="Vancouver West"/>
    <s v="R. Singh"/>
    <s v="Online"/>
    <n v="2"/>
    <n v="320.83999999999997"/>
    <n v="0.25"/>
    <s v="PayPal"/>
    <n v="5"/>
    <s v="No"/>
    <x v="2"/>
    <s v="Vancouver West"/>
    <s v="PayPal"/>
    <s v="C0071"/>
    <s v="Ethan Lee"/>
    <s v="Surrey"/>
    <s v="Consumer"/>
    <s v="Desk Pad"/>
    <x v="4"/>
    <n v="177.57"/>
    <n v="641.67999999999995"/>
    <n v="160.41999999999999"/>
    <n v="481.26"/>
    <n v="355.14"/>
    <n v="126.12"/>
    <n v="0.26206208702156841"/>
    <n v="0"/>
    <n v="2025"/>
    <n v="8"/>
    <s v="août"/>
    <s v="Q3"/>
    <d v="2025-08-01T00:00:00"/>
    <x v="3"/>
  </r>
  <r>
    <s v="ORD-2025-00367"/>
    <d v="2025-08-08T00:00:00"/>
    <s v="C0018"/>
    <s v="P1003"/>
    <s v="Sophia Tremblay, Laval, Small Business"/>
    <s v="Toronto Downtown"/>
    <s v="M. Wilson"/>
    <s v="Online"/>
    <n v="3"/>
    <n v="165.26"/>
    <n v="0.05"/>
    <s v="Credit Card"/>
    <n v="1"/>
    <s v="No"/>
    <x v="2"/>
    <s v="Toronto Downtown"/>
    <s v="Credit Card"/>
    <s v="C0018"/>
    <s v="Sophia Tremblay"/>
    <s v="Laval"/>
    <s v="Small Business"/>
    <s v="Mouse"/>
    <x v="0"/>
    <n v="106.4"/>
    <n v="495.78"/>
    <n v="24.789000000000001"/>
    <n v="470.99099999999999"/>
    <n v="319.20000000000005"/>
    <n v="151.79099999999994"/>
    <n v="0.32228004356771139"/>
    <n v="0"/>
    <n v="2025"/>
    <n v="8"/>
    <s v="août"/>
    <s v="Q3"/>
    <d v="2025-08-01T00:00:00"/>
    <x v="4"/>
  </r>
  <r>
    <s v="ORD-2025-00368"/>
    <d v="2025-08-28T00:00:00"/>
    <s v="C0101"/>
    <s v="P1029"/>
    <s v="Noah Martin, Saskatoon, Small Business"/>
    <s v="Calgary North"/>
    <s v="N. Brown"/>
    <s v="Retail Store"/>
    <n v="1"/>
    <n v="209.3"/>
    <n v="0.1"/>
    <s v="Credit Card"/>
    <n v="2"/>
    <s v="No"/>
    <x v="0"/>
    <s v="Calgary North"/>
    <s v="Credit Card"/>
    <s v="C0101"/>
    <s v="Noah Martin"/>
    <s v="Saskatoon"/>
    <s v="Small Business"/>
    <s v="Jump Rope"/>
    <x v="2"/>
    <n v="101"/>
    <n v="209.3"/>
    <n v="20.930000000000003"/>
    <n v="188.37"/>
    <n v="101"/>
    <n v="87.37"/>
    <n v="0.46382120295163776"/>
    <n v="0"/>
    <n v="2025"/>
    <n v="8"/>
    <s v="août"/>
    <s v="Q3"/>
    <d v="2025-08-01T00:00:00"/>
    <x v="5"/>
  </r>
  <r>
    <s v="ORD-2025-00369"/>
    <d v="2025-09-23T00:00:00"/>
    <s v="C0050"/>
    <s v="P1016"/>
    <s v="Sarah Singh, Mississauga, Consumer"/>
    <s v="Toronto Downtown"/>
    <s v="J. Tremblay"/>
    <s v="Retail Store"/>
    <n v="1"/>
    <n v="308.68"/>
    <n v="0.2"/>
    <s v="Credit Card"/>
    <n v="2"/>
    <s v="No"/>
    <x v="0"/>
    <s v="Toronto Downtown"/>
    <s v="Credit Card"/>
    <s v="C0050"/>
    <s v="Sarah Singh"/>
    <s v="Mississauga"/>
    <s v="Consumer"/>
    <s v="Printer"/>
    <x v="1"/>
    <n v="156.75"/>
    <n v="308.68"/>
    <n v="61.736000000000004"/>
    <n v="246.94400000000002"/>
    <n v="156.75"/>
    <n v="90.194000000000017"/>
    <n v="0.36524070234547107"/>
    <n v="0"/>
    <n v="2025"/>
    <n v="9"/>
    <s v="septembre"/>
    <s v="Q3"/>
    <d v="2025-09-01T00:00:00"/>
    <x v="1"/>
  </r>
  <r>
    <s v="ORD-2025-00370"/>
    <d v="2025-08-18T00:00:00"/>
    <s v="C0042"/>
    <s v="P1010"/>
    <s v="Emma King, Quebec City, Consumer"/>
    <s v="Toronto Downtown"/>
    <s v="N. Brown"/>
    <s v="Retail Store"/>
    <n v="3"/>
    <n v="215.17"/>
    <n v="0.2"/>
    <s v="Credit Card"/>
    <n v="0"/>
    <s v="No"/>
    <x v="0"/>
    <s v="Toronto Downtown"/>
    <s v="Credit Card"/>
    <s v="C0042"/>
    <s v="Emma King"/>
    <s v="Quebec City"/>
    <s v="Consumer"/>
    <s v="Desk Lamp"/>
    <x v="1"/>
    <n v="127.21"/>
    <n v="645.51"/>
    <n v="129.102"/>
    <n v="516.40800000000002"/>
    <n v="381.63"/>
    <n v="134.77800000000002"/>
    <n v="0.26099130919737884"/>
    <n v="0"/>
    <n v="2025"/>
    <n v="8"/>
    <s v="août"/>
    <s v="Q3"/>
    <d v="2025-08-01T00:00:00"/>
    <x v="4"/>
  </r>
  <r>
    <s v="ORD-2025-00371"/>
    <d v="2025-06-08T00:00:00"/>
    <s v="C0091"/>
    <s v="P1006"/>
    <s v="Leo Taylor, Victoria, Small Business"/>
    <s v="Calgary North"/>
    <s v="R. Singh"/>
    <s v="Retail Store"/>
    <n v="3"/>
    <n v="111.59"/>
    <n v="0.05"/>
    <s v="Debit Card"/>
    <n v="1"/>
    <s v="Yes"/>
    <x v="0"/>
    <s v="Calgary North"/>
    <s v="Debit Card"/>
    <s v="C0091"/>
    <s v="Leo Taylor"/>
    <s v="Victoria"/>
    <s v="Small Business"/>
    <s v="USB-C Hub"/>
    <x v="0"/>
    <n v="72"/>
    <n v="334.77"/>
    <n v="16.738499999999998"/>
    <n v="318.03149999999999"/>
    <n v="216"/>
    <n v="102.03149999999999"/>
    <n v="0.32082199404775941"/>
    <n v="1"/>
    <n v="2025"/>
    <n v="6"/>
    <s v="juin"/>
    <s v="Q2"/>
    <d v="2025-06-01T00:00:00"/>
    <x v="3"/>
  </r>
  <r>
    <s v="ORD-2025-00372"/>
    <d v="2025-01-06T00:00:00"/>
    <s v="C0074"/>
    <s v="P1024"/>
    <s v="Sophia Chen, Vancouver, Corporate"/>
    <s v="Toronto Downtown"/>
    <s v="R. Singh"/>
    <s v="Online"/>
    <n v="2"/>
    <n v="102.81"/>
    <n v="0"/>
    <s v="PayPal"/>
    <n v="7"/>
    <s v="No"/>
    <x v="2"/>
    <s v="Toronto Downtown"/>
    <s v="PayPal"/>
    <s v="C0074"/>
    <s v="Sophia Chen"/>
    <s v="Vancouver"/>
    <s v="Corporate"/>
    <s v="Food Scale"/>
    <x v="3"/>
    <n v="46.07"/>
    <n v="205.62"/>
    <n v="0"/>
    <n v="205.62"/>
    <n v="92.14"/>
    <n v="113.48"/>
    <n v="0.55189183931524166"/>
    <n v="0"/>
    <n v="2025"/>
    <n v="1"/>
    <s v="janvier"/>
    <s v="Q1"/>
    <d v="2025-01-01T00:00:00"/>
    <x v="3"/>
  </r>
  <r>
    <s v="ORD-2025-00373"/>
    <d v="2025-06-20T00:00:00"/>
    <s v="C0104"/>
    <s v="P1026"/>
    <s v="Ava Scott, Edmonton, Corporate"/>
    <s v="Toronto Downtown"/>
    <s v="J. Tremblay"/>
    <s v="Online"/>
    <n v="1"/>
    <n v="224.42"/>
    <n v="0.05"/>
    <s v="Credit Card"/>
    <n v="7"/>
    <s v="No"/>
    <x v="2"/>
    <s v="Toronto Downtown"/>
    <s v="Credit Card"/>
    <s v="C0104"/>
    <s v="Ava Scott"/>
    <s v="Edmonton"/>
    <s v="Corporate"/>
    <s v="Resistance Bands"/>
    <x v="2"/>
    <n v="139.19999999999999"/>
    <n v="224.42"/>
    <n v="11.221"/>
    <n v="213.19899999999998"/>
    <n v="139.19999999999999"/>
    <n v="73.998999999999995"/>
    <n v="0.3470888700228425"/>
    <n v="0"/>
    <n v="2025"/>
    <n v="6"/>
    <s v="juin"/>
    <s v="Q2"/>
    <d v="2025-06-01T00:00:00"/>
    <x v="0"/>
  </r>
  <r>
    <s v="ORD-2025-00374"/>
    <d v="2025-12-10T00:00:00"/>
    <s v="C0029"/>
    <s v="P1015"/>
    <s v="Olivia White , Victoria , Consumer"/>
    <s v="Online Fulfillment"/>
    <s v="N. Brown"/>
    <s v="Retail Store"/>
    <n v="1"/>
    <n v="386.46"/>
    <n v="0.2"/>
    <s v="Debit Card"/>
    <n v="0"/>
    <s v="No"/>
    <x v="0"/>
    <s v="Online Fulfillment"/>
    <s v="Debit Card"/>
    <s v="C0029"/>
    <s v="Olivia White"/>
    <s v="Victoria"/>
    <s v="Consumer"/>
    <s v="Desk Organizer"/>
    <x v="1"/>
    <n v="235.76"/>
    <n v="386.46"/>
    <n v="77.292000000000002"/>
    <n v="309.16800000000001"/>
    <n v="235.76"/>
    <n v="73.408000000000015"/>
    <n v="0.23743725094447035"/>
    <n v="0"/>
    <n v="2025"/>
    <n v="12"/>
    <s v="décembre"/>
    <s v="Q4"/>
    <d v="2025-12-01T00:00:00"/>
    <x v="3"/>
  </r>
  <r>
    <s v="ORD-2025-00375"/>
    <d v="2025-05-28T00:00:00"/>
    <s v="C0098"/>
    <s v="P1016"/>
    <s v="Nora Young, Winnipeg, Consumer"/>
    <s v="Vancouver West"/>
    <s v="E. Roy"/>
    <s v="Online"/>
    <n v="2"/>
    <n v="334.82"/>
    <n v="0.05"/>
    <s v="Credit Card"/>
    <n v="4"/>
    <s v="No"/>
    <x v="2"/>
    <s v="Vancouver West"/>
    <s v="Credit Card"/>
    <s v="C0098"/>
    <s v="Nora Young"/>
    <s v="Winnipeg"/>
    <s v="Consumer"/>
    <s v="Printer"/>
    <x v="1"/>
    <n v="156.75"/>
    <n v="669.64"/>
    <n v="33.481999999999999"/>
    <n v="636.15800000000002"/>
    <n v="313.5"/>
    <n v="322.65800000000002"/>
    <n v="0.50719789737769549"/>
    <n v="0"/>
    <n v="2025"/>
    <n v="5"/>
    <s v="mai"/>
    <s v="Q2"/>
    <d v="2025-05-01T00:00:00"/>
    <x v="6"/>
  </r>
  <r>
    <s v="ORD-2025-00376"/>
    <d v="2025-11-03T00:00:00"/>
    <s v="C0056"/>
    <s v="P1033"/>
    <s v="Sarah Wilson, Halifax, Consumer"/>
    <s v="Vancouver West"/>
    <s v="S. Patel"/>
    <s v="Online"/>
    <n v="2"/>
    <n v="313.77999999999997"/>
    <n v="0.15"/>
    <s v="PayPal"/>
    <n v="1"/>
    <s v="No"/>
    <x v="2"/>
    <s v="Vancouver West"/>
    <s v="PayPal"/>
    <s v="C0056"/>
    <s v="Sarah Wilson"/>
    <s v="Halifax"/>
    <s v="Consumer"/>
    <s v="Backpack"/>
    <x v="4"/>
    <n v="152.55000000000001"/>
    <n v="627.55999999999995"/>
    <n v="94.133999999999986"/>
    <n v="533.42599999999993"/>
    <n v="305.10000000000002"/>
    <n v="228.32599999999991"/>
    <n v="0.42803687859234446"/>
    <n v="0"/>
    <n v="2025"/>
    <n v="11"/>
    <s v="novembre"/>
    <s v="Q4"/>
    <d v="2025-11-01T00:00:00"/>
    <x v="2"/>
  </r>
  <r>
    <s v="ORD-2025-00377"/>
    <d v="2025-01-13T00:00:00"/>
    <s v="C0080"/>
    <s v="P1019"/>
    <s v="Sarah Smith, Mississauga, Corporate"/>
    <s v="Montreal Central"/>
    <s v="N. Brown"/>
    <s v="Marketplace"/>
    <n v="2"/>
    <n v="262.64999999999998"/>
    <n v="0.05"/>
    <s v="Credit Card"/>
    <n v="8"/>
    <s v="No"/>
    <x v="1"/>
    <s v="Montreal Central"/>
    <s v="Credit Card"/>
    <s v="C0080"/>
    <s v="Sarah Smith"/>
    <s v="Mississauga"/>
    <s v="Corporate"/>
    <s v="Vacuum"/>
    <x v="3"/>
    <n v="186.94"/>
    <n v="525.29999999999995"/>
    <n v="26.265000000000001"/>
    <n v="499.03499999999997"/>
    <n v="373.88"/>
    <n v="125.15499999999997"/>
    <n v="0.25079403248269155"/>
    <n v="0"/>
    <n v="2025"/>
    <n v="1"/>
    <s v="janvier"/>
    <s v="Q1"/>
    <d v="2025-01-01T00:00:00"/>
    <x v="1"/>
  </r>
  <r>
    <s v="ORD-2025-00378"/>
    <d v="2025-08-22T00:00:00"/>
    <s v="C0099"/>
    <s v="P1004"/>
    <s v="Amine Gagnon, Laval, Small Business"/>
    <s v="Calgary North"/>
    <s v="N. Brown"/>
    <s v="Retail Store"/>
    <n v="3"/>
    <n v="277.93"/>
    <n v="0.05"/>
    <m/>
    <n v="2"/>
    <s v="No"/>
    <x v="0"/>
    <s v="Calgary North"/>
    <s v="Non renseigné"/>
    <s v="C0099"/>
    <s v="Amine Gagnon"/>
    <s v="Laval"/>
    <s v="Small Business"/>
    <s v="Webcam"/>
    <x v="0"/>
    <n v="154.72999999999999"/>
    <n v="833.79"/>
    <n v="41.689500000000002"/>
    <n v="792.10050000000001"/>
    <n v="464.18999999999994"/>
    <n v="327.91050000000007"/>
    <n v="0.41397587806092795"/>
    <n v="0"/>
    <n v="2025"/>
    <n v="8"/>
    <s v="août"/>
    <s v="Q3"/>
    <d v="2025-08-01T00:00:00"/>
    <x v="4"/>
  </r>
  <r>
    <s v="ORD-2025-00379"/>
    <d v="2025-05-16T00:00:00"/>
    <s v="C0119"/>
    <s v="P1018"/>
    <s v="Liam Chen, Winnipeg, Consumer"/>
    <s v="Online Fulfillment"/>
    <s v="L. Chen"/>
    <s v="Online"/>
    <n v="4"/>
    <n v="29.49"/>
    <n v="0"/>
    <s v="PayPal"/>
    <n v="2"/>
    <s v="No"/>
    <x v="2"/>
    <s v="Online Fulfillment"/>
    <s v="PayPal"/>
    <s v="C0119"/>
    <s v="Liam Chen"/>
    <s v="Winnipeg"/>
    <s v="Consumer"/>
    <s v="Air Fryer"/>
    <x v="3"/>
    <n v="14.58"/>
    <n v="117.96"/>
    <n v="0"/>
    <n v="117.96"/>
    <n v="58.32"/>
    <n v="59.639999999999993"/>
    <n v="0.50559511698880977"/>
    <n v="0"/>
    <n v="2025"/>
    <n v="5"/>
    <s v="mai"/>
    <s v="Q2"/>
    <d v="2025-05-01T00:00:00"/>
    <x v="6"/>
  </r>
  <r>
    <s v="ORD-2025-00380"/>
    <d v="2025-03-03T00:00:00"/>
    <s v="C0069"/>
    <s v="P1006"/>
    <s v="Sarah White, Ottawa, Consumer"/>
    <s v="Vancouver West"/>
    <s v="L. Chen"/>
    <s v="Online"/>
    <n v="3"/>
    <n v="102"/>
    <n v="0"/>
    <s v="PayPal"/>
    <n v="8"/>
    <s v="No"/>
    <x v="2"/>
    <s v="Vancouver West"/>
    <s v="PayPal"/>
    <s v="C0069"/>
    <s v="Sarah White"/>
    <s v="Ottawa"/>
    <s v="Consumer"/>
    <s v="USB-C Hub"/>
    <x v="0"/>
    <n v="72"/>
    <n v="306"/>
    <n v="0"/>
    <n v="306"/>
    <n v="216"/>
    <n v="90"/>
    <n v="0.29411764705882354"/>
    <n v="0"/>
    <n v="2025"/>
    <n v="3"/>
    <s v="mars"/>
    <s v="Q1"/>
    <d v="2025-03-01T00:00:00"/>
    <x v="1"/>
  </r>
  <r>
    <s v="ORD-2025-00381"/>
    <d v="2025-03-30T00:00:00"/>
    <s v="C0082"/>
    <s v="P1012"/>
    <s v="Ryan King, Winnipeg, Small Business"/>
    <s v="Montreal Central"/>
    <s v="S. Patel"/>
    <s v="Marketplace"/>
    <n v="3"/>
    <n v="81.489999999999995"/>
    <n v="0.05"/>
    <s v="Gift Card"/>
    <n v="2"/>
    <s v="No"/>
    <x v="1"/>
    <s v="Montreal Central"/>
    <s v="Gift Card"/>
    <s v="C0082"/>
    <s v="Ryan King"/>
    <s v="Winnipeg"/>
    <s v="Small Business"/>
    <s v="Standing Desk"/>
    <x v="1"/>
    <n v="45.17"/>
    <n v="244.46999999999997"/>
    <n v="12.2235"/>
    <n v="232.24649999999997"/>
    <n v="135.51"/>
    <n v="96.736499999999978"/>
    <n v="0.41652511447965845"/>
    <n v="0"/>
    <n v="2025"/>
    <n v="3"/>
    <s v="mars"/>
    <s v="Q1"/>
    <d v="2025-03-01T00:00:00"/>
    <x v="6"/>
  </r>
  <r>
    <s v="ORD-2025-00382"/>
    <d v="2025-05-09T00:00:00"/>
    <s v="C0009"/>
    <s v="P1012"/>
    <s v="Ethan Tremblay, Mississauga, Corporate"/>
    <s v="Toronto Downtown"/>
    <s v="N. Brown"/>
    <s v="Retail Store"/>
    <n v="4"/>
    <n v="82.08"/>
    <n v="0.2"/>
    <s v="Debit Card"/>
    <n v="1"/>
    <s v="No"/>
    <x v="0"/>
    <s v="Toronto Downtown"/>
    <s v="Debit Card"/>
    <s v="C0009"/>
    <s v="Ethan Tremblay"/>
    <s v="Mississauga"/>
    <s v="Corporate"/>
    <s v="Standing Desk"/>
    <x v="1"/>
    <n v="45.17"/>
    <n v="328.32"/>
    <n v="65.664000000000001"/>
    <n v="262.65600000000001"/>
    <n v="180.68"/>
    <n v="81.975999999999999"/>
    <n v="0.31210404483430798"/>
    <n v="0"/>
    <n v="2025"/>
    <n v="5"/>
    <s v="mai"/>
    <s v="Q2"/>
    <d v="2025-05-01T00:00:00"/>
    <x v="1"/>
  </r>
  <r>
    <s v="ORD-2025-00383"/>
    <d v="2025-10-17T00:00:00"/>
    <s v="C0043"/>
    <s v="P1007"/>
    <s v="Ava Brown, Ottawa, Small Business"/>
    <s v="Calgary North"/>
    <s v="N. Brown"/>
    <s v="Marketplace"/>
    <n v="2"/>
    <n v="369.15"/>
    <n v="0"/>
    <s v="PayPal"/>
    <n v="2"/>
    <s v="No"/>
    <x v="1"/>
    <s v="Calgary North"/>
    <s v="PayPal"/>
    <s v="C0043"/>
    <s v="Ava Brown"/>
    <s v="Ottawa"/>
    <s v="Small Business"/>
    <s v="Monitor"/>
    <x v="0"/>
    <n v="224.47"/>
    <n v="738.3"/>
    <n v="0"/>
    <n v="738.3"/>
    <n v="448.94"/>
    <n v="289.35999999999996"/>
    <n v="0.39192740078558846"/>
    <n v="0"/>
    <n v="2025"/>
    <n v="10"/>
    <s v="octobre"/>
    <s v="Q4"/>
    <d v="2025-10-01T00:00:00"/>
    <x v="1"/>
  </r>
  <r>
    <s v="ORD-2025-00384"/>
    <d v="2025-10-17T00:00:00"/>
    <s v="C0037"/>
    <s v="P1029"/>
    <s v="Lucas Scott, Victoria, Small Business"/>
    <s v="Vancouver West"/>
    <s v="S. Patel"/>
    <s v="Online"/>
    <n v="5"/>
    <n v="198.14"/>
    <n v="0.25"/>
    <s v="PayPal"/>
    <n v="6"/>
    <s v="Yes"/>
    <x v="2"/>
    <s v="Vancouver West"/>
    <s v="PayPal"/>
    <s v="C0037"/>
    <s v="Lucas Scott"/>
    <s v="Victoria"/>
    <s v="Small Business"/>
    <s v="Jump Rope"/>
    <x v="2"/>
    <n v="101"/>
    <n v="990.69999999999993"/>
    <n v="247.67499999999998"/>
    <n v="743.02499999999998"/>
    <n v="505"/>
    <n v="238.02499999999998"/>
    <n v="0.32034588338212039"/>
    <n v="1"/>
    <n v="2025"/>
    <n v="10"/>
    <s v="octobre"/>
    <s v="Q4"/>
    <d v="2025-10-01T00:00:00"/>
    <x v="3"/>
  </r>
  <r>
    <s v="ORD-2025-00385"/>
    <d v="2025-05-06T00:00:00"/>
    <s v="C0035"/>
    <s v="P1034"/>
    <s v="Amelia Scott, Edmonton, Small Business"/>
    <s v="Calgary North"/>
    <s v="M. Wilson"/>
    <s v="Online"/>
    <n v="1"/>
    <n v="151.30000000000001"/>
    <n v="0"/>
    <s v="Debit Card"/>
    <n v="8"/>
    <s v="No"/>
    <x v="2"/>
    <s v="Calgary North"/>
    <s v="Debit Card"/>
    <s v="C0035"/>
    <s v="Amelia Scott"/>
    <s v="Edmonton"/>
    <s v="Small Business"/>
    <s v="Laptop Sleeve"/>
    <x v="4"/>
    <n v="78.95"/>
    <n v="151.30000000000001"/>
    <n v="0"/>
    <n v="151.30000000000001"/>
    <n v="78.95"/>
    <n v="72.350000000000009"/>
    <n v="0.47818902842035693"/>
    <n v="0"/>
    <n v="2025"/>
    <n v="5"/>
    <s v="mai"/>
    <s v="Q2"/>
    <d v="2025-05-01T00:00:00"/>
    <x v="0"/>
  </r>
  <r>
    <s v="ORD-2025-00386"/>
    <d v="2025-04-26T00:00:00"/>
    <s v="C0032"/>
    <s v="P1029"/>
    <s v="Nora Bennett, Surrey, Consumer"/>
    <s v="Toronto Downtown"/>
    <s v="J. Tremblay"/>
    <s v="Online"/>
    <n v="3"/>
    <n v="210.85"/>
    <n v="0.1"/>
    <s v="PayPal"/>
    <n v="8"/>
    <s v="No"/>
    <x v="2"/>
    <s v="Toronto Downtown"/>
    <s v="PayPal"/>
    <s v="C0032"/>
    <s v="Nora Bennett"/>
    <s v="Surrey"/>
    <s v="Consumer"/>
    <s v="Jump Rope"/>
    <x v="2"/>
    <n v="101"/>
    <n v="632.54999999999995"/>
    <n v="63.254999999999995"/>
    <n v="569.29499999999996"/>
    <n v="303"/>
    <n v="266.29499999999996"/>
    <n v="0.46776275920217109"/>
    <n v="0"/>
    <n v="2025"/>
    <n v="4"/>
    <s v="avril"/>
    <s v="Q2"/>
    <d v="2025-04-01T00:00:00"/>
    <x v="3"/>
  </r>
  <r>
    <s v="ORD-2025-00387"/>
    <d v="2025-12-28T00:00:00"/>
    <s v="C0105"/>
    <s v="P1026"/>
    <s v="Liam Martin, Calgary, Consumer"/>
    <s v="Vancouver West"/>
    <s v="J. Tremblay"/>
    <s v="Online"/>
    <n v="1"/>
    <n v="223.94"/>
    <n v="0"/>
    <s v="Credit Card"/>
    <n v="7"/>
    <s v="Yes"/>
    <x v="2"/>
    <s v="Vancouver West"/>
    <s v="Credit Card"/>
    <s v="C0105"/>
    <s v="Liam Martin"/>
    <s v="Calgary"/>
    <s v="Consumer"/>
    <s v="Resistance Bands"/>
    <x v="2"/>
    <n v="139.19999999999999"/>
    <n v="223.94"/>
    <n v="0"/>
    <n v="223.94"/>
    <n v="139.19999999999999"/>
    <n v="84.740000000000009"/>
    <n v="0.37840492989193536"/>
    <n v="1"/>
    <n v="2025"/>
    <n v="12"/>
    <s v="décembre"/>
    <s v="Q4"/>
    <d v="2025-12-01T00:00:00"/>
    <x v="0"/>
  </r>
  <r>
    <s v="ORD-2025-00388"/>
    <d v="2025-12-18T00:00:00"/>
    <s v="C0036"/>
    <s v="P1006"/>
    <s v="Sarah Wilson, Montreal, Corporate"/>
    <s v="Montreal Central"/>
    <s v="A. Morgan"/>
    <s v="Online"/>
    <n v="1"/>
    <n v="103.33"/>
    <n v="0.1"/>
    <s v="Debit Card"/>
    <n v="9"/>
    <s v="No"/>
    <x v="2"/>
    <s v="Montreal Central"/>
    <s v="Debit Card"/>
    <s v="C0036"/>
    <s v="Sarah Wilson"/>
    <s v="Montreal"/>
    <s v="Corporate"/>
    <s v="USB-C Hub"/>
    <x v="0"/>
    <n v="72"/>
    <n v="103.33"/>
    <n v="10.333"/>
    <n v="92.997"/>
    <n v="72"/>
    <n v="20.997"/>
    <n v="0.22578147682183297"/>
    <n v="0"/>
    <n v="2025"/>
    <n v="12"/>
    <s v="décembre"/>
    <s v="Q4"/>
    <d v="2025-12-01T00:00:00"/>
    <x v="4"/>
  </r>
  <r>
    <s v="ORD-2025-00389"/>
    <d v="2025-09-11T00:00:00"/>
    <s v="C0046"/>
    <s v="P1003"/>
    <s v="Amelia Bennett, Laval, Consumer"/>
    <s v="Montreal Central"/>
    <s v="E. Roy"/>
    <s v="Retail Store"/>
    <n v="1"/>
    <n v="153.69999999999999"/>
    <n v="0.05"/>
    <s v="Credit Card"/>
    <n v="1"/>
    <s v="No"/>
    <x v="0"/>
    <s v="Montreal Central"/>
    <s v="Credit Card"/>
    <s v="C0046"/>
    <s v="Amelia Bennett"/>
    <s v="Laval"/>
    <s v="Consumer"/>
    <s v="Mouse"/>
    <x v="0"/>
    <n v="106.4"/>
    <n v="153.69999999999999"/>
    <n v="7.6849999999999996"/>
    <n v="146.01499999999999"/>
    <n v="106.4"/>
    <n v="39.614999999999981"/>
    <n v="0.27130774235523736"/>
    <n v="0"/>
    <n v="2025"/>
    <n v="9"/>
    <s v="septembre"/>
    <s v="Q3"/>
    <d v="2025-09-01T00:00:00"/>
    <x v="4"/>
  </r>
  <r>
    <s v="ORD-2025-00390"/>
    <d v="2025-01-21T00:00:00"/>
    <s v="C0048"/>
    <s v="P1023"/>
    <s v="Amelia Brown, Quebec City, Corporate"/>
    <s v="Montreal Central"/>
    <s v="E. Roy"/>
    <s v="Online"/>
    <n v="3"/>
    <n v="318.11"/>
    <n v="0.05"/>
    <s v="Credit Card"/>
    <n v="5"/>
    <s v="No"/>
    <x v="2"/>
    <s v="Montreal Central"/>
    <s v="Credit Card"/>
    <s v="C0048"/>
    <s v="Amelia Brown"/>
    <s v="Quebec City"/>
    <s v="Corporate"/>
    <s v="Toaster"/>
    <x v="3"/>
    <n v="152.88"/>
    <n v="954.33"/>
    <n v="47.716500000000003"/>
    <n v="906.61350000000004"/>
    <n v="458.64"/>
    <n v="447.97350000000006"/>
    <n v="0.49411739401630356"/>
    <n v="0"/>
    <n v="2025"/>
    <n v="1"/>
    <s v="janvier"/>
    <s v="Q1"/>
    <d v="2025-01-01T00:00:00"/>
    <x v="4"/>
  </r>
  <r>
    <s v="ORD-2025-00391"/>
    <d v="2025-07-24T00:00:00"/>
    <s v="C0095"/>
    <s v="P1026"/>
    <s v="Maya White, Quebec City, Corporate"/>
    <s v="Toronto Downtown"/>
    <s v="R. Singh"/>
    <s v="Online"/>
    <n v="2"/>
    <n v="213.53"/>
    <n v="0.15"/>
    <s v="PayPal"/>
    <n v="7"/>
    <s v="No"/>
    <x v="2"/>
    <s v="Toronto Downtown"/>
    <s v="PayPal"/>
    <s v="C0095"/>
    <s v="Maya White"/>
    <s v="Quebec City"/>
    <s v="Corporate"/>
    <s v="Resistance Bands"/>
    <x v="2"/>
    <n v="139.19999999999999"/>
    <n v="427.06"/>
    <n v="64.058999999999997"/>
    <n v="363.00099999999998"/>
    <n v="278.39999999999998"/>
    <n v="84.600999999999999"/>
    <n v="0.23305996402213769"/>
    <n v="0"/>
    <n v="2025"/>
    <n v="7"/>
    <s v="juillet"/>
    <s v="Q3"/>
    <d v="2025-07-01T00:00:00"/>
    <x v="4"/>
  </r>
  <r>
    <s v="ORD-2025-00392"/>
    <d v="2025-12-27T00:00:00"/>
    <s v="C0018"/>
    <s v="P1019"/>
    <s v="Sophia Tremblay, Laval, Small Business"/>
    <s v="Online Fulfillment"/>
    <s v="M. Wilson"/>
    <s v="Online"/>
    <n v="2"/>
    <n v="266.48"/>
    <n v="0.05"/>
    <s v="Debit Card"/>
    <n v="6"/>
    <s v="No"/>
    <x v="2"/>
    <s v="Online Fulfillment"/>
    <s v="Debit Card"/>
    <s v="C0018"/>
    <s v="Sophia Tremblay"/>
    <s v="Laval"/>
    <s v="Small Business"/>
    <s v="Vacuum"/>
    <x v="3"/>
    <n v="186.94"/>
    <n v="532.96"/>
    <n v="26.648000000000003"/>
    <n v="506.31200000000001"/>
    <n v="373.88"/>
    <n v="132.43200000000002"/>
    <n v="0.26156204079697898"/>
    <n v="0"/>
    <n v="2025"/>
    <n v="12"/>
    <s v="décembre"/>
    <s v="Q4"/>
    <d v="2025-12-01T00:00:00"/>
    <x v="4"/>
  </r>
  <r>
    <s v="ORD-2025-00393"/>
    <d v="2025-10-22T00:00:00"/>
    <s v="C0116"/>
    <s v="P1028"/>
    <s v="Lucas Brown, Mississauga, Corporate"/>
    <s v="Online Fulfillment"/>
    <s v="R. Singh"/>
    <s v="Online"/>
    <n v="1"/>
    <n v="373.1"/>
    <n v="0.1"/>
    <s v="Debit Card"/>
    <n v="9"/>
    <s v="No"/>
    <x v="2"/>
    <s v="Online Fulfillment"/>
    <s v="Debit Card"/>
    <s v="C0116"/>
    <s v="Lucas Brown"/>
    <s v="Mississauga"/>
    <s v="Corporate"/>
    <s v="Foam Roller"/>
    <x v="2"/>
    <n v="212.02"/>
    <n v="373.1"/>
    <n v="37.31"/>
    <n v="335.79"/>
    <n v="212.02"/>
    <n v="123.77000000000001"/>
    <n v="0.36859346615444177"/>
    <n v="0"/>
    <n v="2025"/>
    <n v="10"/>
    <s v="octobre"/>
    <s v="Q4"/>
    <d v="2025-10-01T00:00:00"/>
    <x v="1"/>
  </r>
  <r>
    <s v="ORD-2025-00394"/>
    <d v="2025-03-24T00:00:00"/>
    <s v="C0091"/>
    <s v="P1009"/>
    <s v="Leo Taylor, Victoria, Small Business"/>
    <s v="Toronto Downtown"/>
    <s v="L. Chen"/>
    <s v="Retail Store"/>
    <n v="4"/>
    <n v="285.99"/>
    <n v="0"/>
    <s v="Credit Card"/>
    <n v="2"/>
    <s v="No"/>
    <x v="0"/>
    <s v="Toronto Downtown"/>
    <s v="Credit Card"/>
    <s v="C0091"/>
    <s v="Leo Taylor"/>
    <s v="Victoria"/>
    <s v="Small Business"/>
    <s v="Notebook"/>
    <x v="1"/>
    <n v="176.13"/>
    <n v="1143.96"/>
    <n v="0"/>
    <n v="1143.96"/>
    <n v="704.52"/>
    <n v="439.44000000000005"/>
    <n v="0.38413930557012488"/>
    <n v="0"/>
    <n v="2025"/>
    <n v="3"/>
    <s v="mars"/>
    <s v="Q1"/>
    <d v="2025-03-01T00:00:00"/>
    <x v="3"/>
  </r>
  <r>
    <s v="ORD-2025-00395"/>
    <d v="2025-05-09T00:00:00"/>
    <s v="C0105"/>
    <s v="P1001"/>
    <s v="Liam Martin, Calgary, Consumer"/>
    <s v="Vancouver West"/>
    <s v="A. Morgan"/>
    <s v="Retail Store"/>
    <n v="4"/>
    <n v="392.12"/>
    <n v="0.2"/>
    <s v="PayPal"/>
    <n v="1"/>
    <s v="No"/>
    <x v="0"/>
    <s v="Vancouver West"/>
    <s v="PayPal"/>
    <s v="C0105"/>
    <s v="Liam Martin"/>
    <s v="Calgary"/>
    <s v="Consumer"/>
    <s v="Headphones"/>
    <x v="0"/>
    <n v="254.6"/>
    <n v="1568.48"/>
    <n v="313.69600000000003"/>
    <n v="1254.7840000000001"/>
    <n v="1018.4"/>
    <n v="236.38400000000013"/>
    <n v="0.18838620830358063"/>
    <n v="0"/>
    <n v="2025"/>
    <n v="5"/>
    <s v="mai"/>
    <s v="Q2"/>
    <d v="2025-05-01T00:00:00"/>
    <x v="0"/>
  </r>
  <r>
    <s v="ORD-2025-00396"/>
    <d v="2025-08-12T00:00:00"/>
    <s v="C0058"/>
    <s v="P1012"/>
    <s v="Mia Singh, Laval, Consumer"/>
    <s v="Montreal Central"/>
    <s v="S. Patel"/>
    <s v="Online"/>
    <n v="1"/>
    <n v="84.27"/>
    <n v="0.1"/>
    <m/>
    <n v="8"/>
    <s v="No"/>
    <x v="2"/>
    <s v="Montreal Central"/>
    <s v="Non renseigné"/>
    <s v="C0058"/>
    <s v="Mia Singh"/>
    <s v="Laval"/>
    <s v="Consumer"/>
    <s v="Standing Desk"/>
    <x v="1"/>
    <n v="45.17"/>
    <n v="84.27"/>
    <n v="8.4269999999999996"/>
    <n v="75.842999999999989"/>
    <n v="45.17"/>
    <n v="30.672999999999988"/>
    <n v="0.40442756747491521"/>
    <n v="0"/>
    <n v="2025"/>
    <n v="8"/>
    <s v="août"/>
    <s v="Q3"/>
    <d v="2025-08-01T00:00:00"/>
    <x v="4"/>
  </r>
  <r>
    <s v="ORD-2025-00397"/>
    <d v="2025-08-27T00:00:00"/>
    <s v="C0029"/>
    <s v="P1026"/>
    <s v="Olivia White, Victoria, Consumer"/>
    <s v="Montreal Central"/>
    <s v="R. Singh"/>
    <s v="Retail Store"/>
    <n v="1"/>
    <n v="231.29"/>
    <n v="0.05"/>
    <s v="PayPal"/>
    <n v="1"/>
    <s v="No"/>
    <x v="0"/>
    <s v="Montreal Central"/>
    <s v="PayPal"/>
    <s v="C0029"/>
    <s v="Olivia White"/>
    <s v="Victoria"/>
    <s v="Consumer"/>
    <s v="Resistance Bands"/>
    <x v="2"/>
    <n v="139.19999999999999"/>
    <n v="231.29"/>
    <n v="11.564500000000001"/>
    <n v="219.72549999999998"/>
    <n v="139.19999999999999"/>
    <n v="80.525499999999994"/>
    <n v="0.36648226992315414"/>
    <n v="0"/>
    <n v="2025"/>
    <n v="8"/>
    <s v="août"/>
    <s v="Q3"/>
    <d v="2025-08-01T00:00:00"/>
    <x v="3"/>
  </r>
  <r>
    <s v="ORD-2025-00398"/>
    <d v="2025-09-20T00:00:00"/>
    <s v="C0053"/>
    <s v="P1036"/>
    <s v="Ryan Lee , Laval , Consumer"/>
    <s v="Online Fulfillment"/>
    <s v="A. Morgan"/>
    <s v="Online"/>
    <n v="2"/>
    <n v="158.16"/>
    <n v="0"/>
    <s v="PayPal"/>
    <n v="2"/>
    <s v="No"/>
    <x v="2"/>
    <s v="Online Fulfillment"/>
    <s v="PayPal"/>
    <s v="C0053"/>
    <s v="Ryan Lee"/>
    <s v="Laval"/>
    <s v="Consumer"/>
    <s v="Power Bank"/>
    <x v="4"/>
    <n v="76.97"/>
    <n v="316.32"/>
    <n v="0"/>
    <n v="316.32"/>
    <n v="153.94"/>
    <n v="162.38"/>
    <n v="0.51334092058674763"/>
    <n v="0"/>
    <n v="2025"/>
    <n v="9"/>
    <s v="septembre"/>
    <s v="Q3"/>
    <d v="2025-09-01T00:00:00"/>
    <x v="4"/>
  </r>
  <r>
    <s v="ORD-2025-00399"/>
    <d v="2025-08-12T00:00:00"/>
    <s v="C0105"/>
    <s v="P1022"/>
    <s v="Liam Martin, Calgary, Consumer"/>
    <s v="Vancouver West"/>
    <s v="E. Roy"/>
    <s v="Marketplace"/>
    <n v="3"/>
    <n v="439.62"/>
    <n v="0"/>
    <s v="Debit Card"/>
    <n v="6"/>
    <s v="No"/>
    <x v="1"/>
    <s v="Vancouver West"/>
    <s v="Debit Card"/>
    <s v="C0105"/>
    <s v="Liam Martin"/>
    <s v="Calgary"/>
    <s v="Consumer"/>
    <s v="Humidifier"/>
    <x v="3"/>
    <n v="239.67"/>
    <n v="1318.8600000000001"/>
    <n v="0"/>
    <n v="1318.8600000000001"/>
    <n v="719.01"/>
    <n v="599.85000000000014"/>
    <n v="0.45482462126381878"/>
    <n v="0"/>
    <n v="2025"/>
    <n v="8"/>
    <s v="août"/>
    <s v="Q3"/>
    <d v="2025-08-01T00:00:00"/>
    <x v="0"/>
  </r>
  <r>
    <s v="ORD-2025-00400"/>
    <d v="2025-02-09T00:00:00"/>
    <s v="C0001"/>
    <s v="P1023"/>
    <s v="Ethan Roy, Halifax, Consumer"/>
    <s v="Calgary North"/>
    <s v="A. Morgan"/>
    <s v="Online"/>
    <n v="4"/>
    <n v="329.97"/>
    <n v="0"/>
    <s v="PayPal"/>
    <n v="8"/>
    <s v="No"/>
    <x v="2"/>
    <s v="Calgary North"/>
    <s v="PayPal"/>
    <s v="C0001"/>
    <s v="Ethan Roy"/>
    <s v="Halifax"/>
    <s v="Consumer"/>
    <s v="Toaster"/>
    <x v="3"/>
    <n v="152.88"/>
    <n v="1319.88"/>
    <n v="0"/>
    <n v="1319.88"/>
    <n v="611.52"/>
    <n v="708.36000000000013"/>
    <n v="0.53668515319574517"/>
    <n v="0"/>
    <n v="2025"/>
    <n v="2"/>
    <s v="février"/>
    <s v="Q1"/>
    <d v="2025-02-01T00:00:00"/>
    <x v="2"/>
  </r>
  <r>
    <s v="ORD-2025-00401"/>
    <d v="2025-06-30T00:00:00"/>
    <s v="C0061"/>
    <s v="P1024"/>
    <s v="Zoe Hall , Vancouver , Consumer"/>
    <s v="Online Fulfillment"/>
    <s v="L. Chen"/>
    <s v="Retail Store"/>
    <n v="1"/>
    <n v="105.56"/>
    <n v="0.05"/>
    <s v="PayPal"/>
    <n v="1"/>
    <s v="No"/>
    <x v="0"/>
    <s v="Online Fulfillment"/>
    <s v="PayPal"/>
    <s v="C0061"/>
    <s v="Zoe Hall"/>
    <s v="Vancouver"/>
    <s v="Consumer"/>
    <s v="Food Scale"/>
    <x v="3"/>
    <n v="46.07"/>
    <n v="105.56"/>
    <n v="5.2780000000000005"/>
    <n v="100.282"/>
    <n v="46.07"/>
    <n v="54.211999999999996"/>
    <n v="0.54059552063181826"/>
    <n v="0"/>
    <n v="2025"/>
    <n v="6"/>
    <s v="juin"/>
    <s v="Q2"/>
    <d v="2025-06-01T00:00:00"/>
    <x v="3"/>
  </r>
  <r>
    <s v="ORD-2025-00402"/>
    <d v="2025-02-03T00:00:00"/>
    <s v="C0035"/>
    <s v="P1022"/>
    <s v="Amelia Scott , Edmonton , Small Business"/>
    <s v="Montreal Central"/>
    <s v="A. Morgan"/>
    <s v="Marketplace"/>
    <n v="1"/>
    <n v="411.6"/>
    <n v="0"/>
    <s v="PayPal"/>
    <n v="4"/>
    <s v="No"/>
    <x v="1"/>
    <s v="Montreal Central"/>
    <s v="PayPal"/>
    <s v="C0035"/>
    <s v="Amelia Scott"/>
    <s v="Edmonton"/>
    <s v="Small Business"/>
    <s v="Humidifier"/>
    <x v="3"/>
    <n v="239.67"/>
    <n v="411.6"/>
    <n v="0"/>
    <n v="411.6"/>
    <n v="239.67"/>
    <n v="171.93000000000004"/>
    <n v="0.41771137026239075"/>
    <n v="0"/>
    <n v="2025"/>
    <n v="2"/>
    <s v="février"/>
    <s v="Q1"/>
    <d v="2025-02-01T00:00:00"/>
    <x v="0"/>
  </r>
  <r>
    <s v="ORD-2025-00403"/>
    <d v="2025-09-22T00:00:00"/>
    <s v="C0014"/>
    <s v="P1020"/>
    <s v="Zoe Scott , Montreal , Small Business"/>
    <s v="Montreal Central"/>
    <s v="S. Patel"/>
    <s v="Online"/>
    <n v="1"/>
    <n v="62.36"/>
    <n v="0"/>
    <s v="PayPal"/>
    <n v="6"/>
    <s v="No"/>
    <x v="2"/>
    <s v="Montreal Central"/>
    <s v="PayPal"/>
    <s v="C0014"/>
    <s v="Zoe Scott"/>
    <s v="Montreal"/>
    <s v="Small Business"/>
    <s v="Blender"/>
    <x v="3"/>
    <n v="37.46"/>
    <n v="62.36"/>
    <n v="0"/>
    <n v="62.36"/>
    <n v="37.46"/>
    <n v="24.9"/>
    <n v="0.39929441949967925"/>
    <n v="0"/>
    <n v="2025"/>
    <n v="9"/>
    <s v="septembre"/>
    <s v="Q3"/>
    <d v="2025-09-01T00:00:00"/>
    <x v="4"/>
  </r>
  <r>
    <s v="ORD-2025-00404"/>
    <d v="2025-09-05T00:00:00"/>
    <s v="C0085"/>
    <s v="P1025"/>
    <s v="Yasmine Clark, Calgary, Consumer"/>
    <s v="Calgary North"/>
    <s v="A. Morgan"/>
    <s v="Online"/>
    <n v="1"/>
    <n v="310.61"/>
    <n v="0.25"/>
    <s v="Credit Card"/>
    <n v="5"/>
    <s v="No"/>
    <x v="2"/>
    <s v="Calgary North"/>
    <s v="Credit Card"/>
    <s v="C0085"/>
    <s v="Yasmine Clark"/>
    <s v="Calgary"/>
    <s v="Consumer"/>
    <s v="Yoga Mat"/>
    <x v="2"/>
    <n v="197.33"/>
    <n v="310.61"/>
    <n v="77.652500000000003"/>
    <n v="232.95750000000001"/>
    <n v="197.33"/>
    <n v="35.627499999999998"/>
    <n v="0.15293562130431515"/>
    <n v="0"/>
    <n v="2025"/>
    <n v="9"/>
    <s v="septembre"/>
    <s v="Q3"/>
    <d v="2025-09-01T00:00:00"/>
    <x v="0"/>
  </r>
  <r>
    <s v="ORD-2025-00405"/>
    <d v="2025-11-27T00:00:00"/>
    <s v="C0006"/>
    <s v="P1003"/>
    <s v="Nora Wilson, Laval, Consumer"/>
    <s v="Online Fulfillment"/>
    <s v="R. Singh"/>
    <s v="Online"/>
    <n v="2"/>
    <n v="151.38999999999999"/>
    <n v="0.15"/>
    <s v="Credit Card"/>
    <n v="1"/>
    <s v="No"/>
    <x v="2"/>
    <s v="Online Fulfillment"/>
    <s v="Credit Card"/>
    <s v="C0006"/>
    <s v="Nora Wilson"/>
    <s v="Laval"/>
    <s v="Consumer"/>
    <s v="Mouse"/>
    <x v="0"/>
    <n v="106.4"/>
    <n v="302.77999999999997"/>
    <n v="45.416999999999994"/>
    <n v="257.363"/>
    <n v="212.8"/>
    <n v="44.562999999999988"/>
    <n v="0.17315231793225905"/>
    <n v="0"/>
    <n v="2025"/>
    <n v="11"/>
    <s v="novembre"/>
    <s v="Q4"/>
    <d v="2025-11-01T00:00:00"/>
    <x v="4"/>
  </r>
  <r>
    <s v="ORD-2025-00406"/>
    <d v="2025-05-11T00:00:00"/>
    <s v="C0117"/>
    <s v="P1020"/>
    <s v="Ethan Hall, Vancouver, Consumer"/>
    <s v="Toronto Downtown"/>
    <s v="R. Singh"/>
    <s v="Online"/>
    <n v="1"/>
    <n v="67.59"/>
    <n v="0.2"/>
    <s v="Debit Card"/>
    <n v="3"/>
    <s v="No"/>
    <x v="2"/>
    <s v="Toronto Downtown"/>
    <s v="Debit Card"/>
    <s v="C0117"/>
    <s v="Ethan Hall"/>
    <s v="Vancouver"/>
    <s v="Consumer"/>
    <s v="Blender"/>
    <x v="3"/>
    <n v="37.46"/>
    <n v="67.59"/>
    <n v="13.518000000000001"/>
    <n v="54.072000000000003"/>
    <n v="37.46"/>
    <n v="16.612000000000002"/>
    <n v="0.30722000295901764"/>
    <n v="0"/>
    <n v="2025"/>
    <n v="5"/>
    <s v="mai"/>
    <s v="Q2"/>
    <d v="2025-05-01T00:00:00"/>
    <x v="3"/>
  </r>
  <r>
    <s v="ORD-2025-00407"/>
    <d v="2025-03-30T00:00:00"/>
    <s v="C0004"/>
    <s v="P1028"/>
    <s v="Mia Bennett, Laval, Consumer"/>
    <s v="Toronto Downtown"/>
    <s v="R. Singh"/>
    <s v="Online"/>
    <n v="4"/>
    <n v="369.52"/>
    <n v="0.05"/>
    <s v="Credit Card"/>
    <n v="5"/>
    <s v="No"/>
    <x v="2"/>
    <s v="Toronto Downtown"/>
    <s v="Credit Card"/>
    <s v="C0004"/>
    <s v="Mia Bennett"/>
    <s v="Laval"/>
    <s v="Consumer"/>
    <s v="Foam Roller"/>
    <x v="2"/>
    <n v="212.02"/>
    <n v="1478.08"/>
    <n v="73.903999999999996"/>
    <n v="1404.1759999999999"/>
    <n v="848.08"/>
    <n v="556.09599999999989"/>
    <n v="0.39603012727749221"/>
    <n v="0"/>
    <n v="2025"/>
    <n v="3"/>
    <s v="mars"/>
    <s v="Q1"/>
    <d v="2025-03-01T00:00:00"/>
    <x v="4"/>
  </r>
  <r>
    <s v="ORD-2025-00408"/>
    <d v="2025-05-09T00:00:00"/>
    <s v="C0054"/>
    <s v="P1038"/>
    <s v="Maya Hall, Surrey, Small Business"/>
    <s v="Vancouver West"/>
    <s v="J. Tremblay"/>
    <s v="Online"/>
    <n v="1"/>
    <n v="273.12"/>
    <n v="0"/>
    <s v="PayPal"/>
    <n v="1"/>
    <s v="No"/>
    <x v="2"/>
    <s v="Vancouver West"/>
    <s v="PayPal"/>
    <s v="C0054"/>
    <s v="Maya Hall"/>
    <s v="Surrey"/>
    <s v="Small Business"/>
    <s v="Water Bottle"/>
    <x v="4"/>
    <n v="119.16"/>
    <n v="273.12"/>
    <n v="0"/>
    <n v="273.12"/>
    <n v="119.16"/>
    <n v="153.96"/>
    <n v="0.56370826010544817"/>
    <n v="0"/>
    <n v="2025"/>
    <n v="5"/>
    <s v="mai"/>
    <s v="Q2"/>
    <d v="2025-05-01T00:00:00"/>
    <x v="3"/>
  </r>
  <r>
    <s v="ORD-2025-00409"/>
    <d v="2025-07-19T00:00:00"/>
    <s v="C0021"/>
    <s v="P1031"/>
    <s v="Nora King, Halifax, Corporate"/>
    <s v="Montreal Central"/>
    <s v="S. Patel"/>
    <s v="Retail Store"/>
    <n v="1"/>
    <n v="265.35000000000002"/>
    <n v="0.15"/>
    <s v="PayPal"/>
    <n v="0"/>
    <s v="No"/>
    <x v="0"/>
    <s v="Montreal Central"/>
    <s v="PayPal"/>
    <s v="C0021"/>
    <s v="Nora King"/>
    <s v="Halifax"/>
    <s v="Corporate"/>
    <s v="Dumbbell Set"/>
    <x v="2"/>
    <n v="131.72999999999999"/>
    <n v="265.35000000000002"/>
    <n v="39.802500000000002"/>
    <n v="225.54750000000001"/>
    <n v="131.72999999999999"/>
    <n v="93.817500000000024"/>
    <n v="0.41595451069065281"/>
    <n v="0"/>
    <n v="2025"/>
    <n v="7"/>
    <s v="juillet"/>
    <s v="Q3"/>
    <d v="2025-07-01T00:00:00"/>
    <x v="2"/>
  </r>
  <r>
    <s v="ORD-2025-00410"/>
    <d v="2025-12-20T00:00:00"/>
    <s v="C0113"/>
    <s v="P1015"/>
    <s v="Olivia Johnson, Surrey, Consumer"/>
    <s v="Calgary North"/>
    <s v="L. Chen"/>
    <s v="Online"/>
    <n v="4"/>
    <n v="369.84"/>
    <n v="0.15"/>
    <s v="Credit Card"/>
    <n v="9"/>
    <s v="No"/>
    <x v="2"/>
    <s v="Calgary North"/>
    <s v="Credit Card"/>
    <s v="C0113"/>
    <s v="Olivia Johnson"/>
    <s v="Surrey"/>
    <s v="Consumer"/>
    <s v="Desk Organizer"/>
    <x v="1"/>
    <n v="235.76"/>
    <n v="1479.36"/>
    <n v="221.90399999999997"/>
    <n v="1257.4559999999999"/>
    <n v="943.04"/>
    <n v="314.41599999999994"/>
    <n v="0.25004135333562366"/>
    <n v="0"/>
    <n v="2025"/>
    <n v="12"/>
    <s v="décembre"/>
    <s v="Q4"/>
    <d v="2025-12-01T00:00:00"/>
    <x v="3"/>
  </r>
  <r>
    <s v="ORD-2025-00411"/>
    <d v="2025-09-24T00:00:00"/>
    <s v="C0072"/>
    <s v="P1027"/>
    <s v="Ryan Bennett, Montreal, Corporate"/>
    <s v="Calgary North"/>
    <s v="L. Chen"/>
    <s v="Online"/>
    <n v="1"/>
    <n v="54.86"/>
    <n v="0"/>
    <s v="Credit Card"/>
    <n v="2"/>
    <s v="No"/>
    <x v="2"/>
    <s v="Calgary North"/>
    <s v="Credit Card"/>
    <s v="C0072"/>
    <s v="Ryan Bennett"/>
    <s v="Montreal"/>
    <s v="Corporate"/>
    <s v="Kettlebell"/>
    <x v="2"/>
    <n v="25.97"/>
    <n v="54.86"/>
    <n v="0"/>
    <n v="54.86"/>
    <n v="25.97"/>
    <n v="28.89"/>
    <n v="0.52661319722931099"/>
    <n v="0"/>
    <n v="2025"/>
    <n v="9"/>
    <s v="septembre"/>
    <s v="Q3"/>
    <d v="2025-09-01T00:00:00"/>
    <x v="4"/>
  </r>
  <r>
    <s v="ORD-2025-00412"/>
    <d v="2025-03-31T00:00:00"/>
    <s v="C0096"/>
    <s v="P1022"/>
    <s v="Ryan Roy, Laval, Corporate"/>
    <s v="Vancouver West"/>
    <s v="J. Tremblay"/>
    <s v="Online"/>
    <n v="2"/>
    <n v="405.32"/>
    <n v="0"/>
    <s v="Credit Card"/>
    <n v="5"/>
    <s v="No"/>
    <x v="2"/>
    <s v="Vancouver West"/>
    <s v="Credit Card"/>
    <s v="C0096"/>
    <s v="Ryan Roy"/>
    <s v="Laval"/>
    <s v="Corporate"/>
    <s v="Humidifier"/>
    <x v="3"/>
    <n v="239.67"/>
    <n v="810.64"/>
    <n v="0"/>
    <n v="810.64"/>
    <n v="479.34"/>
    <n v="331.3"/>
    <n v="0.40868943057337415"/>
    <n v="0"/>
    <n v="2025"/>
    <n v="3"/>
    <s v="mars"/>
    <s v="Q1"/>
    <d v="2025-03-01T00:00:00"/>
    <x v="4"/>
  </r>
  <r>
    <s v="ORD-2025-00413"/>
    <d v="2025-05-02T00:00:00"/>
    <s v="C0120"/>
    <s v="P1040"/>
    <s v="Ethan King, Mississauga, Small Business"/>
    <s v="Montreal Central"/>
    <s v="M. Wilson"/>
    <s v="Online"/>
    <n v="2"/>
    <n v="316.13"/>
    <n v="0"/>
    <s v="Credit Card"/>
    <n v="6"/>
    <s v="Yes"/>
    <x v="2"/>
    <s v="Montreal Central"/>
    <s v="Credit Card"/>
    <s v="C0120"/>
    <s v="Ethan King"/>
    <s v="Mississauga"/>
    <s v="Small Business"/>
    <s v="Desk Pad"/>
    <x v="4"/>
    <n v="177.57"/>
    <n v="632.26"/>
    <n v="0"/>
    <n v="632.26"/>
    <n v="355.14"/>
    <n v="277.12"/>
    <n v="0.43830069907949265"/>
    <n v="1"/>
    <n v="2025"/>
    <n v="5"/>
    <s v="mai"/>
    <s v="Q2"/>
    <d v="2025-05-01T00:00:00"/>
    <x v="1"/>
  </r>
  <r>
    <s v="ORD-2025-00414"/>
    <d v="2025-10-11T00:00:00"/>
    <s v="C0041"/>
    <s v="P1031"/>
    <s v="Amine Chen, Halifax, Small Business"/>
    <s v="Vancouver West"/>
    <s v="N. Brown"/>
    <s v="Online"/>
    <n v="4"/>
    <n v="245.77"/>
    <n v="0"/>
    <s v="Gift Card"/>
    <n v="9"/>
    <s v="No"/>
    <x v="2"/>
    <s v="Vancouver West"/>
    <s v="Gift Card"/>
    <s v="C0041"/>
    <s v="Amine Chen"/>
    <s v="Halifax"/>
    <s v="Small Business"/>
    <s v="Dumbbell Set"/>
    <x v="2"/>
    <n v="131.72999999999999"/>
    <n v="983.08"/>
    <n v="0"/>
    <n v="983.08"/>
    <n v="526.91999999999996"/>
    <n v="456.16000000000008"/>
    <n v="0.46401106725800551"/>
    <n v="0"/>
    <n v="2025"/>
    <n v="10"/>
    <s v="octobre"/>
    <s v="Q4"/>
    <d v="2025-10-01T00:00:00"/>
    <x v="2"/>
  </r>
  <r>
    <s v="ORD-2025-00415"/>
    <d v="2025-11-11T00:00:00"/>
    <s v="C0067"/>
    <s v="P1012"/>
    <s v="Leo Bennett, Mississauga, Consumer"/>
    <s v="Online Fulfillment"/>
    <s v="A. Morgan"/>
    <s v="Marketplace"/>
    <n v="1"/>
    <n v="85.38"/>
    <n v="0"/>
    <s v="Credit Card"/>
    <n v="7"/>
    <s v="No"/>
    <x v="1"/>
    <s v="Online Fulfillment"/>
    <s v="Credit Card"/>
    <s v="C0067"/>
    <s v="Leo Bennett"/>
    <s v="Mississauga"/>
    <s v="Consumer"/>
    <s v="Standing Desk"/>
    <x v="1"/>
    <n v="45.17"/>
    <n v="85.38"/>
    <n v="0"/>
    <n v="85.38"/>
    <n v="45.17"/>
    <n v="40.209999999999994"/>
    <n v="0.47095338486765048"/>
    <n v="0"/>
    <n v="2025"/>
    <n v="11"/>
    <s v="novembre"/>
    <s v="Q4"/>
    <d v="2025-11-01T00:00:00"/>
    <x v="1"/>
  </r>
  <r>
    <s v="ORD-2025-00416"/>
    <d v="2025-03-24T00:00:00"/>
    <s v="C0043"/>
    <s v="P1033"/>
    <s v="Ava Brown, Ottawa, Small Business"/>
    <s v="Montreal Central"/>
    <s v="A. Morgan"/>
    <s v="Online"/>
    <n v="1"/>
    <n v="303.56"/>
    <n v="0"/>
    <s v="Gift Card"/>
    <n v="4"/>
    <s v="No"/>
    <x v="2"/>
    <s v="Montreal Central"/>
    <s v="Gift Card"/>
    <s v="C0043"/>
    <s v="Ava Brown"/>
    <s v="Ottawa"/>
    <s v="Small Business"/>
    <s v="Backpack"/>
    <x v="4"/>
    <n v="152.55000000000001"/>
    <n v="303.56"/>
    <n v="0"/>
    <n v="303.56"/>
    <n v="152.55000000000001"/>
    <n v="151.01"/>
    <n v="0.49746343391751213"/>
    <n v="0"/>
    <n v="2025"/>
    <n v="3"/>
    <s v="mars"/>
    <s v="Q1"/>
    <d v="2025-03-01T00:00:00"/>
    <x v="1"/>
  </r>
  <r>
    <s v="ORD-2025-00417"/>
    <d v="2025-06-01T00:00:00"/>
    <s v="C0053"/>
    <s v="P1038"/>
    <s v="Ryan Lee, Laval, Consumer"/>
    <s v="Vancouver West"/>
    <s v="R. Singh"/>
    <s v="Online"/>
    <n v="2"/>
    <n v="276.93"/>
    <n v="0.25"/>
    <s v="Debit Card"/>
    <n v="1"/>
    <s v="No"/>
    <x v="2"/>
    <s v="Vancouver West"/>
    <s v="Debit Card"/>
    <s v="C0053"/>
    <s v="Ryan Lee"/>
    <s v="Laval"/>
    <s v="Consumer"/>
    <s v="Water Bottle"/>
    <x v="4"/>
    <n v="119.16"/>
    <n v="553.86"/>
    <n v="138.465"/>
    <n v="415.39499999999998"/>
    <n v="238.32"/>
    <n v="177.07499999999999"/>
    <n v="0.42628100964142562"/>
    <n v="0"/>
    <n v="2025"/>
    <n v="6"/>
    <s v="juin"/>
    <s v="Q2"/>
    <d v="2025-06-01T00:00:00"/>
    <x v="4"/>
  </r>
  <r>
    <s v="ORD-2025-00418"/>
    <d v="2025-11-19T00:00:00"/>
    <s v="C0006"/>
    <s v="P1020"/>
    <s v="Nora Wilson , Laval , Consumer"/>
    <s v="Online Fulfillment"/>
    <s v="M. Wilson"/>
    <s v="Retail Store"/>
    <n v="1"/>
    <n v="65.44"/>
    <n v="0.1"/>
    <s v="Credit Card"/>
    <n v="4"/>
    <s v="No"/>
    <x v="0"/>
    <s v="Online Fulfillment"/>
    <s v="Credit Card"/>
    <s v="C0006"/>
    <s v="Nora Wilson"/>
    <s v="Laval"/>
    <s v="Consumer"/>
    <s v="Blender"/>
    <x v="3"/>
    <n v="37.46"/>
    <n v="65.44"/>
    <n v="6.5440000000000005"/>
    <n v="58.896000000000001"/>
    <n v="37.46"/>
    <n v="21.436"/>
    <n v="0.3639635968486824"/>
    <n v="0"/>
    <n v="2025"/>
    <n v="11"/>
    <s v="novembre"/>
    <s v="Q4"/>
    <d v="2025-11-01T00:00:00"/>
    <x v="4"/>
  </r>
  <r>
    <s v="ORD-2025-00419"/>
    <d v="2025-08-23T00:00:00"/>
    <s v="C0077"/>
    <s v="P1029"/>
    <s v="Amine Taylor, Surrey, Small Business"/>
    <s v="Calgary North"/>
    <s v="R. Singh"/>
    <s v="Retail Store"/>
    <n v="2"/>
    <n v="206.15"/>
    <n v="0.1"/>
    <s v="Debit Card"/>
    <n v="3"/>
    <s v="No"/>
    <x v="0"/>
    <s v="Calgary North"/>
    <s v="Debit Card"/>
    <s v="C0077"/>
    <s v="Amine Taylor"/>
    <s v="Surrey"/>
    <s v="Small Business"/>
    <s v="Jump Rope"/>
    <x v="2"/>
    <n v="101"/>
    <n v="412.3"/>
    <n v="41.230000000000004"/>
    <n v="371.07"/>
    <n v="202"/>
    <n v="169.07"/>
    <n v="0.4556283181070957"/>
    <n v="0"/>
    <n v="2025"/>
    <n v="8"/>
    <s v="août"/>
    <s v="Q3"/>
    <d v="2025-08-01T00:00:00"/>
    <x v="3"/>
  </r>
  <r>
    <s v="ORD-2025-00420"/>
    <d v="2025-08-08T00:00:00"/>
    <s v="C0059"/>
    <s v="P1026"/>
    <s v="Lucas Chen , Vancouver , Corporate"/>
    <s v="Toronto Downtown"/>
    <s v="R. Singh"/>
    <s v="Retail Store"/>
    <n v="2"/>
    <n v="212.26"/>
    <n v="0.1"/>
    <s v="Credit Card"/>
    <n v="0"/>
    <s v="No"/>
    <x v="0"/>
    <s v="Toronto Downtown"/>
    <s v="Credit Card"/>
    <s v="C0059"/>
    <s v="Lucas Chen"/>
    <s v="Vancouver"/>
    <s v="Corporate"/>
    <s v="Resistance Bands"/>
    <x v="2"/>
    <n v="139.19999999999999"/>
    <n v="424.52"/>
    <n v="42.451999999999998"/>
    <n v="382.06799999999998"/>
    <n v="278.39999999999998"/>
    <n v="103.66800000000001"/>
    <n v="0.27133389867772234"/>
    <n v="0"/>
    <n v="2025"/>
    <n v="8"/>
    <s v="août"/>
    <s v="Q3"/>
    <d v="2025-08-01T00:00:00"/>
    <x v="3"/>
  </r>
  <r>
    <s v="ORD-2025-00421"/>
    <d v="2025-05-24T00:00:00"/>
    <s v="C0005"/>
    <s v="P1036"/>
    <s v="Yasmine Taylor, Calgary, Consumer"/>
    <s v="Vancouver West"/>
    <s v="R. Singh"/>
    <s v="market place"/>
    <n v="1"/>
    <n v="165.6"/>
    <n v="0.2"/>
    <s v="Debit Card"/>
    <n v="4"/>
    <s v="No"/>
    <x v="1"/>
    <s v="Vancouver West"/>
    <s v="Debit Card"/>
    <s v="C0005"/>
    <s v="Yasmine Taylor"/>
    <s v="Calgary"/>
    <s v="Consumer"/>
    <s v="Power Bank"/>
    <x v="4"/>
    <n v="76.97"/>
    <n v="165.6"/>
    <n v="33.119999999999997"/>
    <n v="132.47999999999999"/>
    <n v="76.97"/>
    <n v="55.509999999999991"/>
    <n v="0.41900664251207725"/>
    <n v="0"/>
    <n v="2025"/>
    <n v="5"/>
    <s v="mai"/>
    <s v="Q2"/>
    <d v="2025-05-01T00:00:00"/>
    <x v="0"/>
  </r>
  <r>
    <s v="ORD-2025-00422"/>
    <d v="2025-03-27T00:00:00"/>
    <s v="C0110"/>
    <s v="P1022"/>
    <s v="Sarah Smith, Laval, Consumer"/>
    <s v="Calgary  North"/>
    <s v="J. Tremblay"/>
    <s v="Retail Store"/>
    <n v="1"/>
    <n v="394.3"/>
    <n v="0"/>
    <s v="Credit Card"/>
    <n v="4"/>
    <s v="No"/>
    <x v="0"/>
    <s v="Calgary North"/>
    <s v="Credit Card"/>
    <s v="C0110"/>
    <s v="Sarah Smith"/>
    <s v="Laval"/>
    <s v="Consumer"/>
    <s v="Humidifier"/>
    <x v="3"/>
    <n v="239.67"/>
    <n v="394.3"/>
    <n v="0"/>
    <n v="394.3"/>
    <n v="239.67"/>
    <n v="154.63000000000002"/>
    <n v="0.39216332741567339"/>
    <n v="0"/>
    <n v="2025"/>
    <n v="3"/>
    <s v="mars"/>
    <s v="Q1"/>
    <d v="2025-03-01T00:00:00"/>
    <x v="4"/>
  </r>
  <r>
    <s v="ORD-2025-00423"/>
    <d v="2025-03-31T00:00:00"/>
    <s v="C0026"/>
    <s v="P1026"/>
    <s v="Adam Hall, Surrey, Corporate"/>
    <s v="Toronto Downtown"/>
    <s v="R. Singh"/>
    <s v="Retail  Store"/>
    <n v="1"/>
    <n v="236.77"/>
    <n v="0.1"/>
    <s v="Credit Card"/>
    <n v="0"/>
    <s v="No"/>
    <x v="0"/>
    <s v="Toronto Downtown"/>
    <s v="Credit Card"/>
    <s v="C0026"/>
    <s v="Adam Hall"/>
    <s v="Surrey"/>
    <s v="Corporate"/>
    <s v="Resistance Bands"/>
    <x v="2"/>
    <n v="139.19999999999999"/>
    <n v="236.77"/>
    <n v="23.677000000000003"/>
    <n v="213.09300000000002"/>
    <n v="139.19999999999999"/>
    <n v="73.893000000000029"/>
    <n v="0.34676408891892285"/>
    <n v="0"/>
    <n v="2025"/>
    <n v="3"/>
    <s v="mars"/>
    <s v="Q1"/>
    <d v="2025-03-01T00:00:00"/>
    <x v="3"/>
  </r>
  <r>
    <s v="ORD-2025-00424"/>
    <d v="2025-12-01T00:00:00"/>
    <s v="C0111"/>
    <s v="P1013"/>
    <s v="Noah Khan, Halifax, Consumer"/>
    <s v="Online Fulfillment"/>
    <s v="N. Brown"/>
    <s v="Retail Store"/>
    <n v="1"/>
    <n v="123.65"/>
    <n v="0.2"/>
    <s v="CC"/>
    <n v="3"/>
    <s v="No"/>
    <x v="0"/>
    <s v="Online Fulfillment"/>
    <s v="Credit Card"/>
    <s v="C0111"/>
    <s v="Noah Khan"/>
    <s v="Halifax"/>
    <s v="Consumer"/>
    <s v="Whiteboard"/>
    <x v="1"/>
    <n v="85.73"/>
    <n v="123.65"/>
    <n v="24.730000000000004"/>
    <n v="98.92"/>
    <n v="85.73"/>
    <n v="13.189999999999998"/>
    <n v="0.13334007278608975"/>
    <n v="0"/>
    <n v="2025"/>
    <n v="12"/>
    <s v="décembre"/>
    <s v="Q4"/>
    <d v="2025-12-01T00:00:00"/>
    <x v="2"/>
  </r>
  <r>
    <s v="ORD-2025-00425"/>
    <d v="2025-11-09T00:00:00"/>
    <s v="C0067"/>
    <s v="P1039"/>
    <s v="Leo Bennett, Mississauga, Consumer"/>
    <s v="Calgary North"/>
    <s v="R. Singh"/>
    <s v="Retail Store"/>
    <n v="4"/>
    <n v="342.63"/>
    <n v="0.05"/>
    <s v="Credit Card"/>
    <n v="2"/>
    <s v="No"/>
    <x v="0"/>
    <s v="Calgary North"/>
    <s v="Credit Card"/>
    <s v="C0067"/>
    <s v="Leo Bennett"/>
    <s v="Mississauga"/>
    <s v="Consumer"/>
    <s v="Travel Adapter"/>
    <x v="4"/>
    <n v="229.86"/>
    <n v="1370.52"/>
    <n v="68.525999999999996"/>
    <n v="1301.9939999999999"/>
    <n v="919.44"/>
    <n v="382.55399999999986"/>
    <n v="0.29382163051442622"/>
    <n v="0"/>
    <n v="2025"/>
    <n v="11"/>
    <s v="novembre"/>
    <s v="Q4"/>
    <d v="2025-11-01T00:00:00"/>
    <x v="1"/>
  </r>
  <r>
    <s v="ORD-2025-00426"/>
    <d v="2025-08-12T00:00:00"/>
    <s v="C0005"/>
    <s v="P1017"/>
    <s v="Yasmine Taylor, Calgary, Consumer"/>
    <s v="Online Fulfillment"/>
    <s v="S. Patel"/>
    <s v="Retail Store"/>
    <n v="3"/>
    <n v="380.43"/>
    <n v="0"/>
    <s v="Debit Card"/>
    <n v="1"/>
    <s v="Yes"/>
    <x v="0"/>
    <s v="Online Fulfillment"/>
    <s v="Debit Card"/>
    <s v="C0005"/>
    <s v="Yasmine Taylor"/>
    <s v="Calgary"/>
    <s v="Consumer"/>
    <s v="Coffee Maker"/>
    <x v="3"/>
    <n v="241.16"/>
    <n v="1141.29"/>
    <n v="0"/>
    <n v="1141.29"/>
    <n v="723.48"/>
    <n v="417.80999999999995"/>
    <n v="0.36608574507793806"/>
    <n v="1"/>
    <n v="2025"/>
    <n v="8"/>
    <s v="août"/>
    <s v="Q3"/>
    <d v="2025-08-01T00:00:00"/>
    <x v="0"/>
  </r>
  <r>
    <s v="ORD-2025-00427"/>
    <d v="2025-07-02T00:00:00"/>
    <s v="C0018"/>
    <s v="P1001"/>
    <s v="Sophia Tremblay, Laval, Small Business"/>
    <s v="Online Fulfillment"/>
    <s v="M. Wilson"/>
    <s v="Online"/>
    <n v="2"/>
    <n v="351.69"/>
    <n v="0"/>
    <s v="Credit Card"/>
    <n v="2"/>
    <s v="No"/>
    <x v="2"/>
    <s v="Online Fulfillment"/>
    <s v="Credit Card"/>
    <s v="C0018"/>
    <s v="Sophia Tremblay"/>
    <s v="Laval"/>
    <s v="Small Business"/>
    <s v="Headphones"/>
    <x v="0"/>
    <n v="254.6"/>
    <n v="703.38"/>
    <n v="0"/>
    <n v="703.38"/>
    <n v="509.2"/>
    <n v="194.18"/>
    <n v="0.27606699081577529"/>
    <n v="0"/>
    <n v="2025"/>
    <n v="7"/>
    <s v="juillet"/>
    <s v="Q3"/>
    <d v="2025-07-01T00:00:00"/>
    <x v="4"/>
  </r>
  <r>
    <s v="ORD-2025-00428"/>
    <d v="2025-09-24T00:00:00"/>
    <s v="C0048"/>
    <s v="P1016"/>
    <s v="Amelia Brown, Quebec City, Corporate"/>
    <s v="Calgary North"/>
    <s v="S. Patel"/>
    <s v="Online"/>
    <n v="2"/>
    <n v="336.2"/>
    <n v="0.05"/>
    <s v="PayPal"/>
    <n v="6"/>
    <s v="No"/>
    <x v="2"/>
    <s v="Calgary North"/>
    <s v="PayPal"/>
    <s v="C0048"/>
    <s v="Amelia Brown"/>
    <s v="Quebec City"/>
    <s v="Corporate"/>
    <s v="Printer"/>
    <x v="1"/>
    <n v="156.75"/>
    <n v="672.4"/>
    <n v="33.619999999999997"/>
    <n v="638.78"/>
    <n v="313.5"/>
    <n v="325.27999999999997"/>
    <n v="0.50922070196311719"/>
    <n v="0"/>
    <n v="2025"/>
    <n v="9"/>
    <s v="septembre"/>
    <s v="Q3"/>
    <d v="2025-09-01T00:00:00"/>
    <x v="4"/>
  </r>
  <r>
    <s v="ORD-2025-00429"/>
    <d v="2025-03-03T00:00:00"/>
    <s v="C0065"/>
    <s v="P1020"/>
    <s v="Mia Wilson, Quebec City, Consumer"/>
    <s v="Montreal Central"/>
    <s v="S. Patel"/>
    <s v="Online"/>
    <n v="3"/>
    <n v="65.599999999999994"/>
    <n v="0.05"/>
    <s v="PayPal"/>
    <n v="4"/>
    <s v="No"/>
    <x v="2"/>
    <s v="Montreal Central"/>
    <s v="PayPal"/>
    <s v="C0065"/>
    <s v="Mia Wilson"/>
    <s v="Quebec City"/>
    <s v="Consumer"/>
    <s v="Blender"/>
    <x v="3"/>
    <n v="37.46"/>
    <n v="196.79999999999998"/>
    <n v="9.84"/>
    <n v="186.95999999999998"/>
    <n v="112.38"/>
    <n v="74.579999999999984"/>
    <n v="0.39890885750962768"/>
    <n v="0"/>
    <n v="2025"/>
    <n v="3"/>
    <s v="mars"/>
    <s v="Q1"/>
    <d v="2025-03-01T00:00:00"/>
    <x v="4"/>
  </r>
  <r>
    <s v="ORD-2025-00430"/>
    <d v="2025-12-13T00:00:00"/>
    <s v="C0051"/>
    <s v="P1004"/>
    <s v="Daniel Brown, Vancouver, Small Business"/>
    <s v="Calgary North"/>
    <s v="R. Singh"/>
    <s v="Online"/>
    <n v="1"/>
    <n v="273.05"/>
    <n v="0"/>
    <s v="Credit Card"/>
    <n v="2"/>
    <s v="Yes"/>
    <x v="2"/>
    <s v="Calgary North"/>
    <s v="Credit Card"/>
    <s v="C0051"/>
    <s v="Daniel Brown"/>
    <s v="Vancouver"/>
    <s v="Small Business"/>
    <s v="Webcam"/>
    <x v="0"/>
    <n v="154.72999999999999"/>
    <n v="273.05"/>
    <n v="0"/>
    <n v="273.05"/>
    <n v="154.72999999999999"/>
    <n v="118.32000000000002"/>
    <n v="0.43332722944515661"/>
    <n v="1"/>
    <n v="2025"/>
    <n v="12"/>
    <s v="décembre"/>
    <s v="Q4"/>
    <d v="2025-12-01T00:00:00"/>
    <x v="3"/>
  </r>
  <r>
    <s v="ORD-2025-00431"/>
    <d v="2025-06-26T00:00:00"/>
    <s v="C0078"/>
    <s v="P1011"/>
    <s v="Sarah Smith, Edmonton, Corporate"/>
    <s v="Toronto Downtown"/>
    <s v="J. Tremblay"/>
    <s v="Online"/>
    <n v="1"/>
    <n v="80.47"/>
    <n v="0.25"/>
    <s v="Debit Card"/>
    <n v="4"/>
    <s v="No"/>
    <x v="2"/>
    <s v="Toronto Downtown"/>
    <s v="Debit Card"/>
    <s v="C0078"/>
    <s v="Sarah Smith"/>
    <s v="Edmonton"/>
    <s v="Corporate"/>
    <s v="Office Chair"/>
    <x v="1"/>
    <n v="39.26"/>
    <n v="80.47"/>
    <n v="20.1175"/>
    <n v="60.352499999999999"/>
    <n v="39.26"/>
    <n v="21.092500000000001"/>
    <n v="0.34948842218632203"/>
    <n v="0"/>
    <n v="2025"/>
    <n v="6"/>
    <s v="juin"/>
    <s v="Q2"/>
    <d v="2025-06-01T00:00:00"/>
    <x v="0"/>
  </r>
  <r>
    <s v="ORD-2025-00432"/>
    <d v="2025-04-11T00:00:00"/>
    <s v="C0088"/>
    <s v="P1013"/>
    <s v="Olivia Bennett, Vancouver, Small Business"/>
    <s v="Online Fulfillment"/>
    <s v="N. Brown"/>
    <s v="Online"/>
    <n v="1"/>
    <n v="117.18"/>
    <n v="0.05"/>
    <s v="Credit Card"/>
    <n v="7"/>
    <s v="No"/>
    <x v="2"/>
    <s v="Online Fulfillment"/>
    <s v="Credit Card"/>
    <s v="C0088"/>
    <s v="Olivia Bennett"/>
    <s v="Vancouver"/>
    <s v="Small Business"/>
    <s v="Whiteboard"/>
    <x v="1"/>
    <n v="85.73"/>
    <n v="117.18"/>
    <n v="5.8590000000000009"/>
    <n v="111.32100000000001"/>
    <n v="85.73"/>
    <n v="25.591000000000008"/>
    <n v="0.22988474771157288"/>
    <n v="0"/>
    <n v="2025"/>
    <n v="4"/>
    <s v="avril"/>
    <s v="Q2"/>
    <d v="2025-04-01T00:00:00"/>
    <x v="3"/>
  </r>
  <r>
    <s v="ORD-2025-00433"/>
    <d v="2025-01-14T00:00:00"/>
    <s v="C0115"/>
    <s v="P1003"/>
    <s v="Nora Lee, Calgary, Consumer"/>
    <s v="Calgary North"/>
    <s v="L. Chen"/>
    <s v="Retail Store"/>
    <n v="1"/>
    <n v="161.27000000000001"/>
    <n v="0"/>
    <s v="PayPal"/>
    <n v="1"/>
    <s v="No"/>
    <x v="0"/>
    <s v="Calgary North"/>
    <s v="PayPal"/>
    <s v="C0115"/>
    <s v="Nora Lee"/>
    <s v="Calgary"/>
    <s v="Consumer"/>
    <s v="Mouse"/>
    <x v="0"/>
    <n v="106.4"/>
    <n v="161.27000000000001"/>
    <n v="0"/>
    <n v="161.27000000000001"/>
    <n v="106.4"/>
    <n v="54.870000000000005"/>
    <n v="0.34023686984560053"/>
    <n v="0"/>
    <n v="2025"/>
    <n v="1"/>
    <s v="janvier"/>
    <s v="Q1"/>
    <d v="2025-01-01T00:00:00"/>
    <x v="0"/>
  </r>
  <r>
    <s v="ORD-2025-00434"/>
    <d v="2025-07-09T00:00:00"/>
    <s v="C0023"/>
    <s v="P1017"/>
    <s v="Ryan Gagnon, Ottawa, Small Business"/>
    <s v="Vancouver West"/>
    <s v="J. Tremblay"/>
    <s v="Retail Store"/>
    <n v="1"/>
    <n v="376.37"/>
    <n v="0.15"/>
    <s v="Credit Card"/>
    <n v="4"/>
    <s v="Yes"/>
    <x v="0"/>
    <s v="Vancouver West"/>
    <s v="Credit Card"/>
    <s v="C0023"/>
    <s v="Ryan Gagnon"/>
    <s v="Ottawa"/>
    <s v="Small Business"/>
    <s v="Coffee Maker"/>
    <x v="3"/>
    <n v="241.16"/>
    <n v="376.37"/>
    <n v="56.455500000000001"/>
    <n v="319.91449999999998"/>
    <n v="241.16"/>
    <n v="78.754499999999979"/>
    <n v="0.24617358700527792"/>
    <n v="1"/>
    <n v="2025"/>
    <n v="7"/>
    <s v="juillet"/>
    <s v="Q3"/>
    <d v="2025-07-01T00:00:00"/>
    <x v="1"/>
  </r>
  <r>
    <s v="ORD-2025-00435"/>
    <d v="2025-02-01T00:00:00"/>
    <s v="C0066"/>
    <s v="P1017"/>
    <s v="Noah Clark, Laval, Consumer"/>
    <s v="Montreal Central"/>
    <s v="N. Brown"/>
    <s v="Marketplace"/>
    <n v="5"/>
    <n v="356.85"/>
    <n v="0"/>
    <s v="PayPal"/>
    <n v="1"/>
    <s v="No"/>
    <x v="1"/>
    <s v="Montreal Central"/>
    <s v="PayPal"/>
    <s v="C0066"/>
    <s v="Noah Clark"/>
    <s v="Laval"/>
    <s v="Consumer"/>
    <s v="Coffee Maker"/>
    <x v="3"/>
    <n v="241.16"/>
    <n v="1784.25"/>
    <n v="0"/>
    <n v="1784.25"/>
    <n v="1205.8"/>
    <n v="578.45000000000005"/>
    <n v="0.32419784223062914"/>
    <n v="0"/>
    <n v="2025"/>
    <n v="2"/>
    <s v="février"/>
    <s v="Q1"/>
    <d v="2025-02-01T00:00:00"/>
    <x v="4"/>
  </r>
  <r>
    <s v="ORD-2025-00436"/>
    <d v="2025-01-14T00:00:00"/>
    <s v="C0119"/>
    <s v="P1019"/>
    <s v="Liam Chen, Winnipeg, Consumer"/>
    <s v="Toronto Downtown"/>
    <s v="L. Chen"/>
    <s v="Retail Store"/>
    <n v="5"/>
    <n v="277.52999999999997"/>
    <n v="0.25"/>
    <s v="Credit Card"/>
    <n v="0"/>
    <s v="No"/>
    <x v="0"/>
    <s v="Toronto Downtown"/>
    <s v="Credit Card"/>
    <s v="C0119"/>
    <s v="Liam Chen"/>
    <s v="Winnipeg"/>
    <s v="Consumer"/>
    <s v="Vacuum"/>
    <x v="3"/>
    <n v="186.94"/>
    <n v="1387.6499999999999"/>
    <n v="346.91249999999997"/>
    <n v="1040.7375"/>
    <n v="934.7"/>
    <n v="106.03749999999991"/>
    <n v="0.10188688309972486"/>
    <n v="0"/>
    <n v="2025"/>
    <n v="1"/>
    <s v="janvier"/>
    <s v="Q1"/>
    <d v="2025-01-01T00:00:00"/>
    <x v="6"/>
  </r>
  <r>
    <s v="ORD-2025-00437"/>
    <d v="2025-12-12T00:00:00"/>
    <s v="C0060"/>
    <s v="P1025"/>
    <s v="Sarah Wilson, Quebec City, Corporate"/>
    <s v="Toronto Downtown"/>
    <s v="R. Singh"/>
    <s v="Online"/>
    <n v="1"/>
    <n v="302.3"/>
    <n v="0"/>
    <s v="Credit Card"/>
    <n v="3"/>
    <s v="No"/>
    <x v="2"/>
    <s v="Toronto Downtown"/>
    <s v="Credit Card"/>
    <s v="C0060"/>
    <s v="Sarah Wilson"/>
    <s v="Quebec City"/>
    <s v="Corporate"/>
    <s v="Yoga Mat"/>
    <x v="2"/>
    <n v="197.33"/>
    <n v="302.3"/>
    <n v="0"/>
    <n v="302.3"/>
    <n v="197.33"/>
    <n v="104.97"/>
    <n v="0.34723784320211709"/>
    <n v="0"/>
    <n v="2025"/>
    <n v="12"/>
    <s v="décembre"/>
    <s v="Q4"/>
    <d v="2025-12-01T00:00:00"/>
    <x v="4"/>
  </r>
  <r>
    <s v="ORD-2025-00438"/>
    <d v="2025-08-10T00:00:00"/>
    <s v="C0094"/>
    <s v="P1006"/>
    <s v="Mia Singh, Quebec City, Consumer"/>
    <s v="Toronto  Downtown"/>
    <s v="E. Roy"/>
    <s v="Retail Store"/>
    <n v="1"/>
    <n v="99.22"/>
    <n v="0.05"/>
    <s v="Gift Card"/>
    <n v="3"/>
    <s v="No"/>
    <x v="0"/>
    <s v="Toronto Downtown"/>
    <s v="Gift Card"/>
    <s v="C0094"/>
    <s v="Mia Singh"/>
    <s v="Quebec City"/>
    <s v="Consumer"/>
    <s v="USB-C Hub"/>
    <x v="0"/>
    <n v="72"/>
    <n v="99.22"/>
    <n v="4.9610000000000003"/>
    <n v="94.259"/>
    <n v="72"/>
    <n v="22.259"/>
    <n v="0.23614721140686831"/>
    <n v="0"/>
    <n v="2025"/>
    <n v="8"/>
    <s v="août"/>
    <s v="Q3"/>
    <d v="2025-08-01T00:00:00"/>
    <x v="4"/>
  </r>
  <r>
    <s v="ORD-2025-00439"/>
    <d v="2025-04-11T00:00:00"/>
    <s v="C0060"/>
    <s v="P1026"/>
    <s v="Sarah Wilson, Quebec City, Corporate"/>
    <s v="Calgary North"/>
    <s v="M. Wilson"/>
    <s v="Retail Store"/>
    <n v="1"/>
    <n v="217.33"/>
    <n v="0.15"/>
    <s v="Debit Card"/>
    <n v="2"/>
    <s v="No"/>
    <x v="0"/>
    <s v="Calgary North"/>
    <s v="Debit Card"/>
    <s v="C0060"/>
    <s v="Sarah Wilson"/>
    <s v="Quebec City"/>
    <s v="Corporate"/>
    <s v="Resistance Bands"/>
    <x v="2"/>
    <n v="139.19999999999999"/>
    <n v="217.33"/>
    <n v="32.599499999999999"/>
    <n v="184.73050000000001"/>
    <n v="139.19999999999999"/>
    <n v="45.530500000000018"/>
    <n v="0.24646985744097491"/>
    <n v="0"/>
    <n v="2025"/>
    <n v="4"/>
    <s v="avril"/>
    <s v="Q2"/>
    <d v="2025-04-01T00:00:00"/>
    <x v="4"/>
  </r>
  <r>
    <s v="ORD-2025-00440"/>
    <d v="2025-07-12T00:00:00"/>
    <s v="C0084"/>
    <s v="P1038"/>
    <s v="Ryan Clark, Montreal, Corporate"/>
    <s v="Online Fulfillment"/>
    <s v="A. Morgan"/>
    <s v="Retail Store"/>
    <n v="1"/>
    <n v="269.99"/>
    <n v="0.15"/>
    <s v="PayPal"/>
    <n v="0"/>
    <s v="No"/>
    <x v="0"/>
    <s v="Online Fulfillment"/>
    <s v="PayPal"/>
    <s v="C0084"/>
    <s v="Ryan Clark"/>
    <s v="Montreal"/>
    <s v="Corporate"/>
    <s v="Water Bottle"/>
    <x v="4"/>
    <n v="119.16"/>
    <n v="269.99"/>
    <n v="40.4985"/>
    <n v="229.4915"/>
    <n v="119.16"/>
    <n v="110.33150000000001"/>
    <n v="0.48076508280263103"/>
    <n v="0"/>
    <n v="2025"/>
    <n v="7"/>
    <s v="juillet"/>
    <s v="Q3"/>
    <d v="2025-07-01T00:00:00"/>
    <x v="4"/>
  </r>
  <r>
    <s v="ORD-2025-00441"/>
    <d v="2025-10-26T00:00:00"/>
    <s v="C0089"/>
    <s v="P1026"/>
    <s v="Lucas Martin, Vancouver, Consumer"/>
    <s v="Online Fulfillment"/>
    <s v="R. Singh"/>
    <s v="Online"/>
    <n v="3"/>
    <n v="236.23"/>
    <n v="0"/>
    <s v="Credit Card"/>
    <n v="3"/>
    <s v="No"/>
    <x v="2"/>
    <s v="Online Fulfillment"/>
    <s v="Credit Card"/>
    <s v="C0089"/>
    <s v="Lucas Martin"/>
    <s v="Vancouver"/>
    <s v="Consumer"/>
    <s v="Resistance Bands"/>
    <x v="2"/>
    <n v="139.19999999999999"/>
    <n v="708.68999999999994"/>
    <n v="0"/>
    <n v="708.68999999999994"/>
    <n v="417.59999999999997"/>
    <n v="291.08999999999997"/>
    <n v="0.41074376666807771"/>
    <n v="0"/>
    <n v="2025"/>
    <n v="10"/>
    <s v="octobre"/>
    <s v="Q4"/>
    <d v="2025-10-01T00:00:00"/>
    <x v="3"/>
  </r>
  <r>
    <s v="ORD-2025-00442"/>
    <d v="2025-04-21T00:00:00"/>
    <s v="C0096"/>
    <s v="P1032"/>
    <s v="Ryan Roy, Laval, Corporate"/>
    <s v="Calgary North"/>
    <s v="S. Patel"/>
    <s v="Online"/>
    <n v="2"/>
    <n v="191.17"/>
    <n v="0"/>
    <s v="Credit Card"/>
    <n v="9"/>
    <s v="No"/>
    <x v="2"/>
    <s v="Calgary North"/>
    <s v="Credit Card"/>
    <s v="C0096"/>
    <s v="Ryan Roy"/>
    <s v="Laval"/>
    <s v="Corporate"/>
    <s v="Gym Bag"/>
    <x v="2"/>
    <n v="132.72"/>
    <n v="382.34"/>
    <n v="0"/>
    <n v="382.34"/>
    <n v="265.44"/>
    <n v="116.89999999999998"/>
    <n v="0.3057488099597217"/>
    <n v="0"/>
    <n v="2025"/>
    <n v="4"/>
    <s v="avril"/>
    <s v="Q2"/>
    <d v="2025-04-01T00:00:00"/>
    <x v="4"/>
  </r>
  <r>
    <s v="ORD-2025-00443"/>
    <d v="2025-06-05T00:00:00"/>
    <s v="C0025"/>
    <s v="P1030"/>
    <s v="Emma Gagnon, Surrey, Corporate"/>
    <s v="Online Fulfillment"/>
    <s v="R. Singh"/>
    <s v="Online"/>
    <n v="1"/>
    <n v="259.19"/>
    <n v="0.1"/>
    <s v="Credit Card"/>
    <n v="3"/>
    <s v="No"/>
    <x v="2"/>
    <s v="Online Fulfillment"/>
    <s v="Credit Card"/>
    <s v="C0025"/>
    <s v="Emma Gagnon"/>
    <s v="Surrey"/>
    <s v="Corporate"/>
    <s v="Pull-up Bar"/>
    <x v="2"/>
    <n v="125.4"/>
    <n v="259.19"/>
    <n v="25.919"/>
    <n v="233.27099999999999"/>
    <n v="125.4"/>
    <n v="107.87099999999998"/>
    <n v="0.4624278200033437"/>
    <n v="0"/>
    <n v="2025"/>
    <n v="6"/>
    <s v="juin"/>
    <s v="Q2"/>
    <d v="2025-06-01T00:00:00"/>
    <x v="3"/>
  </r>
  <r>
    <s v="ORD-2025-00444"/>
    <d v="2025-06-02T00:00:00"/>
    <s v="C0017"/>
    <s v="P1028"/>
    <s v="Yasmine Khan, Mississauga, Corporate"/>
    <s v="Calgary North"/>
    <s v="R. Singh"/>
    <s v="Online"/>
    <n v="1"/>
    <n v="365.39"/>
    <n v="0.15"/>
    <s v="PayPal"/>
    <n v="8"/>
    <s v="No"/>
    <x v="2"/>
    <s v="Calgary North"/>
    <s v="PayPal"/>
    <s v="C0017"/>
    <s v="Yasmine Khan"/>
    <s v="Mississauga"/>
    <s v="Corporate"/>
    <s v="Foam Roller"/>
    <x v="2"/>
    <n v="212.02"/>
    <n v="365.39"/>
    <n v="54.808499999999995"/>
    <n v="310.58150000000001"/>
    <n v="212.02"/>
    <n v="98.561499999999995"/>
    <n v="0.31734504469841246"/>
    <n v="0"/>
    <n v="2025"/>
    <n v="6"/>
    <s v="juin"/>
    <s v="Q2"/>
    <d v="2025-06-01T00:00:00"/>
    <x v="1"/>
  </r>
  <r>
    <s v="ORD-2025-00445"/>
    <d v="2025-10-09T00:00:00"/>
    <s v="C0096"/>
    <s v="P1005"/>
    <s v="Ryan Roy, Laval, Corporate"/>
    <s v="Toronto Downtown"/>
    <s v="L. Chen"/>
    <s v="Retail Store"/>
    <n v="1"/>
    <n v="245.43"/>
    <n v="0.2"/>
    <s v="PayPal"/>
    <n v="2"/>
    <s v="Yes"/>
    <x v="0"/>
    <s v="Toronto Downtown"/>
    <s v="PayPal"/>
    <s v="C0096"/>
    <s v="Ryan Roy"/>
    <s v="Laval"/>
    <s v="Corporate"/>
    <s v="Portable SSD"/>
    <x v="0"/>
    <n v="131.19"/>
    <n v="245.43"/>
    <n v="49.086000000000006"/>
    <n v="196.34399999999999"/>
    <n v="131.19"/>
    <n v="65.153999999999996"/>
    <n v="0.33183596137391513"/>
    <n v="1"/>
    <n v="2025"/>
    <n v="10"/>
    <s v="octobre"/>
    <s v="Q4"/>
    <d v="2025-10-01T00:00:00"/>
    <x v="4"/>
  </r>
  <r>
    <s v="ORD-2025-00446"/>
    <d v="2025-11-05T00:00:00"/>
    <s v="C0049"/>
    <s v="P1028"/>
    <s v="Olivia Scott, Quebec City, Consumer"/>
    <s v="Online Fulfillment"/>
    <s v="N. Brown"/>
    <s v="Marketplace"/>
    <n v="3"/>
    <n v="352.01"/>
    <n v="0.1"/>
    <s v="Credit Card"/>
    <n v="3"/>
    <s v="No"/>
    <x v="1"/>
    <s v="Online Fulfillment"/>
    <s v="Credit Card"/>
    <s v="C0049"/>
    <s v="Olivia Scott"/>
    <s v="Quebec City"/>
    <s v="Consumer"/>
    <s v="Foam Roller"/>
    <x v="2"/>
    <n v="212.02"/>
    <n v="1056.03"/>
    <n v="105.60300000000001"/>
    <n v="950.42699999999991"/>
    <n v="636.06000000000006"/>
    <n v="314.36699999999985"/>
    <n v="0.33076396188239587"/>
    <n v="0"/>
    <n v="2025"/>
    <n v="11"/>
    <s v="novembre"/>
    <s v="Q4"/>
    <d v="2025-11-01T00:00:00"/>
    <x v="4"/>
  </r>
  <r>
    <s v="ORD-2025-00447"/>
    <d v="2025-06-24T00:00:00"/>
    <s v="C0119"/>
    <s v="P1038"/>
    <s v="Liam Chen, Winnipeg, Consumer"/>
    <s v="Calgary North"/>
    <s v="N. Brown"/>
    <s v="Marketplace"/>
    <n v="1"/>
    <n v="259.24"/>
    <n v="0.2"/>
    <s v="Credit Card"/>
    <n v="6"/>
    <s v="No"/>
    <x v="1"/>
    <s v="Calgary North"/>
    <s v="Credit Card"/>
    <s v="C0119"/>
    <s v="Liam Chen"/>
    <s v="Winnipeg"/>
    <s v="Consumer"/>
    <s v="Water Bottle"/>
    <x v="4"/>
    <n v="119.16"/>
    <n v="259.24"/>
    <n v="51.848000000000006"/>
    <n v="207.392"/>
    <n v="119.16"/>
    <n v="88.231999999999999"/>
    <n v="0.42543588952322176"/>
    <n v="0"/>
    <n v="2025"/>
    <n v="6"/>
    <s v="juin"/>
    <s v="Q2"/>
    <d v="2025-06-01T00:00:00"/>
    <x v="6"/>
  </r>
  <r>
    <s v="ORD-2025-00448"/>
    <d v="2025-08-06T00:00:00"/>
    <s v="C0014"/>
    <s v="P1011"/>
    <s v="Zoe Scott , Montreal , Small Business"/>
    <s v="Toronto Downtown"/>
    <s v="E. Roy"/>
    <s v="Online"/>
    <n v="1"/>
    <n v="83.23"/>
    <n v="0.05"/>
    <s v="PayPal"/>
    <n v="6"/>
    <s v="No"/>
    <x v="2"/>
    <s v="Toronto Downtown"/>
    <s v="PayPal"/>
    <s v="C0014"/>
    <s v="Zoe Scott"/>
    <s v="Montreal"/>
    <s v="Small Business"/>
    <s v="Office Chair"/>
    <x v="1"/>
    <n v="39.26"/>
    <n v="83.23"/>
    <n v="4.1615000000000002"/>
    <n v="79.0685"/>
    <n v="39.26"/>
    <n v="39.808500000000002"/>
    <n v="0.50346851148055172"/>
    <n v="0"/>
    <n v="2025"/>
    <n v="8"/>
    <s v="août"/>
    <s v="Q3"/>
    <d v="2025-08-01T00:00:00"/>
    <x v="4"/>
  </r>
  <r>
    <s v="ORD-2025-00449"/>
    <d v="2025-09-24T00:00:00"/>
    <s v="C0002"/>
    <s v="P1006"/>
    <s v="Ryan Johnson, Montreal, Small Business"/>
    <s v="Toronto Downtown"/>
    <s v="S. Patel"/>
    <s v="Marketplace"/>
    <n v="4"/>
    <n v="109.34"/>
    <n v="0.2"/>
    <s v="Credit Card"/>
    <n v="7"/>
    <s v="No"/>
    <x v="1"/>
    <s v="Toronto Downtown"/>
    <s v="Credit Card"/>
    <s v="C0002"/>
    <s v="Ryan Johnson"/>
    <s v="Montreal"/>
    <s v="Small Business"/>
    <s v="USB-C Hub"/>
    <x v="0"/>
    <n v="72"/>
    <n v="437.36"/>
    <n v="87.472000000000008"/>
    <n v="349.88800000000003"/>
    <n v="288"/>
    <n v="61.888000000000034"/>
    <n v="0.1768794585695995"/>
    <n v="0"/>
    <n v="2025"/>
    <n v="9"/>
    <s v="septembre"/>
    <s v="Q3"/>
    <d v="2025-09-01T00:00:00"/>
    <x v="4"/>
  </r>
  <r>
    <s v="ORD-2025-00450"/>
    <d v="2025-10-31T00:00:00"/>
    <s v="C0034"/>
    <s v="P1019"/>
    <s v="Noah Tremblay, Toronto, Corporate"/>
    <s v="Calgary North"/>
    <s v="L. Chen"/>
    <s v="Online"/>
    <n v="1"/>
    <n v="263.44"/>
    <n v="0"/>
    <m/>
    <n v="2"/>
    <s v="No"/>
    <x v="2"/>
    <s v="Calgary North"/>
    <s v="Non renseigné"/>
    <s v="C0034"/>
    <s v="Noah Tremblay"/>
    <s v="Toronto"/>
    <s v="Corporate"/>
    <s v="Vacuum"/>
    <x v="3"/>
    <n v="186.94"/>
    <n v="263.44"/>
    <n v="0"/>
    <n v="263.44"/>
    <n v="186.94"/>
    <n v="76.5"/>
    <n v="0.29038870331005162"/>
    <n v="0"/>
    <n v="2025"/>
    <n v="10"/>
    <s v="octobre"/>
    <s v="Q4"/>
    <d v="2025-10-01T00:00:00"/>
    <x v="1"/>
  </r>
  <r>
    <s v="ORD-2025-00451"/>
    <d v="2025-01-07T00:00:00"/>
    <s v="C0050"/>
    <s v="P1006"/>
    <s v="Sarah Singh, Mississauga, Consumer"/>
    <s v="Online Fulfillment"/>
    <s v="S. Patel"/>
    <s v="Retail Store"/>
    <n v="1"/>
    <n v="102.79"/>
    <n v="0.05"/>
    <s v="Credit Card"/>
    <n v="1"/>
    <s v="No"/>
    <x v="0"/>
    <s v="Online Fulfillment"/>
    <s v="Credit Card"/>
    <s v="C0050"/>
    <s v="Sarah Singh"/>
    <s v="Mississauga"/>
    <s v="Consumer"/>
    <s v="USB-C Hub"/>
    <x v="0"/>
    <n v="72"/>
    <n v="102.79"/>
    <n v="5.1395000000000008"/>
    <n v="97.650500000000008"/>
    <n v="72"/>
    <n v="25.650500000000008"/>
    <n v="0.26267658639740715"/>
    <n v="0"/>
    <n v="2025"/>
    <n v="1"/>
    <s v="janvier"/>
    <s v="Q1"/>
    <d v="2025-01-01T00:00:00"/>
    <x v="1"/>
  </r>
  <r>
    <s v="ORD-2025-00452"/>
    <d v="2025-01-26T00:00:00"/>
    <s v="C0028"/>
    <s v="P1039"/>
    <s v="Mia Clark , Victoria , Consumer"/>
    <s v="Calgary North"/>
    <s v="J. Tremblay"/>
    <s v="Retail Store"/>
    <n v="1"/>
    <n v="334.66"/>
    <n v="0.2"/>
    <s v="PayPal"/>
    <n v="2"/>
    <s v="No"/>
    <x v="0"/>
    <s v="Calgary North"/>
    <s v="PayPal"/>
    <s v="C0028"/>
    <s v="Mia Clark"/>
    <s v="Victoria"/>
    <s v="Consumer"/>
    <s v="Travel Adapter"/>
    <x v="4"/>
    <n v="229.86"/>
    <n v="334.66"/>
    <n v="66.932000000000002"/>
    <n v="267.72800000000001"/>
    <n v="229.86"/>
    <n v="37.867999999999995"/>
    <n v="0.1414420605988167"/>
    <n v="0"/>
    <n v="2025"/>
    <n v="1"/>
    <s v="janvier"/>
    <s v="Q1"/>
    <d v="2025-01-01T00:00:00"/>
    <x v="3"/>
  </r>
  <r>
    <s v="ORD-2025-00453"/>
    <d v="2025-12-16T00:00:00"/>
    <s v="C0098"/>
    <s v="P1034"/>
    <s v="Nora Young, Winnipeg, Consumer"/>
    <s v="Vancouver West"/>
    <s v="J. Tremblay"/>
    <s v="Retail Store"/>
    <n v="2"/>
    <n v="142.21"/>
    <n v="0.05"/>
    <s v="Credit Card"/>
    <n v="2"/>
    <s v="No"/>
    <x v="0"/>
    <s v="Vancouver West"/>
    <s v="Credit Card"/>
    <s v="C0098"/>
    <s v="Nora Young"/>
    <s v="Winnipeg"/>
    <s v="Consumer"/>
    <s v="Laptop Sleeve"/>
    <x v="4"/>
    <n v="78.95"/>
    <n v="284.42"/>
    <n v="14.221000000000002"/>
    <n v="270.19900000000001"/>
    <n v="157.9"/>
    <n v="112.29900000000001"/>
    <n v="0.41561589791227949"/>
    <n v="0"/>
    <n v="2025"/>
    <n v="12"/>
    <s v="décembre"/>
    <s v="Q4"/>
    <d v="2025-12-01T00:00:00"/>
    <x v="6"/>
  </r>
  <r>
    <s v="ORD-2025-00454"/>
    <d v="2025-05-20T00:00:00"/>
    <s v="C0021"/>
    <s v="P1029"/>
    <s v="Nora King, Halifax, Corporate"/>
    <s v="Vancouver West"/>
    <s v="S. Patel"/>
    <s v="Retail Store"/>
    <n v="1"/>
    <n v="203.87"/>
    <n v="0"/>
    <s v="Debit Card"/>
    <n v="2"/>
    <s v="No"/>
    <x v="0"/>
    <s v="Vancouver West"/>
    <s v="Debit Card"/>
    <s v="C0021"/>
    <s v="Nora King"/>
    <s v="Halifax"/>
    <s v="Corporate"/>
    <s v="Jump Rope"/>
    <x v="2"/>
    <n v="101"/>
    <n v="203.87"/>
    <n v="0"/>
    <n v="203.87"/>
    <n v="101"/>
    <n v="102.87"/>
    <n v="0.50458625594741746"/>
    <n v="0"/>
    <n v="2025"/>
    <n v="5"/>
    <s v="mai"/>
    <s v="Q2"/>
    <d v="2025-05-01T00:00:00"/>
    <x v="2"/>
  </r>
  <r>
    <s v="ORD-2025-00455"/>
    <d v="2025-12-02T00:00:00"/>
    <s v="C0051"/>
    <s v="P1020"/>
    <s v="Daniel Brown, Vancouver, Small Business"/>
    <s v="Online Fulfillment"/>
    <s v="A. Morgan"/>
    <s v="Online"/>
    <n v="4"/>
    <n v="66.59"/>
    <n v="0.15"/>
    <s v="PayPal"/>
    <n v="4"/>
    <s v="No"/>
    <x v="2"/>
    <s v="Online Fulfillment"/>
    <s v="PayPal"/>
    <s v="C0051"/>
    <s v="Daniel Brown"/>
    <s v="Vancouver"/>
    <s v="Small Business"/>
    <s v="Blender"/>
    <x v="3"/>
    <n v="37.46"/>
    <n v="266.36"/>
    <n v="39.954000000000001"/>
    <n v="226.40600000000001"/>
    <n v="149.84"/>
    <n v="76.566000000000003"/>
    <n v="0.33818008356668994"/>
    <n v="0"/>
    <n v="2025"/>
    <n v="12"/>
    <s v="décembre"/>
    <s v="Q4"/>
    <d v="2025-12-01T00:00:00"/>
    <x v="3"/>
  </r>
  <r>
    <s v="ORD-2025-00456"/>
    <d v="2025-07-14T00:00:00"/>
    <s v="C0108"/>
    <s v="P1010"/>
    <s v="Noah Lee, Surrey, Consumer"/>
    <s v="Online Fulfillment"/>
    <s v="S. Patel"/>
    <s v="Retail Store"/>
    <n v="2"/>
    <n v="210.56"/>
    <n v="0.05"/>
    <s v="Credit Card"/>
    <n v="2"/>
    <s v="No"/>
    <x v="0"/>
    <s v="Online Fulfillment"/>
    <s v="Credit Card"/>
    <s v="C0108"/>
    <s v="Noah Lee"/>
    <s v="Surrey"/>
    <s v="Consumer"/>
    <s v="Desk Lamp"/>
    <x v="1"/>
    <n v="127.21"/>
    <n v="421.12"/>
    <n v="21.056000000000001"/>
    <n v="400.06400000000002"/>
    <n v="254.42"/>
    <n v="145.64400000000003"/>
    <n v="0.36405175171972493"/>
    <n v="0"/>
    <n v="2025"/>
    <n v="7"/>
    <s v="juillet"/>
    <s v="Q3"/>
    <d v="2025-07-01T00:00:00"/>
    <x v="3"/>
  </r>
  <r>
    <s v="ORD-2025-00457"/>
    <d v="2025-12-28T00:00:00"/>
    <s v="C0077"/>
    <s v="P1023"/>
    <s v="Amine Taylor, Surrey, Small Business"/>
    <s v="Online Fulfillment"/>
    <s v="R. Singh"/>
    <s v="Retail Store"/>
    <n v="2"/>
    <n v="350.32"/>
    <n v="0.2"/>
    <s v="Credit Card"/>
    <n v="2"/>
    <s v="No"/>
    <x v="0"/>
    <s v="Online Fulfillment"/>
    <s v="Credit Card"/>
    <s v="C0077"/>
    <s v="Amine Taylor"/>
    <s v="Surrey"/>
    <s v="Small Business"/>
    <s v="Toaster"/>
    <x v="3"/>
    <n v="152.88"/>
    <n v="700.64"/>
    <n v="140.12800000000001"/>
    <n v="560.51199999999994"/>
    <n v="305.76"/>
    <n v="254.75199999999995"/>
    <n v="0.45449874400548068"/>
    <n v="0"/>
    <n v="2025"/>
    <n v="12"/>
    <s v="décembre"/>
    <s v="Q4"/>
    <d v="2025-12-01T00:00:00"/>
    <x v="3"/>
  </r>
  <r>
    <s v="ORD-2025-00458"/>
    <d v="2025-09-08T00:00:00"/>
    <s v="C0020"/>
    <s v="P1030"/>
    <s v="Nora Khan, Mississauga, Consumer"/>
    <s v="Online Fulfillment"/>
    <s v="E. Roy"/>
    <s v="Retail Store"/>
    <n v="3"/>
    <n v="252.66"/>
    <n v="0.25"/>
    <s v="Debit Card"/>
    <n v="2"/>
    <s v="No"/>
    <x v="0"/>
    <s v="Online Fulfillment"/>
    <s v="Debit Card"/>
    <s v="C0020"/>
    <s v="Nora Khan"/>
    <s v="Mississauga"/>
    <s v="Consumer"/>
    <s v="Pull-up Bar"/>
    <x v="2"/>
    <n v="125.4"/>
    <n v="757.98"/>
    <n v="189.495"/>
    <n v="568.48500000000001"/>
    <n v="376.20000000000005"/>
    <n v="192.28499999999997"/>
    <n v="0.3382411145412807"/>
    <n v="0"/>
    <n v="2025"/>
    <n v="9"/>
    <s v="septembre"/>
    <s v="Q3"/>
    <d v="2025-09-01T00:00:00"/>
    <x v="1"/>
  </r>
  <r>
    <s v="ORD-2025-00459"/>
    <d v="2025-09-08T00:00:00"/>
    <s v="C0039"/>
    <s v="P1026"/>
    <s v="Sarah Wilson, Halifax, Consumer"/>
    <s v="Montreal Central"/>
    <s v="S. Patel"/>
    <s v="Marketplace"/>
    <n v="2"/>
    <n v="235.33"/>
    <n v="0.05"/>
    <s v="Debit Card"/>
    <n v="2"/>
    <s v="No"/>
    <x v="1"/>
    <s v="Montreal Central"/>
    <s v="Debit Card"/>
    <s v="C0039"/>
    <s v="Sarah Wilson"/>
    <s v="Halifax"/>
    <s v="Consumer"/>
    <s v="Resistance Bands"/>
    <x v="2"/>
    <n v="139.19999999999999"/>
    <n v="470.66"/>
    <n v="23.533000000000001"/>
    <n v="447.12700000000001"/>
    <n v="278.39999999999998"/>
    <n v="168.72700000000003"/>
    <n v="0.37735811078284254"/>
    <n v="0"/>
    <n v="2025"/>
    <n v="9"/>
    <s v="septembre"/>
    <s v="Q3"/>
    <d v="2025-09-01T00:00:00"/>
    <x v="2"/>
  </r>
  <r>
    <s v="ORD-2025-00460"/>
    <d v="2025-03-18T00:00:00"/>
    <s v="C0038"/>
    <s v="P1009"/>
    <s v="Noah Brown, Montreal, Consumer"/>
    <s v="Toronto Downtown"/>
    <s v="N. Brown"/>
    <s v="Retail  Store"/>
    <n v="3"/>
    <n v="277.63"/>
    <n v="0.1"/>
    <s v="PayPal"/>
    <n v="3"/>
    <s v="No"/>
    <x v="0"/>
    <s v="Toronto Downtown"/>
    <s v="PayPal"/>
    <s v="C0038"/>
    <s v="Noah Brown"/>
    <s v="Montreal"/>
    <s v="Consumer"/>
    <s v="Notebook"/>
    <x v="1"/>
    <n v="176.13"/>
    <n v="832.89"/>
    <n v="83.289000000000001"/>
    <n v="749.601"/>
    <n v="528.39"/>
    <n v="221.21100000000001"/>
    <n v="0.29510499585779637"/>
    <n v="0"/>
    <n v="2025"/>
    <n v="3"/>
    <s v="mars"/>
    <s v="Q1"/>
    <d v="2025-03-01T00:00:00"/>
    <x v="4"/>
  </r>
  <r>
    <s v="ORD-2025-00461"/>
    <d v="2025-11-23T00:00:00"/>
    <s v="C0060"/>
    <s v="P1001"/>
    <s v="Sarah Wilson, Quebec City, Corporate"/>
    <s v="Montreal Central"/>
    <s v="N. Brown"/>
    <s v="Retail Store"/>
    <n v="1"/>
    <n v="392.21"/>
    <n v="0"/>
    <s v="Credit Card"/>
    <n v="1"/>
    <s v="No"/>
    <x v="0"/>
    <s v="Montreal Central"/>
    <s v="Credit Card"/>
    <s v="C0060"/>
    <s v="Sarah Wilson"/>
    <s v="Quebec City"/>
    <s v="Corporate"/>
    <s v="Headphones"/>
    <x v="0"/>
    <n v="254.6"/>
    <n v="392.21"/>
    <n v="0"/>
    <n v="392.21"/>
    <n v="254.6"/>
    <n v="137.60999999999999"/>
    <n v="0.35085795874658982"/>
    <n v="0"/>
    <n v="2025"/>
    <n v="11"/>
    <s v="novembre"/>
    <s v="Q4"/>
    <d v="2025-11-01T00:00:00"/>
    <x v="4"/>
  </r>
  <r>
    <s v="ORD-2025-00462"/>
    <d v="2025-08-27T00:00:00"/>
    <s v="C0044"/>
    <s v="P1004"/>
    <s v="Nora Young, Vancouver, Corporate"/>
    <s v="Vancouver West"/>
    <s v="L. Chen"/>
    <s v="Online"/>
    <n v="1"/>
    <n v="279.77"/>
    <n v="0"/>
    <s v="Debit Card"/>
    <n v="4"/>
    <s v="No"/>
    <x v="2"/>
    <s v="Vancouver West"/>
    <s v="Debit Card"/>
    <s v="C0044"/>
    <s v="Nora Young"/>
    <s v="Vancouver"/>
    <s v="Corporate"/>
    <s v="Webcam"/>
    <x v="0"/>
    <n v="154.72999999999999"/>
    <n v="279.77"/>
    <n v="0"/>
    <n v="279.77"/>
    <n v="154.72999999999999"/>
    <n v="125.03999999999999"/>
    <n v="0.44693855667155163"/>
    <n v="0"/>
    <n v="2025"/>
    <n v="8"/>
    <s v="août"/>
    <s v="Q3"/>
    <d v="2025-08-01T00:00:00"/>
    <x v="3"/>
  </r>
  <r>
    <s v="ORD-2025-00463"/>
    <d v="2025-04-07T00:00:00"/>
    <s v="C0110"/>
    <s v="P1024"/>
    <s v="Sarah Smith, Laval, Consumer"/>
    <s v="Montreal Central"/>
    <s v="N. Brown"/>
    <s v="Marketplace"/>
    <n v="1"/>
    <n v="103.89"/>
    <n v="0.25"/>
    <s v="Debit Card"/>
    <n v="8"/>
    <s v="No"/>
    <x v="1"/>
    <s v="Montreal Central"/>
    <s v="Debit Card"/>
    <s v="C0110"/>
    <s v="Sarah Smith"/>
    <s v="Laval"/>
    <s v="Consumer"/>
    <s v="Food Scale"/>
    <x v="3"/>
    <n v="46.07"/>
    <n v="103.89"/>
    <n v="25.9725"/>
    <n v="77.917500000000004"/>
    <n v="46.07"/>
    <n v="31.847500000000004"/>
    <n v="0.40873359643212376"/>
    <n v="0"/>
    <n v="2025"/>
    <n v="4"/>
    <s v="avril"/>
    <s v="Q2"/>
    <d v="2025-04-01T00:00:00"/>
    <x v="4"/>
  </r>
  <r>
    <s v="ORD-2025-00465"/>
    <d v="2025-09-12T00:00:00"/>
    <s v="C0075"/>
    <s v="P1025"/>
    <s v="Amelia Wilson, Vancouver, Consumer"/>
    <s v="Vancouver West"/>
    <s v="L. Chen"/>
    <s v="Marketplace"/>
    <n v="1"/>
    <n v="295.25"/>
    <n v="0.1"/>
    <s v="Gift Card"/>
    <n v="5"/>
    <s v="No"/>
    <x v="1"/>
    <s v="Vancouver West"/>
    <s v="Gift Card"/>
    <s v="C0075"/>
    <s v="Amelia Wilson"/>
    <s v="Vancouver"/>
    <s v="Consumer"/>
    <s v="Yoga Mat"/>
    <x v="2"/>
    <n v="197.33"/>
    <n v="295.25"/>
    <n v="29.525000000000002"/>
    <n v="265.72500000000002"/>
    <n v="197.33"/>
    <n v="68.39500000000001"/>
    <n v="0.25739015899896511"/>
    <n v="0"/>
    <n v="2025"/>
    <n v="9"/>
    <s v="septembre"/>
    <s v="Q3"/>
    <d v="2025-09-01T00:00:00"/>
    <x v="3"/>
  </r>
  <r>
    <s v="ORD-2025-00466"/>
    <d v="2025-01-28T00:00:00"/>
    <s v="C0120"/>
    <s v="P1014"/>
    <s v="Ethan King, Mississauga, Small Business"/>
    <s v="Online Fulfillment"/>
    <s v="M. Wilson"/>
    <s v="Marketplace"/>
    <n v="1"/>
    <n v="252.23"/>
    <n v="0"/>
    <s v="Debit Card"/>
    <n v="2"/>
    <s v="No"/>
    <x v="1"/>
    <s v="Online Fulfillment"/>
    <s v="Debit Card"/>
    <s v="C0120"/>
    <s v="Ethan King"/>
    <s v="Mississauga"/>
    <s v="Small Business"/>
    <s v="Document Shredder"/>
    <x v="1"/>
    <n v="117.65"/>
    <n v="252.23"/>
    <n v="0"/>
    <n v="252.23"/>
    <n v="117.65"/>
    <n v="134.57999999999998"/>
    <n v="0.53356063909923479"/>
    <n v="0"/>
    <n v="2025"/>
    <n v="1"/>
    <s v="janvier"/>
    <s v="Q1"/>
    <d v="2025-01-01T00:00:00"/>
    <x v="1"/>
  </r>
  <r>
    <s v="ORD-2025-00467"/>
    <d v="2025-09-06T00:00:00"/>
    <s v="C0044"/>
    <s v="P1034"/>
    <s v="Nora Young, Vancouver, Corporate"/>
    <s v="Vancouver West"/>
    <s v="S. Patel"/>
    <s v="Marketplace"/>
    <n v="3"/>
    <n v="145.91999999999999"/>
    <n v="0"/>
    <s v="Debit  Card"/>
    <n v="7"/>
    <s v="No"/>
    <x v="1"/>
    <s v="Vancouver West"/>
    <s v="Debit Card"/>
    <s v="C0044"/>
    <s v="Nora Young"/>
    <s v="Vancouver"/>
    <s v="Corporate"/>
    <s v="Laptop Sleeve"/>
    <x v="4"/>
    <n v="78.95"/>
    <n v="437.76"/>
    <n v="0"/>
    <n v="437.76"/>
    <n v="236.85000000000002"/>
    <n v="200.90999999999997"/>
    <n v="0.45895010964912275"/>
    <n v="0"/>
    <n v="2025"/>
    <n v="9"/>
    <s v="septembre"/>
    <s v="Q3"/>
    <d v="2025-09-01T00:00:00"/>
    <x v="3"/>
  </r>
  <r>
    <s v="ORD-2025-00468"/>
    <d v="2025-06-29T00:00:00"/>
    <s v="C0096"/>
    <s v="P1021"/>
    <s v="Ryan Roy, Laval, Corporate"/>
    <s v="Montreal Central"/>
    <s v="A. Morgan"/>
    <s v="Online"/>
    <n v="3"/>
    <n v="314.99"/>
    <n v="0.15"/>
    <s v="Debit Card"/>
    <n v="9"/>
    <s v="No"/>
    <x v="2"/>
    <s v="Montreal Central"/>
    <s v="Debit Card"/>
    <s v="C0096"/>
    <s v="Ryan Roy"/>
    <s v="Laval"/>
    <s v="Corporate"/>
    <s v="Kettle"/>
    <x v="3"/>
    <n v="139.86000000000001"/>
    <n v="944.97"/>
    <n v="141.74549999999999"/>
    <n v="803.22450000000003"/>
    <n v="419.58000000000004"/>
    <n v="383.64449999999999"/>
    <n v="0.47763047566402667"/>
    <n v="0"/>
    <n v="2025"/>
    <n v="6"/>
    <s v="juin"/>
    <s v="Q2"/>
    <d v="2025-06-01T00:00:00"/>
    <x v="4"/>
  </r>
  <r>
    <s v="ORD-2025-00469"/>
    <d v="2025-02-19T00:00:00"/>
    <s v="C0045"/>
    <s v="P1001"/>
    <s v="Lucas Chen, Ottawa, Corporate"/>
    <s v="Calgary North"/>
    <s v="N. Brown"/>
    <s v="Retail Store"/>
    <n v="1"/>
    <n v="380.08"/>
    <n v="0"/>
    <s v="PayPal"/>
    <n v="4"/>
    <s v="No"/>
    <x v="0"/>
    <s v="Calgary North"/>
    <s v="PayPal"/>
    <s v="C0045"/>
    <s v="Lucas Chen"/>
    <s v="Ottawa"/>
    <s v="Corporate"/>
    <s v="Headphones"/>
    <x v="0"/>
    <n v="254.6"/>
    <n v="380.08"/>
    <n v="0"/>
    <n v="380.08"/>
    <n v="254.6"/>
    <n v="125.47999999999999"/>
    <n v="0.33014102294253839"/>
    <n v="0"/>
    <n v="2025"/>
    <n v="2"/>
    <s v="février"/>
    <s v="Q1"/>
    <d v="2025-02-01T00:00:00"/>
    <x v="1"/>
  </r>
  <r>
    <s v="ORD-2025-00470"/>
    <d v="2025-05-08T00:00:00"/>
    <s v="C0003"/>
    <s v="P1021"/>
    <s v="Amelia Young, Ottawa, Corporate"/>
    <s v="Calgary North"/>
    <s v="N. Brown"/>
    <s v="Online"/>
    <n v="4"/>
    <n v="310.64999999999998"/>
    <n v="0.1"/>
    <s v="Debit Card"/>
    <n v="1"/>
    <s v="No"/>
    <x v="2"/>
    <s v="Calgary North"/>
    <s v="Debit Card"/>
    <s v="C0003"/>
    <s v="Amelia Young"/>
    <s v="Ottawa"/>
    <s v="Corporate"/>
    <s v="Kettle"/>
    <x v="3"/>
    <n v="139.86000000000001"/>
    <n v="1242.5999999999999"/>
    <n v="124.25999999999999"/>
    <n v="1118.3399999999999"/>
    <n v="559.44000000000005"/>
    <n v="558.89999999999986"/>
    <n v="0.49975857073877344"/>
    <n v="0"/>
    <n v="2025"/>
    <n v="5"/>
    <s v="mai"/>
    <s v="Q2"/>
    <d v="2025-05-01T00:00:00"/>
    <x v="1"/>
  </r>
  <r>
    <s v="ORD-2025-00471"/>
    <d v="2025-05-29T00:00:00"/>
    <s v="C0117"/>
    <s v="P1022"/>
    <s v="Ethan Hall, Vancouver, Consumer"/>
    <s v="Online Fulfillment"/>
    <s v="E. Roy"/>
    <s v="Retail Store"/>
    <n v="2"/>
    <n v="440.76"/>
    <n v="0.2"/>
    <s v="Credit Card"/>
    <n v="2"/>
    <s v="No"/>
    <x v="0"/>
    <s v="Online Fulfillment"/>
    <s v="Credit Card"/>
    <s v="C0117"/>
    <s v="Ethan Hall"/>
    <s v="Vancouver"/>
    <s v="Consumer"/>
    <s v="Humidifier"/>
    <x v="3"/>
    <n v="239.67"/>
    <n v="881.52"/>
    <n v="176.304"/>
    <n v="705.21600000000001"/>
    <n v="479.34"/>
    <n v="225.87600000000003"/>
    <n v="0.32029335692894095"/>
    <n v="0"/>
    <n v="2025"/>
    <n v="5"/>
    <s v="mai"/>
    <s v="Q2"/>
    <d v="2025-05-01T00:00:00"/>
    <x v="3"/>
  </r>
  <r>
    <s v="ORD-2025-00472"/>
    <d v="2025-11-17T00:00:00"/>
    <s v="C0037"/>
    <s v="P1008"/>
    <s v="Lucas Scott, Victoria, Small Business"/>
    <s v="Online Fulfillment"/>
    <s v="E. Roy"/>
    <s v="Marketplace"/>
    <n v="1"/>
    <n v="133.57"/>
    <n v="0.15"/>
    <s v="Gift Card"/>
    <n v="9"/>
    <s v="No"/>
    <x v="1"/>
    <s v="Online Fulfillment"/>
    <s v="Gift Card"/>
    <s v="C0037"/>
    <s v="Lucas Scott"/>
    <s v="Victoria"/>
    <s v="Small Business"/>
    <s v="Smart Speaker"/>
    <x v="0"/>
    <n v="69"/>
    <n v="133.57"/>
    <n v="20.035499999999999"/>
    <n v="113.53449999999999"/>
    <n v="69"/>
    <n v="44.534499999999994"/>
    <n v="0.39225521757703602"/>
    <n v="0"/>
    <n v="2025"/>
    <n v="11"/>
    <s v="novembre"/>
    <s v="Q4"/>
    <d v="2025-11-01T00:00:00"/>
    <x v="3"/>
  </r>
  <r>
    <s v="ORD-2025-00473"/>
    <d v="2025-02-05T00:00:00"/>
    <s v="C0074"/>
    <s v="P1020"/>
    <s v="Sophia Chen, Vancouver, Corporate"/>
    <s v="Montreal Central"/>
    <s v="A. Morgan"/>
    <s v="Retail Store"/>
    <n v="1"/>
    <n v="68.52"/>
    <n v="0.1"/>
    <s v="Credit Card"/>
    <n v="1"/>
    <s v="No"/>
    <x v="0"/>
    <s v="Montreal Central"/>
    <s v="Credit Card"/>
    <s v="C0074"/>
    <s v="Sophia Chen"/>
    <s v="Vancouver"/>
    <s v="Corporate"/>
    <s v="Blender"/>
    <x v="3"/>
    <n v="37.46"/>
    <n v="68.52"/>
    <n v="6.8520000000000003"/>
    <n v="61.667999999999992"/>
    <n v="37.46"/>
    <n v="24.207999999999991"/>
    <n v="0.3925536745151455"/>
    <n v="0"/>
    <n v="2025"/>
    <n v="2"/>
    <s v="février"/>
    <s v="Q1"/>
    <d v="2025-02-01T00:00:00"/>
    <x v="3"/>
  </r>
  <r>
    <s v="ORD-2025-00474"/>
    <d v="2025-06-04T00:00:00"/>
    <s v="C0064"/>
    <s v="P1025"/>
    <s v="Amine Khan, Edmonton, Consumer"/>
    <s v="Toronto Downtown"/>
    <s v="M. Wilson"/>
    <s v="Marketplace"/>
    <n v="1"/>
    <n v="294.06"/>
    <n v="0.15"/>
    <s v="Credit Card"/>
    <n v="8"/>
    <s v="No"/>
    <x v="1"/>
    <s v="Toronto Downtown"/>
    <s v="Credit Card"/>
    <s v="C0064"/>
    <s v="Amine Khan"/>
    <s v="Edmonton"/>
    <s v="Consumer"/>
    <s v="Yoga Mat"/>
    <x v="2"/>
    <n v="197.33"/>
    <n v="294.06"/>
    <n v="44.109000000000002"/>
    <n v="249.95099999999999"/>
    <n v="197.33"/>
    <n v="52.620999999999981"/>
    <n v="0.21052526295153842"/>
    <n v="0"/>
    <n v="2025"/>
    <n v="6"/>
    <s v="juin"/>
    <s v="Q2"/>
    <d v="2025-06-01T00:00:00"/>
    <x v="0"/>
  </r>
  <r>
    <s v="ORD-2025-00475"/>
    <d v="2025-08-27T00:00:00"/>
    <s v="C0094"/>
    <s v="P1006"/>
    <s v="Mia Singh, Quebec City, Consumer"/>
    <s v="Toronto Downtown"/>
    <s v="A. Morgan"/>
    <s v="Online"/>
    <n v="3"/>
    <n v="111.3"/>
    <n v="0.2"/>
    <s v="Debit Card"/>
    <n v="4"/>
    <s v="No"/>
    <x v="2"/>
    <s v="Toronto Downtown"/>
    <s v="Debit Card"/>
    <s v="C0094"/>
    <s v="Mia Singh"/>
    <s v="Quebec City"/>
    <s v="Consumer"/>
    <s v="USB-C Hub"/>
    <x v="0"/>
    <n v="72"/>
    <n v="333.9"/>
    <n v="66.78"/>
    <n v="267.12"/>
    <n v="216"/>
    <n v="51.120000000000005"/>
    <n v="0.19137466307277629"/>
    <n v="0"/>
    <n v="2025"/>
    <n v="8"/>
    <s v="août"/>
    <s v="Q3"/>
    <d v="2025-08-01T00:00:00"/>
    <x v="4"/>
  </r>
  <r>
    <s v="ORD-2025-00476"/>
    <d v="2025-11-13T00:00:00"/>
    <s v="C0001"/>
    <s v="P1022"/>
    <s v="Ethan Roy , Halifax , Consumer"/>
    <s v="Vancouver West"/>
    <s v="E. Roy"/>
    <s v="Retail Store"/>
    <n v="2"/>
    <n v="401.68"/>
    <n v="0.1"/>
    <s v="Debit Card"/>
    <n v="3"/>
    <s v="No"/>
    <x v="0"/>
    <s v="Vancouver West"/>
    <s v="Debit Card"/>
    <s v="C0001"/>
    <s v="Ethan Roy"/>
    <s v="Halifax"/>
    <s v="Consumer"/>
    <s v="Humidifier"/>
    <x v="3"/>
    <n v="239.67"/>
    <n v="803.36"/>
    <n v="80.336000000000013"/>
    <n v="723.024"/>
    <n v="479.34"/>
    <n v="243.68400000000003"/>
    <n v="0.3370344552877913"/>
    <n v="0"/>
    <n v="2025"/>
    <n v="11"/>
    <s v="novembre"/>
    <s v="Q4"/>
    <d v="2025-11-01T00:00:00"/>
    <x v="2"/>
  </r>
  <r>
    <s v="ORD-2025-00477"/>
    <d v="2025-04-26T00:00:00"/>
    <s v="C0063"/>
    <s v="P1016"/>
    <s v="Adam Singh , Laval , Small Business"/>
    <s v="Online Fulfillment"/>
    <s v="J. Tremblay"/>
    <s v="Online"/>
    <n v="3"/>
    <n v="329.79"/>
    <n v="0.1"/>
    <s v="PayPal"/>
    <n v="3"/>
    <s v="No"/>
    <x v="2"/>
    <s v="Online Fulfillment"/>
    <s v="PayPal"/>
    <s v="C0063"/>
    <s v="Adam Singh"/>
    <s v="Laval"/>
    <s v="Small Business"/>
    <s v="Printer"/>
    <x v="1"/>
    <n v="156.75"/>
    <n v="989.37000000000012"/>
    <n v="98.937000000000012"/>
    <n v="890.43300000000011"/>
    <n v="470.25"/>
    <n v="420.18300000000011"/>
    <n v="0.47188614977207727"/>
    <n v="0"/>
    <n v="2025"/>
    <n v="4"/>
    <s v="avril"/>
    <s v="Q2"/>
    <d v="2025-04-01T00:00:00"/>
    <x v="4"/>
  </r>
  <r>
    <s v="ORD-2025-00478"/>
    <d v="2025-06-29T00:00:00"/>
    <s v="C0041"/>
    <s v="P1032"/>
    <s v="Amine Chen, Halifax, Small Business"/>
    <s v="Online Fulfillment"/>
    <s v="S. Patel"/>
    <s v="Online"/>
    <n v="1"/>
    <n v="202.81"/>
    <n v="0.15"/>
    <s v="Credit Card"/>
    <n v="9"/>
    <s v="No"/>
    <x v="2"/>
    <s v="Online Fulfillment"/>
    <s v="Credit Card"/>
    <s v="C0041"/>
    <s v="Amine Chen"/>
    <s v="Halifax"/>
    <s v="Small Business"/>
    <s v="Gym Bag"/>
    <x v="2"/>
    <n v="132.72"/>
    <n v="202.81"/>
    <n v="30.421499999999998"/>
    <n v="172.38849999999999"/>
    <n v="132.72"/>
    <n v="39.668499999999995"/>
    <n v="0.23011105729210474"/>
    <n v="0"/>
    <n v="2025"/>
    <n v="6"/>
    <s v="juin"/>
    <s v="Q2"/>
    <d v="2025-06-01T00:00:00"/>
    <x v="2"/>
  </r>
  <r>
    <s v="ORD-2025-00479"/>
    <d v="2025-10-26T00:00:00"/>
    <s v="C0033"/>
    <s v="P1008"/>
    <s v="Maya Hall, Winnipeg, Consumer"/>
    <s v="Vancouver  West"/>
    <s v="M. Wilson"/>
    <s v="Online"/>
    <n v="2"/>
    <n v="128.86000000000001"/>
    <n v="0"/>
    <s v="Credit Card"/>
    <n v="6"/>
    <s v="Yes"/>
    <x v="2"/>
    <s v="Vancouver West"/>
    <s v="Credit Card"/>
    <s v="C0033"/>
    <s v="Maya Hall"/>
    <s v="Winnipeg"/>
    <s v="Consumer"/>
    <s v="Smart Speaker"/>
    <x v="0"/>
    <n v="69"/>
    <n v="257.72000000000003"/>
    <n v="0"/>
    <n v="257.72000000000003"/>
    <n v="138"/>
    <n v="119.72000000000003"/>
    <n v="0.46453515443116566"/>
    <n v="1"/>
    <n v="2025"/>
    <n v="10"/>
    <s v="octobre"/>
    <s v="Q4"/>
    <d v="2025-10-01T00:00:00"/>
    <x v="6"/>
  </r>
  <r>
    <s v="ORD-2025-00480"/>
    <d v="2025-03-19T00:00:00"/>
    <s v="C0116"/>
    <s v="P1026"/>
    <s v="Lucas Brown, Mississauga, Corporate"/>
    <s v="Vancouver West"/>
    <s v="S. Patel"/>
    <s v="Online"/>
    <n v="2"/>
    <n v="223.1"/>
    <n v="0.25"/>
    <s v="Credit Card"/>
    <n v="8"/>
    <s v="No"/>
    <x v="2"/>
    <s v="Vancouver West"/>
    <s v="Credit Card"/>
    <s v="C0116"/>
    <s v="Lucas Brown"/>
    <s v="Mississauga"/>
    <s v="Corporate"/>
    <s v="Resistance Bands"/>
    <x v="2"/>
    <n v="139.19999999999999"/>
    <n v="446.2"/>
    <n v="111.55"/>
    <n v="334.65"/>
    <n v="278.39999999999998"/>
    <n v="56.25"/>
    <n v="0.16808606006275215"/>
    <n v="0"/>
    <n v="2025"/>
    <n v="3"/>
    <s v="mars"/>
    <s v="Q1"/>
    <d v="2025-03-01T00:00:00"/>
    <x v="1"/>
  </r>
  <r>
    <s v="ORD-2025-00481"/>
    <d v="2025-04-21T00:00:00"/>
    <s v="C0099"/>
    <s v="P1031"/>
    <s v="Amine Gagnon, Laval, Small Business"/>
    <s v="Toronto Downtown"/>
    <s v="M. Wilson"/>
    <s v="Retail Store"/>
    <n v="2"/>
    <n v="254.63"/>
    <n v="0.1"/>
    <s v="PayPal"/>
    <n v="2"/>
    <s v="No"/>
    <x v="0"/>
    <s v="Toronto Downtown"/>
    <s v="PayPal"/>
    <s v="C0099"/>
    <s v="Amine Gagnon"/>
    <s v="Laval"/>
    <s v="Small Business"/>
    <s v="Dumbbell Set"/>
    <x v="2"/>
    <n v="131.72999999999999"/>
    <n v="509.26"/>
    <n v="50.926000000000002"/>
    <n v="458.334"/>
    <n v="263.45999999999998"/>
    <n v="194.87400000000002"/>
    <n v="0.42517901792142854"/>
    <n v="0"/>
    <n v="2025"/>
    <n v="4"/>
    <s v="avril"/>
    <s v="Q2"/>
    <d v="2025-04-01T00:00:00"/>
    <x v="4"/>
  </r>
  <r>
    <s v="ORD-2025-00482"/>
    <d v="2025-05-24T00:00:00"/>
    <s v="C0014"/>
    <s v="P1001"/>
    <s v="Zoe Scott, Montreal, Small Business"/>
    <s v="Vancouver West"/>
    <s v="A. Morgan"/>
    <s v="Online"/>
    <n v="2"/>
    <n v="375.55"/>
    <n v="0.05"/>
    <s v="Credit Card"/>
    <n v="8"/>
    <s v="No"/>
    <x v="2"/>
    <s v="Vancouver West"/>
    <s v="Credit Card"/>
    <s v="C0014"/>
    <s v="Zoe Scott"/>
    <s v="Montreal"/>
    <s v="Small Business"/>
    <s v="Headphones"/>
    <x v="0"/>
    <n v="254.6"/>
    <n v="751.1"/>
    <n v="37.555"/>
    <n v="713.54500000000007"/>
    <n v="509.2"/>
    <n v="204.34500000000008"/>
    <n v="0.28637997603514853"/>
    <n v="0"/>
    <n v="2025"/>
    <n v="5"/>
    <s v="mai"/>
    <s v="Q2"/>
    <d v="2025-05-01T00:00:00"/>
    <x v="4"/>
  </r>
  <r>
    <s v="ORD-2025-00483"/>
    <d v="2025-07-09T00:00:00"/>
    <s v="C0066"/>
    <s v="P1029"/>
    <s v="Noah Clark, Laval, Consumer"/>
    <s v="Montreal Central"/>
    <s v="M. Wilson"/>
    <s v="Retail Store"/>
    <n v="2"/>
    <n v="190.66"/>
    <n v="0"/>
    <s v="Credit Card"/>
    <n v="3"/>
    <s v="No"/>
    <x v="0"/>
    <s v="Montreal Central"/>
    <s v="Credit Card"/>
    <s v="C0066"/>
    <s v="Noah Clark"/>
    <s v="Laval"/>
    <s v="Consumer"/>
    <s v="Jump Rope"/>
    <x v="2"/>
    <n v="101"/>
    <n v="381.32"/>
    <n v="0"/>
    <n v="381.32"/>
    <n v="202"/>
    <n v="179.32"/>
    <n v="0.47026119794398402"/>
    <n v="0"/>
    <n v="2025"/>
    <n v="7"/>
    <s v="juillet"/>
    <s v="Q3"/>
    <d v="2025-07-01T00:00:00"/>
    <x v="4"/>
  </r>
  <r>
    <s v="ORD-2025-00484"/>
    <d v="2025-05-08T00:00:00"/>
    <s v="C0064"/>
    <s v="P1014"/>
    <s v="Amine Khan, Edmonton, Consumer"/>
    <s v="Calgary North"/>
    <s v="A. Morgan"/>
    <s v="Marketplace"/>
    <n v="1"/>
    <n v="229.48"/>
    <n v="0.1"/>
    <s v="Gift Card"/>
    <n v="3"/>
    <s v="No"/>
    <x v="1"/>
    <s v="Calgary North"/>
    <s v="Gift Card"/>
    <s v="C0064"/>
    <s v="Amine Khan"/>
    <s v="Edmonton"/>
    <s v="Consumer"/>
    <s v="Document Shredder"/>
    <x v="1"/>
    <n v="117.65"/>
    <n v="229.48"/>
    <n v="22.948"/>
    <n v="206.53199999999998"/>
    <n v="117.65"/>
    <n v="88.881999999999977"/>
    <n v="0.43035461817054976"/>
    <n v="0"/>
    <n v="2025"/>
    <n v="5"/>
    <s v="mai"/>
    <s v="Q2"/>
    <d v="2025-05-01T00:00:00"/>
    <x v="0"/>
  </r>
  <r>
    <s v="ORD-2025-00485"/>
    <d v="2025-02-20T00:00:00"/>
    <s v="C0088"/>
    <s v="P1026"/>
    <s v="Olivia Bennett, Vancouver, Small Business"/>
    <s v="Online Fulfillment"/>
    <s v="R. Singh"/>
    <s v="Retail Store"/>
    <n v="1"/>
    <n v="231.28"/>
    <n v="0"/>
    <s v="PayPal"/>
    <n v="2"/>
    <s v="Yes"/>
    <x v="0"/>
    <s v="Online Fulfillment"/>
    <s v="PayPal"/>
    <s v="C0088"/>
    <s v="Olivia Bennett"/>
    <s v="Vancouver"/>
    <s v="Small Business"/>
    <s v="Resistance Bands"/>
    <x v="2"/>
    <n v="139.19999999999999"/>
    <n v="231.28"/>
    <n v="0"/>
    <n v="231.28"/>
    <n v="139.19999999999999"/>
    <n v="92.080000000000013"/>
    <n v="0.39813213420961613"/>
    <n v="1"/>
    <n v="2025"/>
    <n v="2"/>
    <s v="février"/>
    <s v="Q1"/>
    <d v="2025-02-01T00:00:00"/>
    <x v="3"/>
  </r>
  <r>
    <s v="ORD-2025-00486"/>
    <d v="2025-07-03T00:00:00"/>
    <s v="C0059"/>
    <s v="P1013"/>
    <s v="Lucas Chen, Vancouver, Corporate"/>
    <s v="Online Fulfillment"/>
    <s v="L. Chen"/>
    <s v="Online"/>
    <n v="2"/>
    <n v="121.51"/>
    <n v="0.1"/>
    <m/>
    <n v="7"/>
    <s v="No"/>
    <x v="2"/>
    <s v="Online Fulfillment"/>
    <s v="Non renseigné"/>
    <s v="C0059"/>
    <s v="Lucas Chen"/>
    <s v="Vancouver"/>
    <s v="Corporate"/>
    <s v="Whiteboard"/>
    <x v="1"/>
    <n v="85.73"/>
    <n v="243.02"/>
    <n v="24.302000000000003"/>
    <n v="218.71800000000002"/>
    <n v="171.46"/>
    <n v="47.25800000000001"/>
    <n v="0.21606817911648793"/>
    <n v="0"/>
    <n v="2025"/>
    <n v="7"/>
    <s v="juillet"/>
    <s v="Q3"/>
    <d v="2025-07-01T00:00:00"/>
    <x v="3"/>
  </r>
  <r>
    <s v="ORD-2025-00487"/>
    <d v="2025-05-23T00:00:00"/>
    <s v="C0111"/>
    <s v="P1009"/>
    <s v="Noah Khan, Halifax, Consumer"/>
    <s v="Vancouver West"/>
    <s v="S. Patel"/>
    <s v="Online"/>
    <n v="1"/>
    <n v="296.25"/>
    <n v="0.2"/>
    <s v="Credit Card"/>
    <n v="3"/>
    <s v="No"/>
    <x v="2"/>
    <s v="Vancouver West"/>
    <s v="Credit Card"/>
    <s v="C0111"/>
    <s v="Noah Khan"/>
    <s v="Halifax"/>
    <s v="Consumer"/>
    <s v="Notebook"/>
    <x v="1"/>
    <n v="176.13"/>
    <n v="296.25"/>
    <n v="59.25"/>
    <n v="237"/>
    <n v="176.13"/>
    <n v="60.870000000000005"/>
    <n v="0.25683544303797468"/>
    <n v="0"/>
    <n v="2025"/>
    <n v="5"/>
    <s v="mai"/>
    <s v="Q2"/>
    <d v="2025-05-01T00:00:00"/>
    <x v="2"/>
  </r>
  <r>
    <s v="ORD-2025-00488"/>
    <d v="2025-08-03T00:00:00"/>
    <s v="C0045"/>
    <s v="P1030"/>
    <s v="Lucas Chen, Ottawa, Corporate"/>
    <s v="Calgary North"/>
    <s v="J. Tremblay"/>
    <s v="Online"/>
    <n v="2"/>
    <n v="238.38"/>
    <n v="0.15"/>
    <s v="PayPal"/>
    <n v="6"/>
    <s v="No"/>
    <x v="2"/>
    <s v="Calgary North"/>
    <s v="PayPal"/>
    <s v="C0045"/>
    <s v="Lucas Chen"/>
    <s v="Ottawa"/>
    <s v="Corporate"/>
    <s v="Pull-up Bar"/>
    <x v="2"/>
    <n v="125.4"/>
    <n v="476.76"/>
    <n v="71.513999999999996"/>
    <n v="405.24599999999998"/>
    <n v="250.8"/>
    <n v="154.44599999999997"/>
    <n v="0.38111665506877296"/>
    <n v="0"/>
    <n v="2025"/>
    <n v="8"/>
    <s v="août"/>
    <s v="Q3"/>
    <d v="2025-08-01T00:00:00"/>
    <x v="1"/>
  </r>
  <r>
    <s v="ORD-2025-00489"/>
    <d v="2025-07-11T00:00:00"/>
    <s v="C0103"/>
    <s v="P1025"/>
    <s v="Zoe Singh, Saskatoon, Corporate"/>
    <s v="Calgary North"/>
    <s v="A. Morgan"/>
    <s v="Marketplace"/>
    <n v="1"/>
    <n v="295.45"/>
    <n v="0.2"/>
    <s v="Debit Card"/>
    <n v="6"/>
    <s v="No"/>
    <x v="1"/>
    <s v="Calgary North"/>
    <s v="Debit Card"/>
    <s v="C0103"/>
    <s v="Zoe Singh"/>
    <s v="Saskatoon"/>
    <s v="Corporate"/>
    <s v="Yoga Mat"/>
    <x v="2"/>
    <n v="197.33"/>
    <n v="295.45"/>
    <n v="59.09"/>
    <n v="236.35999999999999"/>
    <n v="197.33"/>
    <n v="39.029999999999973"/>
    <n v="0.16512946353020805"/>
    <n v="0"/>
    <n v="2025"/>
    <n v="7"/>
    <s v="juillet"/>
    <s v="Q3"/>
    <d v="2025-07-01T00:00:00"/>
    <x v="5"/>
  </r>
  <r>
    <s v="ORD-2025-00490"/>
    <d v="2025-07-11T00:00:00"/>
    <s v="C0046"/>
    <s v="P1022"/>
    <s v="Amelia Bennett, Laval, Consumer"/>
    <s v="Montreal Central"/>
    <s v="M. Wilson"/>
    <s v="Retail Store"/>
    <n v="1"/>
    <n v="420.77"/>
    <n v="0.05"/>
    <m/>
    <n v="1"/>
    <s v="No"/>
    <x v="0"/>
    <s v="Montreal Central"/>
    <s v="Non renseigné"/>
    <s v="C0046"/>
    <s v="Amelia Bennett"/>
    <s v="Laval"/>
    <s v="Consumer"/>
    <s v="Humidifier"/>
    <x v="3"/>
    <n v="239.67"/>
    <n v="420.77"/>
    <n v="21.038499999999999"/>
    <n v="399.73149999999998"/>
    <n v="239.67"/>
    <n v="160.0615"/>
    <n v="0.40042253362569624"/>
    <n v="0"/>
    <n v="2025"/>
    <n v="7"/>
    <s v="juillet"/>
    <s v="Q3"/>
    <d v="2025-07-01T00:00:00"/>
    <x v="4"/>
  </r>
  <r>
    <s v="ORD-2025-00491"/>
    <d v="2025-02-03T00:00:00"/>
    <s v="C0042"/>
    <s v="P1035"/>
    <s v="Emma King, Quebec City, Consumer"/>
    <s v="Toronto Downtown"/>
    <s v="A. Morgan"/>
    <s v="Retail Store"/>
    <n v="2"/>
    <n v="88.09"/>
    <n v="0"/>
    <s v="Credit Card"/>
    <n v="1"/>
    <s v="No"/>
    <x v="0"/>
    <s v="Toronto Downtown"/>
    <s v="Credit Card"/>
    <s v="C0042"/>
    <s v="Emma King"/>
    <s v="Quebec City"/>
    <s v="Consumer"/>
    <s v="Phone Stand"/>
    <x v="4"/>
    <n v="59.85"/>
    <n v="176.18"/>
    <n v="0"/>
    <n v="176.18"/>
    <n v="119.7"/>
    <n v="56.480000000000004"/>
    <n v="0.32058122374843911"/>
    <n v="0"/>
    <n v="2025"/>
    <n v="2"/>
    <s v="février"/>
    <s v="Q1"/>
    <d v="2025-02-01T00:00:00"/>
    <x v="4"/>
  </r>
  <r>
    <s v="ORD-2025-00492"/>
    <d v="2025-08-27T00:00:00"/>
    <s v="C0012"/>
    <s v="P1004"/>
    <s v="Daniel Taylor, Victoria, Corporate"/>
    <s v="Calgary North"/>
    <s v="A. Morgan"/>
    <s v="Online"/>
    <n v="3"/>
    <n v="274.23"/>
    <n v="0"/>
    <s v="PayPal"/>
    <n v="6"/>
    <s v="Yes"/>
    <x v="2"/>
    <s v="Calgary North"/>
    <s v="PayPal"/>
    <s v="C0012"/>
    <s v="Daniel Taylor"/>
    <s v="Victoria"/>
    <s v="Corporate"/>
    <s v="Webcam"/>
    <x v="0"/>
    <n v="154.72999999999999"/>
    <n v="822.69"/>
    <n v="0"/>
    <n v="822.69"/>
    <n v="464.18999999999994"/>
    <n v="358.50000000000011"/>
    <n v="0.43576559822047195"/>
    <n v="1"/>
    <n v="2025"/>
    <n v="8"/>
    <s v="août"/>
    <s v="Q3"/>
    <d v="2025-08-01T00:00:00"/>
    <x v="3"/>
  </r>
  <r>
    <s v="ORD-2025-00493"/>
    <d v="2025-02-16T00:00:00"/>
    <s v="C0030"/>
    <s v="P1007"/>
    <s v="Emma Lee, Calgary, Corporate"/>
    <s v="Toronto Downtown"/>
    <s v="E. Roy"/>
    <s v="Retail Store"/>
    <n v="1"/>
    <n v="360.8"/>
    <n v="0"/>
    <s v="Credit Card"/>
    <n v="2"/>
    <s v="No"/>
    <x v="0"/>
    <s v="Toronto Downtown"/>
    <s v="Credit Card"/>
    <s v="C0030"/>
    <s v="Emma Lee"/>
    <s v="Calgary"/>
    <s v="Corporate"/>
    <s v="Monitor"/>
    <x v="0"/>
    <n v="224.47"/>
    <n v="360.8"/>
    <n v="0"/>
    <n v="360.8"/>
    <n v="224.47"/>
    <n v="136.33000000000001"/>
    <n v="0.37785476718403549"/>
    <n v="0"/>
    <n v="2025"/>
    <n v="2"/>
    <s v="février"/>
    <s v="Q1"/>
    <d v="2025-02-01T00:00:00"/>
    <x v="0"/>
  </r>
  <r>
    <s v="ORD-2025-00494"/>
    <d v="2025-06-11T00:00:00"/>
    <s v="C0059"/>
    <s v="P1023"/>
    <s v="Lucas Chen, Vancouver, Corporate"/>
    <s v="Toronto Downtown"/>
    <s v="M. Wilson"/>
    <s v="Retail  Store"/>
    <n v="1"/>
    <n v="345.91"/>
    <n v="0.2"/>
    <s v="Credit Card"/>
    <n v="1"/>
    <s v="No"/>
    <x v="0"/>
    <s v="Toronto Downtown"/>
    <s v="Credit Card"/>
    <s v="C0059"/>
    <s v="Lucas Chen"/>
    <s v="Vancouver"/>
    <s v="Corporate"/>
    <s v="Toaster"/>
    <x v="3"/>
    <n v="152.88"/>
    <n v="345.91"/>
    <n v="69.182000000000002"/>
    <n v="276.72800000000001"/>
    <n v="152.88"/>
    <n v="123.84800000000001"/>
    <n v="0.44754415888525922"/>
    <n v="0"/>
    <n v="2025"/>
    <n v="6"/>
    <s v="juin"/>
    <s v="Q2"/>
    <d v="2025-06-01T00:00:00"/>
    <x v="3"/>
  </r>
  <r>
    <s v="ORD-2025-00495"/>
    <d v="2025-09-28T00:00:00"/>
    <s v="C0064"/>
    <s v="P1032"/>
    <s v="Amine Khan , Edmonton , Consumer"/>
    <s v="Toronto Downtown"/>
    <s v="R. Singh"/>
    <s v="Retail Store"/>
    <n v="2"/>
    <n v="202.09"/>
    <n v="0.05"/>
    <s v="Credit Card"/>
    <n v="2"/>
    <s v="No"/>
    <x v="0"/>
    <s v="Toronto Downtown"/>
    <s v="Credit Card"/>
    <s v="C0064"/>
    <s v="Amine Khan"/>
    <s v="Edmonton"/>
    <s v="Consumer"/>
    <s v="Gym Bag"/>
    <x v="2"/>
    <n v="132.72"/>
    <n v="404.18"/>
    <n v="20.209000000000003"/>
    <n v="383.971"/>
    <n v="265.44"/>
    <n v="118.53100000000001"/>
    <n v="0.30869779228118793"/>
    <n v="0"/>
    <n v="2025"/>
    <n v="9"/>
    <s v="septembre"/>
    <s v="Q3"/>
    <d v="2025-09-01T00:00:00"/>
    <x v="0"/>
  </r>
  <r>
    <s v="ORD-2025-00496"/>
    <d v="2025-08-13T00:00:00"/>
    <s v="C0035"/>
    <s v="P1026"/>
    <s v="Amelia Scott , Edmonton , Small Business"/>
    <s v="Toronto Downtown"/>
    <s v="R. Singh"/>
    <s v="Online"/>
    <n v="2"/>
    <n v="230.29"/>
    <n v="0.25"/>
    <s v="Credit Card"/>
    <n v="5"/>
    <s v="No"/>
    <x v="2"/>
    <s v="Toronto Downtown"/>
    <s v="Credit Card"/>
    <s v="C0035"/>
    <s v="Amelia Scott"/>
    <s v="Edmonton"/>
    <s v="Small Business"/>
    <s v="Resistance Bands"/>
    <x v="2"/>
    <n v="139.19999999999999"/>
    <n v="460.58"/>
    <n v="115.145"/>
    <n v="345.435"/>
    <n v="278.39999999999998"/>
    <n v="67.035000000000025"/>
    <n v="0.19405966390203663"/>
    <n v="0"/>
    <n v="2025"/>
    <n v="8"/>
    <s v="août"/>
    <s v="Q3"/>
    <d v="2025-08-01T00:00:00"/>
    <x v="0"/>
  </r>
  <r>
    <s v="ORD-2025-00497"/>
    <d v="2025-01-08T00:00:00"/>
    <s v="C0088"/>
    <s v="P1008"/>
    <s v="Olivia Bennett, Vancouver, Small Business"/>
    <s v="Montreal Central"/>
    <s v="S. Patel"/>
    <s v="Online"/>
    <n v="2"/>
    <n v="131.4"/>
    <n v="0"/>
    <s v="Credit Card"/>
    <n v="1"/>
    <s v="No"/>
    <x v="2"/>
    <s v="Montreal Central"/>
    <s v="Credit Card"/>
    <s v="C0088"/>
    <s v="Olivia Bennett"/>
    <s v="Vancouver"/>
    <s v="Small Business"/>
    <s v="Smart Speaker"/>
    <x v="0"/>
    <n v="69"/>
    <n v="262.8"/>
    <n v="0"/>
    <n v="262.8"/>
    <n v="138"/>
    <n v="124.80000000000001"/>
    <n v="0.47488584474885848"/>
    <n v="0"/>
    <n v="2025"/>
    <n v="1"/>
    <s v="janvier"/>
    <s v="Q1"/>
    <d v="2025-01-01T00:00:00"/>
    <x v="3"/>
  </r>
  <r>
    <s v="ORD-2025-00498"/>
    <d v="2025-10-18T00:00:00"/>
    <s v="C0108"/>
    <s v="P1035"/>
    <s v="Noah Lee, Surrey, Consumer"/>
    <s v="Vancouver West"/>
    <s v="E. Roy"/>
    <s v="Online"/>
    <n v="2"/>
    <n v="85.25"/>
    <n v="0"/>
    <s v="PayPal"/>
    <n v="5"/>
    <s v="No"/>
    <x v="2"/>
    <s v="Vancouver West"/>
    <s v="PayPal"/>
    <s v="C0108"/>
    <s v="Noah Lee"/>
    <s v="Surrey"/>
    <s v="Consumer"/>
    <s v="Phone Stand"/>
    <x v="4"/>
    <n v="59.85"/>
    <n v="170.5"/>
    <n v="0"/>
    <n v="170.5"/>
    <n v="119.7"/>
    <n v="50.8"/>
    <n v="0.2979472140762463"/>
    <n v="0"/>
    <n v="2025"/>
    <n v="10"/>
    <s v="octobre"/>
    <s v="Q4"/>
    <d v="2025-10-01T00:00:00"/>
    <x v="3"/>
  </r>
  <r>
    <s v="ORD-2025-00499"/>
    <d v="2025-10-10T00:00:00"/>
    <s v="C0037"/>
    <s v="P1040"/>
    <s v="Lucas Scott, Victoria, Small Business"/>
    <s v="Vancouver West"/>
    <s v="E. Roy"/>
    <s v="Retail Store"/>
    <n v="3"/>
    <n v="291.72000000000003"/>
    <n v="0.1"/>
    <s v="PayPal"/>
    <n v="0"/>
    <s v="No"/>
    <x v="0"/>
    <s v="Vancouver West"/>
    <s v="PayPal"/>
    <s v="C0037"/>
    <s v="Lucas Scott"/>
    <s v="Victoria"/>
    <s v="Small Business"/>
    <s v="Desk Pad"/>
    <x v="4"/>
    <n v="177.57"/>
    <n v="875.16000000000008"/>
    <n v="87.51600000000002"/>
    <n v="787.64400000000001"/>
    <n v="532.71"/>
    <n v="254.93399999999997"/>
    <n v="0.32366652954888248"/>
    <n v="0"/>
    <n v="2025"/>
    <n v="10"/>
    <s v="octobre"/>
    <s v="Q4"/>
    <d v="2025-10-01T00:00:00"/>
    <x v="3"/>
  </r>
  <r>
    <s v="ORD-2025-00500"/>
    <d v="2025-03-16T00:00:00"/>
    <s v="C0081"/>
    <s v="P1004"/>
    <s v="Yasmine Bennett, Saskatoon, Small Business"/>
    <s v="Toronto Downtown"/>
    <s v="R. Singh"/>
    <s v="Retail Store"/>
    <n v="1"/>
    <n v="282.05"/>
    <n v="0.2"/>
    <s v="Debit Card"/>
    <n v="1"/>
    <s v="No"/>
    <x v="0"/>
    <s v="Toronto Downtown"/>
    <s v="Debit Card"/>
    <s v="C0081"/>
    <s v="Yasmine Bennett"/>
    <s v="Saskatoon"/>
    <s v="Small Business"/>
    <s v="Webcam"/>
    <x v="0"/>
    <n v="154.72999999999999"/>
    <n v="282.05"/>
    <n v="56.410000000000004"/>
    <n v="225.64000000000001"/>
    <n v="154.72999999999999"/>
    <n v="70.910000000000025"/>
    <n v="0.31426165573479886"/>
    <n v="0"/>
    <n v="2025"/>
    <n v="3"/>
    <s v="mars"/>
    <s v="Q1"/>
    <d v="2025-03-01T00:00:00"/>
    <x v="5"/>
  </r>
  <r>
    <s v="ORD-2025-00501"/>
    <d v="2025-05-21T00:00:00"/>
    <s v="C0031"/>
    <s v="P1014"/>
    <s v="Leo Gagnon, Surrey, Small Business"/>
    <s v="Vancouver West"/>
    <s v="E. Roy"/>
    <s v="Marketplace"/>
    <n v="1"/>
    <n v="230.73"/>
    <n v="0.1"/>
    <s v="PayPal"/>
    <n v="5"/>
    <s v="No"/>
    <x v="1"/>
    <s v="Vancouver West"/>
    <s v="PayPal"/>
    <s v="C0031"/>
    <s v="Leo Gagnon"/>
    <s v="Surrey"/>
    <s v="Small Business"/>
    <s v="Document Shredder"/>
    <x v="1"/>
    <n v="117.65"/>
    <n v="230.73"/>
    <n v="23.073"/>
    <n v="207.65699999999998"/>
    <n v="117.65"/>
    <n v="90.006999999999977"/>
    <n v="0.43344072195977013"/>
    <n v="0"/>
    <n v="2025"/>
    <n v="5"/>
    <s v="mai"/>
    <s v="Q2"/>
    <d v="2025-05-01T00:00:00"/>
    <x v="3"/>
  </r>
  <r>
    <s v="ORD-2025-00502"/>
    <d v="2025-05-27T00:00:00"/>
    <s v="C0058"/>
    <s v="P1025"/>
    <s v="Mia Singh, Laval, Consumer"/>
    <s v="Online Fulfillment"/>
    <s v="J. Tremblay"/>
    <s v="Online"/>
    <n v="1"/>
    <n v="326.2"/>
    <n v="0"/>
    <s v="Debit Card"/>
    <n v="1"/>
    <s v="No"/>
    <x v="2"/>
    <s v="Online Fulfillment"/>
    <s v="Debit Card"/>
    <s v="C0058"/>
    <s v="Mia Singh"/>
    <s v="Laval"/>
    <s v="Consumer"/>
    <s v="Yoga Mat"/>
    <x v="2"/>
    <n v="197.33"/>
    <n v="326.2"/>
    <n v="0"/>
    <n v="326.2"/>
    <n v="197.33"/>
    <n v="128.86999999999998"/>
    <n v="0.39506437768240338"/>
    <n v="0"/>
    <n v="2025"/>
    <n v="5"/>
    <s v="mai"/>
    <s v="Q2"/>
    <d v="2025-05-01T00:00:00"/>
    <x v="4"/>
  </r>
  <r>
    <s v="ORD-2025-00503"/>
    <d v="2025-08-06T00:00:00"/>
    <s v="C0026"/>
    <s v="P1028"/>
    <s v="Adam Hall, Surrey, Corporate"/>
    <s v="Montreal Central"/>
    <s v="M. Wilson"/>
    <s v="Online"/>
    <n v="1"/>
    <n v="353.25"/>
    <n v="0.2"/>
    <s v="Credit Card"/>
    <n v="1"/>
    <s v="No"/>
    <x v="2"/>
    <s v="Montreal Central"/>
    <s v="Credit Card"/>
    <s v="C0026"/>
    <s v="Adam Hall"/>
    <s v="Surrey"/>
    <s v="Corporate"/>
    <s v="Foam Roller"/>
    <x v="2"/>
    <n v="212.02"/>
    <n v="353.25"/>
    <n v="70.650000000000006"/>
    <n v="282.60000000000002"/>
    <n v="212.02"/>
    <n v="70.580000000000013"/>
    <n v="0.24975230007077143"/>
    <n v="0"/>
    <n v="2025"/>
    <n v="8"/>
    <s v="août"/>
    <s v="Q3"/>
    <d v="2025-08-01T00:00:00"/>
    <x v="3"/>
  </r>
  <r>
    <s v="ORD-2025-00504"/>
    <d v="2025-08-11T00:00:00"/>
    <s v="C0067"/>
    <s v="P1030"/>
    <s v="Leo Bennett, Mississauga, Consumer"/>
    <s v="Calgary North"/>
    <s v="N. Brown"/>
    <s v="Online"/>
    <n v="1"/>
    <n v="247.11"/>
    <n v="0.1"/>
    <s v="Credit Card"/>
    <n v="5"/>
    <s v="No"/>
    <x v="2"/>
    <s v="Calgary North"/>
    <s v="Credit Card"/>
    <s v="C0067"/>
    <s v="Leo Bennett"/>
    <s v="Mississauga"/>
    <s v="Consumer"/>
    <s v="Pull-up Bar"/>
    <x v="2"/>
    <n v="125.4"/>
    <n v="247.11"/>
    <n v="24.711000000000002"/>
    <n v="222.399"/>
    <n v="125.4"/>
    <n v="96.998999999999995"/>
    <n v="0.43614854383338053"/>
    <n v="0"/>
    <n v="2025"/>
    <n v="8"/>
    <s v="août"/>
    <s v="Q3"/>
    <d v="2025-08-01T00:00:00"/>
    <x v="1"/>
  </r>
  <r>
    <s v="ORD-2025-00505"/>
    <d v="2025-12-16T00:00:00"/>
    <s v="C0001"/>
    <s v="P1036"/>
    <s v="Ethan Roy, Halifax, Consumer"/>
    <s v="Toronto Downtown"/>
    <s v="N. Brown"/>
    <s v="Online"/>
    <n v="1"/>
    <n v="161.33000000000001"/>
    <n v="0.05"/>
    <s v="CC"/>
    <n v="1"/>
    <s v="No"/>
    <x v="2"/>
    <s v="Toronto Downtown"/>
    <s v="Credit Card"/>
    <s v="C0001"/>
    <s v="Ethan Roy"/>
    <s v="Halifax"/>
    <s v="Consumer"/>
    <s v="Power Bank"/>
    <x v="4"/>
    <n v="76.97"/>
    <n v="161.33000000000001"/>
    <n v="8.0665000000000013"/>
    <n v="153.26350000000002"/>
    <n v="76.97"/>
    <n v="76.293500000000023"/>
    <n v="0.49779301660212649"/>
    <n v="0"/>
    <n v="2025"/>
    <n v="12"/>
    <s v="décembre"/>
    <s v="Q4"/>
    <d v="2025-12-01T00:00:00"/>
    <x v="2"/>
  </r>
  <r>
    <s v="ORD-2025-00506"/>
    <d v="2025-10-21T00:00:00"/>
    <s v="C0063"/>
    <s v="P1033"/>
    <s v="Adam Singh, Laval, Small Business"/>
    <s v="Vancouver West"/>
    <s v="J. Tremblay"/>
    <s v="Online"/>
    <n v="4"/>
    <n v="299.89999999999998"/>
    <n v="0.05"/>
    <s v="Credit Card"/>
    <n v="7"/>
    <s v="No"/>
    <x v="2"/>
    <s v="Vancouver West"/>
    <s v="Credit Card"/>
    <s v="C0063"/>
    <s v="Adam Singh"/>
    <s v="Laval"/>
    <s v="Small Business"/>
    <s v="Backpack"/>
    <x v="4"/>
    <n v="152.55000000000001"/>
    <n v="1199.5999999999999"/>
    <n v="59.98"/>
    <n v="1139.6199999999999"/>
    <n v="610.20000000000005"/>
    <n v="529.41999999999985"/>
    <n v="0.46455836155911612"/>
    <n v="0"/>
    <n v="2025"/>
    <n v="10"/>
    <s v="octobre"/>
    <s v="Q4"/>
    <d v="2025-10-01T00:00:00"/>
    <x v="4"/>
  </r>
  <r>
    <s v="ORD-2025-00507"/>
    <d v="2025-08-03T00:00:00"/>
    <s v="C0093"/>
    <s v="P1032"/>
    <s v="Ethan Roy, Winnipeg, Consumer"/>
    <s v="Calgary North"/>
    <s v="L. Chen"/>
    <s v="Online"/>
    <n v="2"/>
    <n v="204.99"/>
    <n v="0"/>
    <s v="Debit Card"/>
    <n v="7"/>
    <s v="No"/>
    <x v="2"/>
    <s v="Calgary North"/>
    <s v="Debit Card"/>
    <s v="C0093"/>
    <s v="Ethan Roy"/>
    <s v="Winnipeg"/>
    <s v="Consumer"/>
    <s v="Gym Bag"/>
    <x v="2"/>
    <n v="132.72"/>
    <n v="409.98"/>
    <n v="0"/>
    <n v="409.98"/>
    <n v="265.44"/>
    <n v="144.54000000000002"/>
    <n v="0.35255378311137131"/>
    <n v="0"/>
    <n v="2025"/>
    <n v="8"/>
    <s v="août"/>
    <s v="Q3"/>
    <d v="2025-08-01T00:00:00"/>
    <x v="6"/>
  </r>
  <r>
    <s v="ORD-2025-00508"/>
    <d v="2025-12-17T00:00:00"/>
    <s v="C0056"/>
    <s v="P1016"/>
    <s v="Sarah Wilson, Halifax, Consumer"/>
    <s v="Toronto Downtown"/>
    <s v="A. Morgan"/>
    <s v="Online"/>
    <n v="2"/>
    <n v="337.92"/>
    <n v="0.1"/>
    <s v="PayPal"/>
    <n v="6"/>
    <s v="No"/>
    <x v="2"/>
    <s v="Toronto Downtown"/>
    <s v="PayPal"/>
    <s v="C0056"/>
    <s v="Sarah Wilson"/>
    <s v="Halifax"/>
    <s v="Consumer"/>
    <s v="Printer"/>
    <x v="1"/>
    <n v="156.75"/>
    <n v="675.84"/>
    <n v="67.584000000000003"/>
    <n v="608.25600000000009"/>
    <n v="313.5"/>
    <n v="294.75600000000009"/>
    <n v="0.48459201388888895"/>
    <n v="0"/>
    <n v="2025"/>
    <n v="12"/>
    <s v="décembre"/>
    <s v="Q4"/>
    <d v="2025-12-01T00:00:00"/>
    <x v="2"/>
  </r>
  <r>
    <s v="ORD-2025-00509"/>
    <d v="2025-08-26T00:00:00"/>
    <s v="C0118"/>
    <s v="P1038"/>
    <s v="Ryan Smith, Victoria, Small Business"/>
    <s v="Toronto Downtown"/>
    <s v="E. Roy"/>
    <s v="Online"/>
    <n v="1"/>
    <n v="249.77"/>
    <n v="0"/>
    <s v="Debit  Card"/>
    <n v="7"/>
    <s v="No"/>
    <x v="2"/>
    <s v="Toronto Downtown"/>
    <s v="Debit Card"/>
    <s v="C0118"/>
    <s v="Ryan Smith"/>
    <s v="Victoria"/>
    <s v="Small Business"/>
    <s v="Water Bottle"/>
    <x v="4"/>
    <n v="119.16"/>
    <n v="249.77"/>
    <n v="0"/>
    <n v="249.77"/>
    <n v="119.16"/>
    <n v="130.61000000000001"/>
    <n v="0.52292108740040844"/>
    <n v="0"/>
    <n v="2025"/>
    <n v="8"/>
    <s v="août"/>
    <s v="Q3"/>
    <d v="2025-08-01T00:00:00"/>
    <x v="3"/>
  </r>
  <r>
    <s v="ORD-2025-00510"/>
    <d v="2025-04-02T00:00:00"/>
    <s v="C0098"/>
    <s v="P1034"/>
    <s v="Nora Young, Winnipeg, Consumer"/>
    <s v="Vancouver West"/>
    <s v="N. Brown"/>
    <s v="Retail Store"/>
    <n v="1"/>
    <n v="139.44"/>
    <n v="0"/>
    <s v="PayPal"/>
    <n v="3"/>
    <s v="No"/>
    <x v="0"/>
    <s v="Vancouver West"/>
    <s v="PayPal"/>
    <s v="C0098"/>
    <s v="Nora Young"/>
    <s v="Winnipeg"/>
    <s v="Consumer"/>
    <s v="Laptop Sleeve"/>
    <x v="4"/>
    <n v="78.95"/>
    <n v="139.44"/>
    <n v="0"/>
    <n v="139.44"/>
    <n v="78.95"/>
    <n v="60.489999999999995"/>
    <n v="0.43380665519219735"/>
    <n v="0"/>
    <n v="2025"/>
    <n v="4"/>
    <s v="avril"/>
    <s v="Q2"/>
    <d v="2025-04-01T00:00:00"/>
    <x v="6"/>
  </r>
  <r>
    <s v="ORD-2025-00511"/>
    <d v="2025-11-25T00:00:00"/>
    <s v="C0016"/>
    <s v="P1029"/>
    <s v="Nora Singh, Calgary, Consumer"/>
    <s v="Montreal Central"/>
    <s v="N. Brown"/>
    <s v="Online"/>
    <n v="2"/>
    <n v="199.62"/>
    <n v="0.15"/>
    <s v="PayPal"/>
    <n v="6"/>
    <s v="No"/>
    <x v="2"/>
    <s v="Montreal Central"/>
    <s v="PayPal"/>
    <s v="C0016"/>
    <s v="Nora Singh"/>
    <s v="Calgary"/>
    <s v="Consumer"/>
    <s v="Jump Rope"/>
    <x v="2"/>
    <n v="101"/>
    <n v="399.24"/>
    <n v="59.885999999999996"/>
    <n v="339.35400000000004"/>
    <n v="202"/>
    <n v="137.35400000000004"/>
    <n v="0.40475138056424864"/>
    <n v="0"/>
    <n v="2025"/>
    <n v="11"/>
    <s v="novembre"/>
    <s v="Q4"/>
    <d v="2025-11-01T00:00:00"/>
    <x v="0"/>
  </r>
  <r>
    <s v="ORD-2025-00512"/>
    <d v="2025-10-27T00:00:00"/>
    <s v="C0006"/>
    <s v="P1021"/>
    <s v="Nora Wilson , Laval , Consumer"/>
    <s v="Montreal Central"/>
    <s v="S. Patel"/>
    <s v="Retail Store"/>
    <n v="1"/>
    <n v="316.77999999999997"/>
    <n v="0"/>
    <s v="Credit Card"/>
    <n v="4"/>
    <s v="No"/>
    <x v="0"/>
    <s v="Montreal Central"/>
    <s v="Credit Card"/>
    <s v="C0006"/>
    <s v="Nora Wilson"/>
    <s v="Laval"/>
    <s v="Consumer"/>
    <s v="Kettle"/>
    <x v="3"/>
    <n v="139.86000000000001"/>
    <n v="316.77999999999997"/>
    <n v="0"/>
    <n v="316.77999999999997"/>
    <n v="139.86000000000001"/>
    <n v="176.91999999999996"/>
    <n v="0.55849485447313585"/>
    <n v="0"/>
    <n v="2025"/>
    <n v="10"/>
    <s v="octobre"/>
    <s v="Q4"/>
    <d v="2025-10-01T00:00:00"/>
    <x v="4"/>
  </r>
  <r>
    <s v="ORD-2025-00513"/>
    <d v="2025-07-13T00:00:00"/>
    <s v="C0093"/>
    <s v="P1004"/>
    <s v="Ethan Roy, Winnipeg, Consumer"/>
    <s v="Online  Fulfillment"/>
    <s v="A. Morgan"/>
    <s v="Retail Store"/>
    <n v="1"/>
    <n v="277.89999999999998"/>
    <n v="0.1"/>
    <s v="Debit Card"/>
    <n v="1"/>
    <s v="Yes"/>
    <x v="0"/>
    <s v="Online Fulfillment"/>
    <s v="Debit Card"/>
    <s v="C0093"/>
    <s v="Ethan Roy"/>
    <s v="Winnipeg"/>
    <s v="Consumer"/>
    <s v="Webcam"/>
    <x v="0"/>
    <n v="154.72999999999999"/>
    <n v="277.89999999999998"/>
    <n v="27.79"/>
    <n v="250.10999999999999"/>
    <n v="154.72999999999999"/>
    <n v="95.38"/>
    <n v="0.38135220502978689"/>
    <n v="1"/>
    <n v="2025"/>
    <n v="7"/>
    <s v="juillet"/>
    <s v="Q3"/>
    <d v="2025-07-01T00:00:00"/>
    <x v="6"/>
  </r>
  <r>
    <s v="ORD-2025-00514"/>
    <d v="2025-11-12T00:00:00"/>
    <s v="C0045"/>
    <s v="P1025"/>
    <s v="Lucas Chen, Ottawa, Corporate"/>
    <s v="Calgary North"/>
    <s v="M. Wilson"/>
    <s v="Retail Store"/>
    <n v="3"/>
    <n v="324.2"/>
    <n v="0.25"/>
    <s v="CC"/>
    <n v="3"/>
    <s v="No"/>
    <x v="0"/>
    <s v="Calgary North"/>
    <s v="Credit Card"/>
    <s v="C0045"/>
    <s v="Lucas Chen"/>
    <s v="Ottawa"/>
    <s v="Corporate"/>
    <s v="Yoga Mat"/>
    <x v="2"/>
    <n v="197.33"/>
    <n v="972.59999999999991"/>
    <n v="243.14999999999998"/>
    <n v="729.44999999999993"/>
    <n v="591.99"/>
    <n v="137.45999999999992"/>
    <n v="0.18844334772773999"/>
    <n v="0"/>
    <n v="2025"/>
    <n v="11"/>
    <s v="novembre"/>
    <s v="Q4"/>
    <d v="2025-11-01T00:00:00"/>
    <x v="1"/>
  </r>
  <r>
    <s v="ORD-2025-00515"/>
    <d v="2025-01-30T00:00:00"/>
    <s v="C0068"/>
    <s v="P1010"/>
    <s v="Yasmine Martin , Calgary , Consumer"/>
    <s v="Calgary North"/>
    <s v="J. Tremblay"/>
    <s v="Retail Store"/>
    <n v="1"/>
    <n v="226.49"/>
    <n v="0.1"/>
    <s v="Credit Card"/>
    <n v="0"/>
    <s v="No"/>
    <x v="0"/>
    <s v="Calgary North"/>
    <s v="Credit Card"/>
    <s v="C0068"/>
    <s v="Yasmine Martin"/>
    <s v="Calgary"/>
    <s v="Consumer"/>
    <s v="Desk Lamp"/>
    <x v="1"/>
    <n v="127.21"/>
    <n v="226.49"/>
    <n v="22.649000000000001"/>
    <n v="203.84100000000001"/>
    <n v="127.21"/>
    <n v="76.631000000000014"/>
    <n v="0.37593516515323222"/>
    <n v="0"/>
    <n v="2025"/>
    <n v="1"/>
    <s v="janvier"/>
    <s v="Q1"/>
    <d v="2025-01-01T00:00:00"/>
    <x v="0"/>
  </r>
  <r>
    <s v="ORD-2025-00516"/>
    <d v="2025-11-12T00:00:00"/>
    <s v="C0071"/>
    <s v="P1007"/>
    <s v="Ethan Lee, Surrey, Consumer"/>
    <s v="Montreal Central"/>
    <s v="M. Wilson"/>
    <s v="Retail Store"/>
    <n v="4"/>
    <n v="374.13"/>
    <n v="0.05"/>
    <s v="Credit Card"/>
    <n v="0"/>
    <s v="No"/>
    <x v="0"/>
    <s v="Montreal Central"/>
    <s v="Credit Card"/>
    <s v="C0071"/>
    <s v="Ethan Lee"/>
    <s v="Surrey"/>
    <s v="Consumer"/>
    <s v="Monitor"/>
    <x v="0"/>
    <n v="224.47"/>
    <n v="1496.52"/>
    <n v="74.826000000000008"/>
    <n v="1421.694"/>
    <n v="897.88"/>
    <n v="523.81399999999996"/>
    <n v="0.36844356099132441"/>
    <n v="0"/>
    <n v="2025"/>
    <n v="11"/>
    <s v="novembre"/>
    <s v="Q4"/>
    <d v="2025-11-01T00:00:00"/>
    <x v="3"/>
  </r>
  <r>
    <s v="ORD-2025-00517"/>
    <d v="2025-04-05T00:00:00"/>
    <s v="C0118"/>
    <s v="P1020"/>
    <s v="Ryan Smith, Victoria, Small Business"/>
    <s v="Online Fulfillment"/>
    <s v="A. Morgan"/>
    <s v="Marketplace"/>
    <n v="2"/>
    <n v="63.34"/>
    <n v="0.1"/>
    <s v="Debit Card"/>
    <n v="6"/>
    <s v="No"/>
    <x v="1"/>
    <s v="Online Fulfillment"/>
    <s v="Debit Card"/>
    <s v="C0118"/>
    <s v="Ryan Smith"/>
    <s v="Victoria"/>
    <s v="Small Business"/>
    <s v="Blender"/>
    <x v="3"/>
    <n v="37.46"/>
    <n v="126.68"/>
    <n v="12.668000000000001"/>
    <n v="114.012"/>
    <n v="74.92"/>
    <n v="39.091999999999999"/>
    <n v="0.34287618847138895"/>
    <n v="0"/>
    <n v="2025"/>
    <n v="4"/>
    <s v="avril"/>
    <s v="Q2"/>
    <d v="2025-04-01T00:00:00"/>
    <x v="3"/>
  </r>
  <r>
    <s v="ORD-2025-00518"/>
    <d v="2025-10-08T00:00:00"/>
    <s v="C0005"/>
    <s v="P1034"/>
    <s v="Yasmine Taylor, Calgary, Consumer"/>
    <s v="Toronto Downtown"/>
    <s v="L. Chen"/>
    <s v="Retail Store"/>
    <n v="3"/>
    <n v="140.27000000000001"/>
    <n v="0.15"/>
    <s v="Debit Card"/>
    <n v="4"/>
    <s v="No"/>
    <x v="0"/>
    <s v="Toronto Downtown"/>
    <s v="Debit Card"/>
    <s v="C0005"/>
    <s v="Yasmine Taylor"/>
    <s v="Calgary"/>
    <s v="Consumer"/>
    <s v="Laptop Sleeve"/>
    <x v="4"/>
    <n v="78.95"/>
    <n v="420.81000000000006"/>
    <n v="63.121500000000005"/>
    <n v="357.68850000000003"/>
    <n v="236.85000000000002"/>
    <n v="120.83850000000001"/>
    <n v="0.33783166078864713"/>
    <n v="0"/>
    <n v="2025"/>
    <n v="10"/>
    <s v="octobre"/>
    <s v="Q4"/>
    <d v="2025-10-01T00:00:00"/>
    <x v="0"/>
  </r>
  <r>
    <s v="ORD-2025-00519"/>
    <d v="2025-01-09T00:00:00"/>
    <s v="C0117"/>
    <s v="P1024"/>
    <s v="Ethan Hall, Vancouver, Consumer"/>
    <s v="Vancouver West"/>
    <s v="E. Roy"/>
    <s v="Online"/>
    <n v="3"/>
    <n v="101.4"/>
    <n v="0.1"/>
    <s v="PayPal"/>
    <n v="4"/>
    <s v="No"/>
    <x v="2"/>
    <s v="Vancouver West"/>
    <s v="PayPal"/>
    <s v="C0117"/>
    <s v="Ethan Hall"/>
    <s v="Vancouver"/>
    <s v="Consumer"/>
    <s v="Food Scale"/>
    <x v="3"/>
    <n v="46.07"/>
    <n v="304.20000000000005"/>
    <n v="30.420000000000005"/>
    <n v="273.78000000000003"/>
    <n v="138.21"/>
    <n v="135.57000000000002"/>
    <n v="0.49517861056322598"/>
    <n v="0"/>
    <n v="2025"/>
    <n v="1"/>
    <s v="janvier"/>
    <s v="Q1"/>
    <d v="2025-01-01T00:00:00"/>
    <x v="3"/>
  </r>
  <r>
    <s v="ORD-2025-00520"/>
    <d v="2025-01-04T00:00:00"/>
    <s v="C0074"/>
    <s v="P1012"/>
    <s v="Sophia Chen, Vancouver, Corporate"/>
    <s v="Montreal Central"/>
    <s v="M. Wilson"/>
    <s v="Retail Store"/>
    <n v="4"/>
    <n v="86.59"/>
    <n v="0.05"/>
    <s v="Credit Card"/>
    <n v="0"/>
    <s v="No"/>
    <x v="0"/>
    <s v="Montreal Central"/>
    <s v="Credit Card"/>
    <s v="C0074"/>
    <s v="Sophia Chen"/>
    <s v="Vancouver"/>
    <s v="Corporate"/>
    <s v="Standing Desk"/>
    <x v="1"/>
    <n v="45.17"/>
    <n v="346.36"/>
    <n v="17.318000000000001"/>
    <n v="329.04200000000003"/>
    <n v="180.68"/>
    <n v="148.36200000000002"/>
    <n v="0.45089076774393544"/>
    <n v="0"/>
    <n v="2025"/>
    <n v="1"/>
    <s v="janvier"/>
    <s v="Q1"/>
    <d v="2025-01-01T00:00:00"/>
    <x v="3"/>
  </r>
  <r>
    <s v="ORD-2025-00522"/>
    <d v="2025-03-14T00:00:00"/>
    <s v="C0013"/>
    <s v="P1026"/>
    <s v="Amelia Martin, Quebec City, Small Business"/>
    <s v="Toronto Downtown"/>
    <s v="M. Wilson"/>
    <s v="Online"/>
    <n v="2"/>
    <n v="222.18"/>
    <n v="0.25"/>
    <s v="Credit Card"/>
    <n v="3"/>
    <s v="No"/>
    <x v="2"/>
    <s v="Toronto Downtown"/>
    <s v="Credit Card"/>
    <s v="C0013"/>
    <s v="Amelia Martin"/>
    <s v="Quebec City"/>
    <s v="Small Business"/>
    <s v="Resistance Bands"/>
    <x v="2"/>
    <n v="139.19999999999999"/>
    <n v="444.36"/>
    <n v="111.09"/>
    <n v="333.27"/>
    <n v="278.39999999999998"/>
    <n v="54.870000000000005"/>
    <n v="0.16464128184355029"/>
    <n v="0"/>
    <n v="2025"/>
    <n v="3"/>
    <s v="mars"/>
    <s v="Q1"/>
    <d v="2025-03-01T00:00:00"/>
    <x v="4"/>
  </r>
  <r>
    <s v="ORD-2025-00523"/>
    <d v="2025-11-19T00:00:00"/>
    <s v="C0037"/>
    <s v="P1006"/>
    <s v="Lucas Scott, Victoria, Small Business"/>
    <s v="Montreal Central"/>
    <s v="S. Patel"/>
    <s v="Online"/>
    <n v="1"/>
    <n v="106.25"/>
    <n v="0.05"/>
    <s v="Debit  Card"/>
    <n v="3"/>
    <s v="No"/>
    <x v="2"/>
    <s v="Montreal Central"/>
    <s v="Debit Card"/>
    <s v="C0037"/>
    <s v="Lucas Scott"/>
    <s v="Victoria"/>
    <s v="Small Business"/>
    <s v="USB-C Hub"/>
    <x v="0"/>
    <n v="72"/>
    <n v="106.25"/>
    <n v="5.3125"/>
    <n v="100.9375"/>
    <n v="72"/>
    <n v="28.9375"/>
    <n v="0.286687306501548"/>
    <n v="0"/>
    <n v="2025"/>
    <n v="11"/>
    <s v="novembre"/>
    <s v="Q4"/>
    <d v="2025-11-01T00:00:00"/>
    <x v="3"/>
  </r>
  <r>
    <s v="ORD-2025-00524"/>
    <d v="2025-11-19T00:00:00"/>
    <s v="C0084"/>
    <s v="P1040"/>
    <s v="Ryan Clark, Montreal, Corporate"/>
    <s v="Toronto Downtown"/>
    <s v="A. Morgan"/>
    <s v="Retail Store"/>
    <n v="2"/>
    <n v="298.18"/>
    <n v="0"/>
    <s v="PayPal"/>
    <n v="1"/>
    <s v="No"/>
    <x v="0"/>
    <s v="Toronto Downtown"/>
    <s v="PayPal"/>
    <s v="C0084"/>
    <s v="Ryan Clark"/>
    <s v="Montreal"/>
    <s v="Corporate"/>
    <s v="Desk Pad"/>
    <x v="4"/>
    <n v="177.57"/>
    <n v="596.36"/>
    <n v="0"/>
    <n v="596.36"/>
    <n v="355.14"/>
    <n v="241.22000000000003"/>
    <n v="0.40448722248306396"/>
    <n v="0"/>
    <n v="2025"/>
    <n v="11"/>
    <s v="novembre"/>
    <s v="Q4"/>
    <d v="2025-11-01T00:00:00"/>
    <x v="4"/>
  </r>
  <r>
    <s v="ORD-2025-00525"/>
    <d v="2025-05-09T00:00:00"/>
    <s v="C0089"/>
    <s v="P1036"/>
    <s v="Lucas Martin, Vancouver, Consumer"/>
    <s v="Calgary North"/>
    <s v="L. Chen"/>
    <s v="Retail Store"/>
    <n v="3"/>
    <n v="162.79"/>
    <n v="0.05"/>
    <s v="PayPal"/>
    <n v="0"/>
    <s v="No"/>
    <x v="0"/>
    <s v="Calgary North"/>
    <s v="PayPal"/>
    <s v="C0089"/>
    <s v="Lucas Martin"/>
    <s v="Vancouver"/>
    <s v="Consumer"/>
    <s v="Power Bank"/>
    <x v="4"/>
    <n v="76.97"/>
    <n v="488.37"/>
    <n v="24.418500000000002"/>
    <n v="463.95150000000001"/>
    <n v="230.91"/>
    <n v="233.04150000000001"/>
    <n v="0.50229711510793695"/>
    <n v="0"/>
    <n v="2025"/>
    <n v="5"/>
    <s v="mai"/>
    <s v="Q2"/>
    <d v="2025-05-01T00:00:00"/>
    <x v="3"/>
  </r>
  <r>
    <s v="ORD-2025-00526"/>
    <d v="2025-03-07T00:00:00"/>
    <s v="C0076"/>
    <s v="P1025"/>
    <s v="Maya Taylor, Saskatoon, Corporate"/>
    <s v="Toronto Downtown"/>
    <s v="L. Chen"/>
    <s v="Marketplace"/>
    <n v="1"/>
    <n v="318.27"/>
    <n v="0"/>
    <s v="Debit Card"/>
    <n v="7"/>
    <s v="No"/>
    <x v="1"/>
    <s v="Toronto Downtown"/>
    <s v="Debit Card"/>
    <s v="C0076"/>
    <s v="Maya Taylor"/>
    <s v="Saskatoon"/>
    <s v="Corporate"/>
    <s v="Yoga Mat"/>
    <x v="2"/>
    <n v="197.33"/>
    <n v="318.27"/>
    <n v="0"/>
    <n v="318.27"/>
    <n v="197.33"/>
    <n v="120.93999999999997"/>
    <n v="0.37999183083545413"/>
    <n v="0"/>
    <n v="2025"/>
    <n v="3"/>
    <s v="mars"/>
    <s v="Q1"/>
    <d v="2025-03-01T00:00:00"/>
    <x v="5"/>
  </r>
  <r>
    <s v="ORD-2025-00527"/>
    <d v="2025-06-10T00:00:00"/>
    <s v="C0093"/>
    <s v="P1029"/>
    <s v="Ethan Roy, Winnipeg, Consumer"/>
    <s v="Calgary North"/>
    <s v="E. Roy"/>
    <s v="Retail Store"/>
    <n v="1"/>
    <n v="207.24"/>
    <n v="0.15"/>
    <s v="PayPal"/>
    <n v="3"/>
    <s v="No"/>
    <x v="0"/>
    <s v="Calgary North"/>
    <s v="PayPal"/>
    <s v="C0093"/>
    <s v="Ethan Roy"/>
    <s v="Winnipeg"/>
    <s v="Consumer"/>
    <s v="Jump Rope"/>
    <x v="2"/>
    <n v="101"/>
    <n v="207.24"/>
    <n v="31.085999999999999"/>
    <n v="176.154"/>
    <n v="101"/>
    <n v="75.153999999999996"/>
    <n v="0.42663805533794291"/>
    <n v="0"/>
    <n v="2025"/>
    <n v="6"/>
    <s v="juin"/>
    <s v="Q2"/>
    <d v="2025-06-01T00:00:00"/>
    <x v="6"/>
  </r>
  <r>
    <s v="ORD-2025-00528"/>
    <d v="2025-08-17T00:00:00"/>
    <s v="C0113"/>
    <s v="P1013"/>
    <s v="Olivia Johnson, Surrey, Consumer"/>
    <s v="Online Fulfillment"/>
    <s v="N. Brown"/>
    <s v="Marketplace"/>
    <n v="2"/>
    <n v="117.72"/>
    <n v="0.05"/>
    <s v="Credit Card"/>
    <n v="5"/>
    <s v="No"/>
    <x v="1"/>
    <s v="Online Fulfillment"/>
    <s v="Credit Card"/>
    <s v="C0113"/>
    <s v="Olivia Johnson"/>
    <s v="Surrey"/>
    <s v="Consumer"/>
    <s v="Whiteboard"/>
    <x v="1"/>
    <n v="85.73"/>
    <n v="235.44"/>
    <n v="11.772"/>
    <n v="223.66800000000001"/>
    <n v="171.46"/>
    <n v="52.207999999999998"/>
    <n v="0.23341738648353808"/>
    <n v="0"/>
    <n v="2025"/>
    <n v="8"/>
    <s v="août"/>
    <s v="Q3"/>
    <d v="2025-08-01T00:00:00"/>
    <x v="3"/>
  </r>
  <r>
    <s v="ORD-2025-00529"/>
    <d v="2025-07-25T00:00:00"/>
    <s v="C0042"/>
    <s v="P1021"/>
    <s v="Emma King, Quebec City, Consumer"/>
    <s v="Montreal Central"/>
    <s v="R. Singh"/>
    <s v="Online"/>
    <n v="1"/>
    <n v="314.3"/>
    <n v="0.05"/>
    <s v="Credit Card"/>
    <n v="3"/>
    <s v="No"/>
    <x v="2"/>
    <s v="Montreal Central"/>
    <s v="Credit Card"/>
    <s v="C0042"/>
    <s v="Emma King"/>
    <s v="Quebec City"/>
    <s v="Consumer"/>
    <s v="Kettle"/>
    <x v="3"/>
    <n v="139.86000000000001"/>
    <n v="314.3"/>
    <n v="15.715000000000002"/>
    <n v="298.58500000000004"/>
    <n v="139.86000000000001"/>
    <n v="158.72500000000002"/>
    <n v="0.53159066932364318"/>
    <n v="0"/>
    <n v="2025"/>
    <n v="7"/>
    <s v="juillet"/>
    <s v="Q3"/>
    <d v="2025-07-01T00:00:00"/>
    <x v="4"/>
  </r>
  <r>
    <s v="ORD-2025-00530"/>
    <d v="2025-01-05T00:00:00"/>
    <s v="C0042"/>
    <s v="P1015"/>
    <s v="Emma King, Quebec City, Consumer"/>
    <s v="Montreal Central"/>
    <s v="E. Roy"/>
    <s v="Online"/>
    <n v="1"/>
    <n v="400.01"/>
    <n v="0"/>
    <s v="Credit Card"/>
    <n v="6"/>
    <s v="No"/>
    <x v="2"/>
    <s v="Montreal Central"/>
    <s v="Credit Card"/>
    <s v="C0042"/>
    <s v="Emma King"/>
    <s v="Quebec City"/>
    <s v="Consumer"/>
    <s v="Desk Organizer"/>
    <x v="1"/>
    <n v="235.76"/>
    <n v="400.01"/>
    <n v="0"/>
    <n v="400.01"/>
    <n v="235.76"/>
    <n v="164.25"/>
    <n v="0.41061473463163423"/>
    <n v="0"/>
    <n v="2025"/>
    <n v="1"/>
    <s v="janvier"/>
    <s v="Q1"/>
    <d v="2025-01-01T00:00:00"/>
    <x v="4"/>
  </r>
  <r>
    <s v="ORD-2025-00531"/>
    <d v="2025-09-02T00:00:00"/>
    <s v="C0112"/>
    <s v="P1036"/>
    <s v="Ava Bennett, Halifax, Consumer"/>
    <s v="Toronto Downtown"/>
    <s v="A. Morgan"/>
    <s v="Online"/>
    <n v="1"/>
    <n v="166.49"/>
    <n v="0.1"/>
    <s v="Credit Card"/>
    <n v="4"/>
    <s v="No"/>
    <x v="2"/>
    <s v="Toronto Downtown"/>
    <s v="Credit Card"/>
    <s v="C0112"/>
    <s v="Ava Bennett"/>
    <s v="Halifax"/>
    <s v="Consumer"/>
    <s v="Power Bank"/>
    <x v="4"/>
    <n v="76.97"/>
    <n v="166.49"/>
    <n v="16.649000000000001"/>
    <n v="149.84100000000001"/>
    <n v="76.97"/>
    <n v="72.871000000000009"/>
    <n v="0.48632216816492152"/>
    <n v="0"/>
    <n v="2025"/>
    <n v="9"/>
    <s v="septembre"/>
    <s v="Q3"/>
    <d v="2025-09-01T00:00:00"/>
    <x v="2"/>
  </r>
  <r>
    <s v="ORD-2025-00532"/>
    <d v="2025-12-07T00:00:00"/>
    <s v="C0051"/>
    <s v="P1015"/>
    <s v="Daniel Brown, Vancouver, Small Business"/>
    <s v="Calgary North"/>
    <s v="R. Singh"/>
    <s v="Online"/>
    <n v="1"/>
    <n v="358.44"/>
    <n v="0.05"/>
    <s v="Debit Card"/>
    <n v="6"/>
    <s v="No"/>
    <x v="2"/>
    <s v="Calgary North"/>
    <s v="Debit Card"/>
    <s v="C0051"/>
    <s v="Daniel Brown"/>
    <s v="Vancouver"/>
    <s v="Small Business"/>
    <s v="Desk Organizer"/>
    <x v="1"/>
    <n v="235.76"/>
    <n v="358.44"/>
    <n v="17.922000000000001"/>
    <n v="340.51799999999997"/>
    <n v="235.76"/>
    <n v="104.75799999999998"/>
    <n v="0.30764306145343268"/>
    <n v="0"/>
    <n v="2025"/>
    <n v="12"/>
    <s v="décembre"/>
    <s v="Q4"/>
    <d v="2025-12-01T00:00:00"/>
    <x v="3"/>
  </r>
  <r>
    <s v="ORD-2025-00533"/>
    <d v="2025-06-29T00:00:00"/>
    <s v="C0083"/>
    <s v="P1002"/>
    <s v="Amine King, Edmonton, Consumer"/>
    <s v="Calgary North"/>
    <s v="N. Brown"/>
    <s v="Online"/>
    <n v="3"/>
    <n v="39.380000000000003"/>
    <n v="0.15"/>
    <s v="Debit Card"/>
    <n v="2"/>
    <s v="No"/>
    <x v="2"/>
    <s v="Calgary North"/>
    <s v="Debit Card"/>
    <s v="C0083"/>
    <s v="Amine King"/>
    <s v="Edmonton"/>
    <s v="Consumer"/>
    <s v="Keyboard"/>
    <x v="0"/>
    <n v="23.5"/>
    <n v="118.14000000000001"/>
    <n v="17.721"/>
    <n v="100.41900000000001"/>
    <n v="70.5"/>
    <n v="29.919000000000011"/>
    <n v="0.29794162459295559"/>
    <n v="0"/>
    <n v="2025"/>
    <n v="6"/>
    <s v="juin"/>
    <s v="Q2"/>
    <d v="2025-06-01T00:00:00"/>
    <x v="0"/>
  </r>
  <r>
    <s v="ORD-2025-00534"/>
    <d v="2025-05-29T00:00:00"/>
    <s v="C0004"/>
    <s v="P1002"/>
    <s v="Mia Bennett, Laval, Consumer"/>
    <s v="Toronto Downtown"/>
    <s v="A. Morgan"/>
    <s v="Online"/>
    <n v="3"/>
    <n v="38.880000000000003"/>
    <n v="0"/>
    <s v="PayPal"/>
    <n v="7"/>
    <s v="No"/>
    <x v="2"/>
    <s v="Toronto Downtown"/>
    <s v="PayPal"/>
    <s v="C0004"/>
    <s v="Mia Bennett"/>
    <s v="Laval"/>
    <s v="Consumer"/>
    <s v="Keyboard"/>
    <x v="0"/>
    <n v="23.5"/>
    <n v="116.64000000000001"/>
    <n v="0"/>
    <n v="116.64000000000001"/>
    <n v="70.5"/>
    <n v="46.140000000000015"/>
    <n v="0.39557613168724287"/>
    <n v="0"/>
    <n v="2025"/>
    <n v="5"/>
    <s v="mai"/>
    <s v="Q2"/>
    <d v="2025-05-01T00:00:00"/>
    <x v="4"/>
  </r>
  <r>
    <s v="ORD-2025-00535"/>
    <d v="2025-11-09T00:00:00"/>
    <s v="C0034"/>
    <s v="P1009"/>
    <s v="Noah Tremblay, Toronto, Corporate"/>
    <s v="Online  Fulfillment"/>
    <s v="J. Tremblay"/>
    <s v="Retail Store"/>
    <n v="3"/>
    <n v="299.64"/>
    <n v="0"/>
    <s v="Credit Card"/>
    <n v="3"/>
    <s v="No"/>
    <x v="0"/>
    <s v="Online Fulfillment"/>
    <s v="Credit Card"/>
    <s v="C0034"/>
    <s v="Noah Tremblay"/>
    <s v="Toronto"/>
    <s v="Corporate"/>
    <s v="Notebook"/>
    <x v="1"/>
    <n v="176.13"/>
    <n v="898.92"/>
    <n v="0"/>
    <n v="898.92"/>
    <n v="528.39"/>
    <n v="370.53"/>
    <n v="0.41219463356027231"/>
    <n v="0"/>
    <n v="2025"/>
    <n v="11"/>
    <s v="novembre"/>
    <s v="Q4"/>
    <d v="2025-11-01T00:00:00"/>
    <x v="1"/>
  </r>
  <r>
    <s v="ORD-2025-00537"/>
    <d v="2025-02-05T00:00:00"/>
    <s v="C0112"/>
    <s v="P1027"/>
    <s v="Ava Bennett , Halifax , Consumer"/>
    <s v="Online Fulfillment"/>
    <s v="E. Roy"/>
    <s v="Marketplace"/>
    <n v="2"/>
    <n v="56.24"/>
    <n v="0"/>
    <s v="Debit Card"/>
    <n v="3"/>
    <s v="No"/>
    <x v="1"/>
    <s v="Online Fulfillment"/>
    <s v="Debit Card"/>
    <s v="C0112"/>
    <s v="Ava Bennett"/>
    <s v="Halifax"/>
    <s v="Consumer"/>
    <s v="Kettlebell"/>
    <x v="2"/>
    <n v="25.97"/>
    <n v="112.48"/>
    <n v="0"/>
    <n v="112.48"/>
    <n v="51.94"/>
    <n v="60.540000000000006"/>
    <n v="0.53822901849217641"/>
    <n v="0"/>
    <n v="2025"/>
    <n v="2"/>
    <s v="février"/>
    <s v="Q1"/>
    <d v="2025-02-01T00:00:00"/>
    <x v="2"/>
  </r>
  <r>
    <s v="ORD-2025-00538"/>
    <d v="2025-03-06T00:00:00"/>
    <s v="C0032"/>
    <s v="P1008"/>
    <s v="Nora Bennett, Surrey, Consumer"/>
    <s v="Online Fulfillment"/>
    <s v="N. Brown"/>
    <s v="Online"/>
    <n v="2"/>
    <n v="136.83000000000001"/>
    <n v="0.15"/>
    <s v="PayPal"/>
    <n v="3"/>
    <s v="No"/>
    <x v="2"/>
    <s v="Online Fulfillment"/>
    <s v="PayPal"/>
    <s v="C0032"/>
    <s v="Nora Bennett"/>
    <s v="Surrey"/>
    <s v="Consumer"/>
    <s v="Smart Speaker"/>
    <x v="0"/>
    <n v="69"/>
    <n v="273.66000000000003"/>
    <n v="41.048999999999999"/>
    <n v="232.61100000000002"/>
    <n v="138"/>
    <n v="94.611000000000018"/>
    <n v="0.406734849168784"/>
    <n v="0"/>
    <n v="2025"/>
    <n v="3"/>
    <s v="mars"/>
    <s v="Q1"/>
    <d v="2025-03-01T00:00:00"/>
    <x v="3"/>
  </r>
  <r>
    <s v="ORD-2025-00539"/>
    <d v="2025-03-05T00:00:00"/>
    <s v="C0057"/>
    <s v="P1012"/>
    <s v="Adam Khan , Edmonton , Small Business"/>
    <s v="Vancouver West"/>
    <s v="J. Tremblay"/>
    <s v="Online"/>
    <n v="1"/>
    <n v="82.59"/>
    <n v="0.2"/>
    <s v="PayPal"/>
    <n v="6"/>
    <s v="No"/>
    <x v="2"/>
    <s v="Vancouver West"/>
    <s v="PayPal"/>
    <s v="C0057"/>
    <s v="Adam Khan"/>
    <s v="Edmonton"/>
    <s v="Small Business"/>
    <s v="Standing Desk"/>
    <x v="1"/>
    <n v="45.17"/>
    <n v="82.59"/>
    <n v="16.518000000000001"/>
    <n v="66.072000000000003"/>
    <n v="45.17"/>
    <n v="20.902000000000001"/>
    <n v="0.31635185857852038"/>
    <n v="0"/>
    <n v="2025"/>
    <n v="3"/>
    <s v="mars"/>
    <s v="Q1"/>
    <d v="2025-03-01T00:00:00"/>
    <x v="0"/>
  </r>
  <r>
    <s v="ORD-2025-00540"/>
    <d v="2025-09-28T00:00:00"/>
    <s v="C0084"/>
    <s v="P1012"/>
    <s v="Ryan Clark, Montreal, Corporate"/>
    <s v="Calgary North"/>
    <s v="S. Patel"/>
    <s v="Online"/>
    <n v="2"/>
    <n v="82.4"/>
    <n v="0.05"/>
    <s v="Credit Card"/>
    <n v="7"/>
    <s v="No"/>
    <x v="2"/>
    <s v="Calgary North"/>
    <s v="Credit Card"/>
    <s v="C0084"/>
    <s v="Ryan Clark"/>
    <s v="Montreal"/>
    <s v="Corporate"/>
    <s v="Standing Desk"/>
    <x v="1"/>
    <n v="45.17"/>
    <n v="164.8"/>
    <n v="8.24"/>
    <n v="156.56"/>
    <n v="90.34"/>
    <n v="66.22"/>
    <n v="0.42296882984159428"/>
    <n v="0"/>
    <n v="2025"/>
    <n v="9"/>
    <s v="septembre"/>
    <s v="Q3"/>
    <d v="2025-09-01T00:00:00"/>
    <x v="4"/>
  </r>
  <r>
    <s v="ORD-2025-00541"/>
    <d v="2025-04-26T00:00:00"/>
    <s v="C0013"/>
    <s v="P1029"/>
    <s v="Amelia Martin, Quebec City, Small Business"/>
    <s v="Toronto Downtown"/>
    <s v="L. Chen"/>
    <s v="Marketplace"/>
    <n v="1"/>
    <n v="191.25"/>
    <n v="0"/>
    <s v="Debit Card"/>
    <n v="1"/>
    <s v="No"/>
    <x v="1"/>
    <s v="Toronto Downtown"/>
    <s v="Debit Card"/>
    <s v="C0013"/>
    <s v="Amelia Martin"/>
    <s v="Quebec City"/>
    <s v="Small Business"/>
    <s v="Jump Rope"/>
    <x v="2"/>
    <n v="101"/>
    <n v="191.25"/>
    <n v="0"/>
    <n v="191.25"/>
    <n v="101"/>
    <n v="90.25"/>
    <n v="0.4718954248366013"/>
    <n v="0"/>
    <n v="2025"/>
    <n v="4"/>
    <s v="avril"/>
    <s v="Q2"/>
    <d v="2025-04-01T00:00:00"/>
    <x v="4"/>
  </r>
  <r>
    <s v="ORD-2025-00542"/>
    <d v="2025-05-30T00:00:00"/>
    <s v="C0111"/>
    <s v="P1031"/>
    <s v="Noah Khan, Halifax, Consumer"/>
    <s v="Vancouver West"/>
    <s v="J. Tremblay"/>
    <s v="Marketplace"/>
    <n v="1"/>
    <n v="257.38"/>
    <n v="0.05"/>
    <s v="PayPal"/>
    <n v="6"/>
    <s v="No"/>
    <x v="1"/>
    <s v="Vancouver West"/>
    <s v="PayPal"/>
    <s v="C0111"/>
    <s v="Noah Khan"/>
    <s v="Halifax"/>
    <s v="Consumer"/>
    <s v="Dumbbell Set"/>
    <x v="2"/>
    <n v="131.72999999999999"/>
    <n v="257.38"/>
    <n v="12.869"/>
    <n v="244.511"/>
    <n v="131.72999999999999"/>
    <n v="112.78100000000001"/>
    <n v="0.46125123205090979"/>
    <n v="0"/>
    <n v="2025"/>
    <n v="5"/>
    <s v="mai"/>
    <s v="Q2"/>
    <d v="2025-05-01T00:00:00"/>
    <x v="2"/>
  </r>
  <r>
    <s v="ORD-2025-00543"/>
    <d v="2025-06-20T00:00:00"/>
    <s v="C0044"/>
    <s v="P1013"/>
    <s v="Nora Young , Vancouver , Corporate"/>
    <s v="Calgary North"/>
    <s v="J. Tremblay"/>
    <s v="Online"/>
    <n v="1"/>
    <n v="124.54"/>
    <n v="0.05"/>
    <s v="Debit Card"/>
    <n v="4"/>
    <s v="No"/>
    <x v="2"/>
    <s v="Calgary North"/>
    <s v="Debit Card"/>
    <s v="C0044"/>
    <s v="Nora Young"/>
    <s v="Vancouver"/>
    <s v="Corporate"/>
    <s v="Whiteboard"/>
    <x v="1"/>
    <n v="85.73"/>
    <n v="124.54"/>
    <n v="6.2270000000000003"/>
    <n v="118.313"/>
    <n v="85.73"/>
    <n v="32.582999999999998"/>
    <n v="0.27539661744694155"/>
    <n v="0"/>
    <n v="2025"/>
    <n v="6"/>
    <s v="juin"/>
    <s v="Q2"/>
    <d v="2025-06-01T00:00:00"/>
    <x v="3"/>
  </r>
  <r>
    <s v="ORD-2025-00544"/>
    <d v="2025-09-02T00:00:00"/>
    <s v="C0026"/>
    <s v="P1036"/>
    <s v="Adam Hall, Surrey, Corporate"/>
    <s v="Toronto Downtown"/>
    <s v="M. Wilson"/>
    <s v="Online"/>
    <n v="4"/>
    <n v="153.62"/>
    <n v="0"/>
    <s v="Debit Card"/>
    <n v="3"/>
    <s v="No"/>
    <x v="2"/>
    <s v="Toronto Downtown"/>
    <s v="Debit Card"/>
    <s v="C0026"/>
    <s v="Adam Hall"/>
    <s v="Surrey"/>
    <s v="Corporate"/>
    <s v="Power Bank"/>
    <x v="4"/>
    <n v="76.97"/>
    <n v="614.48"/>
    <n v="0"/>
    <n v="614.48"/>
    <n v="307.88"/>
    <n v="306.60000000000002"/>
    <n v="0.49895846894935558"/>
    <n v="0"/>
    <n v="2025"/>
    <n v="9"/>
    <s v="septembre"/>
    <s v="Q3"/>
    <d v="2025-09-01T00:00:00"/>
    <x v="3"/>
  </r>
  <r>
    <s v="ORD-2025-00545"/>
    <d v="2025-01-23T00:00:00"/>
    <s v="C0079"/>
    <s v="P1006"/>
    <s v="Sophia Scott, Ottawa, Consumer"/>
    <s v="Toronto Downtown"/>
    <s v="A. Morgan"/>
    <s v="Marketplace"/>
    <n v="1"/>
    <n v="100.86"/>
    <n v="0.15"/>
    <s v="Debit Card"/>
    <n v="5"/>
    <s v="No"/>
    <x v="1"/>
    <s v="Toronto Downtown"/>
    <s v="Debit Card"/>
    <s v="C0079"/>
    <s v="Sophia Scott"/>
    <s v="Ottawa"/>
    <s v="Consumer"/>
    <s v="USB-C Hub"/>
    <x v="0"/>
    <n v="72"/>
    <n v="100.86"/>
    <n v="15.129"/>
    <n v="85.730999999999995"/>
    <n v="72"/>
    <n v="13.730999999999995"/>
    <n v="0.16016376806522722"/>
    <n v="0"/>
    <n v="2025"/>
    <n v="1"/>
    <s v="janvier"/>
    <s v="Q1"/>
    <d v="2025-01-01T00:00:00"/>
    <x v="1"/>
  </r>
  <r>
    <s v="ORD-2025-00546"/>
    <d v="2025-05-03T00:00:00"/>
    <s v="C0116"/>
    <s v="P1019"/>
    <s v="Lucas Brown, Mississauga, Corporate"/>
    <s v="Montreal Central"/>
    <s v="N. Brown"/>
    <s v="Marketplace"/>
    <n v="1"/>
    <n v="263.81"/>
    <n v="0"/>
    <s v="Credit Card"/>
    <n v="7"/>
    <s v="No"/>
    <x v="1"/>
    <s v="Montreal Central"/>
    <s v="Credit Card"/>
    <s v="C0116"/>
    <s v="Lucas Brown"/>
    <s v="Mississauga"/>
    <s v="Corporate"/>
    <s v="Vacuum"/>
    <x v="3"/>
    <n v="186.94"/>
    <n v="263.81"/>
    <n v="0"/>
    <n v="263.81"/>
    <n v="186.94"/>
    <n v="76.87"/>
    <n v="0.29138395057048633"/>
    <n v="0"/>
    <n v="2025"/>
    <n v="5"/>
    <s v="mai"/>
    <s v="Q2"/>
    <d v="2025-05-01T00:00:00"/>
    <x v="1"/>
  </r>
  <r>
    <s v="ORD-2025-00547"/>
    <d v="2025-09-26T00:00:00"/>
    <s v="C0107"/>
    <s v="P1040"/>
    <s v="Ava Lee, Calgary, Small Business"/>
    <s v="Online Fulfillment"/>
    <s v="S. Patel"/>
    <s v="Online"/>
    <n v="3"/>
    <n v="291.04000000000002"/>
    <n v="0.1"/>
    <s v="Debit  Card"/>
    <n v="9"/>
    <s v="No"/>
    <x v="2"/>
    <s v="Online Fulfillment"/>
    <s v="Debit Card"/>
    <s v="C0107"/>
    <s v="Ava Lee"/>
    <s v="Calgary"/>
    <s v="Small Business"/>
    <s v="Desk Pad"/>
    <x v="4"/>
    <n v="177.57"/>
    <n v="873.12000000000012"/>
    <n v="87.312000000000012"/>
    <n v="785.80800000000011"/>
    <n v="532.71"/>
    <n v="253.09800000000007"/>
    <n v="0.32208631115997804"/>
    <n v="0"/>
    <n v="2025"/>
    <n v="9"/>
    <s v="septembre"/>
    <s v="Q3"/>
    <d v="2025-09-01T00:00:00"/>
    <x v="0"/>
  </r>
  <r>
    <s v="ORD-2025-00548"/>
    <d v="2025-06-16T00:00:00"/>
    <s v="C0118"/>
    <s v="P1002"/>
    <s v="Ryan Smith, Victoria, Small Business"/>
    <s v="Toronto Downtown"/>
    <s v="A. Morgan"/>
    <s v="Marketplace"/>
    <n v="1"/>
    <n v="36.26"/>
    <n v="0.05"/>
    <s v="Debit Card"/>
    <n v="1"/>
    <s v="Yes"/>
    <x v="1"/>
    <s v="Toronto Downtown"/>
    <s v="Debit Card"/>
    <s v="C0118"/>
    <s v="Ryan Smith"/>
    <s v="Victoria"/>
    <s v="Small Business"/>
    <s v="Keyboard"/>
    <x v="0"/>
    <n v="23.5"/>
    <n v="36.26"/>
    <n v="1.8129999999999999"/>
    <n v="34.446999999999996"/>
    <n v="23.5"/>
    <n v="10.946999999999996"/>
    <n v="0.31779255087525754"/>
    <n v="1"/>
    <n v="2025"/>
    <n v="6"/>
    <s v="juin"/>
    <s v="Q2"/>
    <d v="2025-06-01T00:00:00"/>
    <x v="3"/>
  </r>
  <r>
    <s v="ORD-2025-00549"/>
    <d v="2025-11-17T00:00:00"/>
    <s v="C0027"/>
    <s v="P1032"/>
    <s v="Nora Wilson, Toronto, Small Business"/>
    <s v="Online Fulfillment"/>
    <s v="A. Morgan"/>
    <s v="Online"/>
    <n v="3"/>
    <n v="206.48"/>
    <n v="0.2"/>
    <s v="Credit Card"/>
    <n v="1"/>
    <s v="No"/>
    <x v="2"/>
    <s v="Online Fulfillment"/>
    <s v="Credit Card"/>
    <s v="C0027"/>
    <s v="Nora Wilson"/>
    <s v="Toronto"/>
    <s v="Small Business"/>
    <s v="Gym Bag"/>
    <x v="2"/>
    <n v="132.72"/>
    <n v="619.43999999999994"/>
    <n v="123.88799999999999"/>
    <n v="495.55199999999996"/>
    <n v="398.15999999999997"/>
    <n v="97.391999999999996"/>
    <n v="0.19653235180162729"/>
    <n v="0"/>
    <n v="2025"/>
    <n v="11"/>
    <s v="novembre"/>
    <s v="Q4"/>
    <d v="2025-11-01T00:00:00"/>
    <x v="1"/>
  </r>
  <r>
    <s v="ORD-2025-00550"/>
    <d v="2025-11-04T00:00:00"/>
    <s v="C0025"/>
    <s v="P1004"/>
    <s v="Emma Gagnon, Surrey, Corporate"/>
    <s v="Vancouver West"/>
    <s v="J. Tremblay"/>
    <s v="Online"/>
    <n v="1"/>
    <n v="291.87"/>
    <n v="0.05"/>
    <s v="Debit Card"/>
    <n v="9"/>
    <s v="No"/>
    <x v="2"/>
    <s v="Vancouver West"/>
    <s v="Debit Card"/>
    <s v="C0025"/>
    <s v="Emma Gagnon"/>
    <s v="Surrey"/>
    <s v="Corporate"/>
    <s v="Webcam"/>
    <x v="0"/>
    <n v="154.72999999999999"/>
    <n v="291.87"/>
    <n v="14.593500000000001"/>
    <n v="277.2765"/>
    <n v="154.72999999999999"/>
    <n v="122.54650000000001"/>
    <n v="0.44196496998483464"/>
    <n v="0"/>
    <n v="2025"/>
    <n v="11"/>
    <s v="novembre"/>
    <s v="Q4"/>
    <d v="2025-11-01T00:00:00"/>
    <x v="3"/>
  </r>
  <r>
    <s v="ORD-2025-00551"/>
    <d v="2025-02-18T00:00:00"/>
    <s v="C0084"/>
    <s v="P1016"/>
    <s v="Ryan Clark, Montreal, Corporate"/>
    <s v="Online Fulfillment"/>
    <s v="N. Brown"/>
    <s v="Online"/>
    <n v="1"/>
    <n v="314.67"/>
    <n v="0"/>
    <s v="Credit Card"/>
    <n v="9"/>
    <s v="No"/>
    <x v="2"/>
    <s v="Online Fulfillment"/>
    <s v="Credit Card"/>
    <s v="C0084"/>
    <s v="Ryan Clark"/>
    <s v="Montreal"/>
    <s v="Corporate"/>
    <s v="Printer"/>
    <x v="1"/>
    <n v="156.75"/>
    <n v="314.67"/>
    <n v="0"/>
    <n v="314.67"/>
    <n v="156.75"/>
    <n v="157.92000000000002"/>
    <n v="0.50185909047573651"/>
    <n v="0"/>
    <n v="2025"/>
    <n v="2"/>
    <s v="février"/>
    <s v="Q1"/>
    <d v="2025-02-01T00:00:00"/>
    <x v="4"/>
  </r>
  <r>
    <s v="ORD-2025-00553"/>
    <d v="2025-08-22T00:00:00"/>
    <s v="C0078"/>
    <s v="P1033"/>
    <s v="Sarah Smith, Edmonton, Corporate"/>
    <s v="Toronto Downtown"/>
    <s v="L. Chen"/>
    <s v="Retail Store"/>
    <n v="2"/>
    <n v="318.20999999999998"/>
    <n v="0"/>
    <s v="Debit Card"/>
    <n v="3"/>
    <s v="No"/>
    <x v="0"/>
    <s v="Toronto Downtown"/>
    <s v="Debit Card"/>
    <s v="C0078"/>
    <s v="Sarah Smith"/>
    <s v="Edmonton"/>
    <s v="Corporate"/>
    <s v="Backpack"/>
    <x v="4"/>
    <n v="152.55000000000001"/>
    <n v="636.41999999999996"/>
    <n v="0"/>
    <n v="636.41999999999996"/>
    <n v="305.10000000000002"/>
    <n v="331.31999999999994"/>
    <n v="0.52059960403507111"/>
    <n v="0"/>
    <n v="2025"/>
    <n v="8"/>
    <s v="août"/>
    <s v="Q3"/>
    <d v="2025-08-01T00:00:00"/>
    <x v="0"/>
  </r>
  <r>
    <s v="ORD-2025-00554"/>
    <d v="2025-05-22T00:00:00"/>
    <s v="C0071"/>
    <s v="P1040"/>
    <s v="Ethan Lee, Surrey, Consumer"/>
    <s v="Online Fulfillment"/>
    <s v="R. Singh"/>
    <s v="Marketplace"/>
    <n v="5"/>
    <n v="323.45"/>
    <n v="0.05"/>
    <s v="Credit Card"/>
    <n v="2"/>
    <s v="No"/>
    <x v="1"/>
    <s v="Online Fulfillment"/>
    <s v="Credit Card"/>
    <s v="C0071"/>
    <s v="Ethan Lee"/>
    <s v="Surrey"/>
    <s v="Consumer"/>
    <s v="Desk Pad"/>
    <x v="4"/>
    <n v="177.57"/>
    <n v="1617.25"/>
    <n v="80.862500000000011"/>
    <n v="1536.3875"/>
    <n v="887.84999999999991"/>
    <n v="648.53750000000014"/>
    <n v="0.42211844342654448"/>
    <n v="0"/>
    <n v="2025"/>
    <n v="5"/>
    <s v="mai"/>
    <s v="Q2"/>
    <d v="2025-05-01T00:00:00"/>
    <x v="3"/>
  </r>
  <r>
    <s v="ORD-2025-00555"/>
    <d v="2025-08-13T00:00:00"/>
    <s v="C0058"/>
    <s v="P1017"/>
    <s v="Mia Singh, Laval, Consumer"/>
    <s v="Online Fulfillment"/>
    <s v="J. Tremblay"/>
    <s v="Online"/>
    <n v="1"/>
    <n v="368.38"/>
    <n v="0.15"/>
    <s v="Gift  Card"/>
    <n v="5"/>
    <s v="No"/>
    <x v="2"/>
    <s v="Online Fulfillment"/>
    <s v="Gift Card"/>
    <s v="C0058"/>
    <s v="Mia Singh"/>
    <s v="Laval"/>
    <s v="Consumer"/>
    <s v="Coffee Maker"/>
    <x v="3"/>
    <n v="241.16"/>
    <n v="368.38"/>
    <n v="55.256999999999998"/>
    <n v="313.12299999999999"/>
    <n v="241.16"/>
    <n v="71.962999999999994"/>
    <n v="0.22982342402186998"/>
    <n v="0"/>
    <n v="2025"/>
    <n v="8"/>
    <s v="août"/>
    <s v="Q3"/>
    <d v="2025-08-01T00:00:00"/>
    <x v="4"/>
  </r>
  <r>
    <s v="ORD-2025-00556"/>
    <d v="2025-12-05T00:00:00"/>
    <s v="C0108"/>
    <s v="P1016"/>
    <s v="Noah Lee, Surrey, Consumer"/>
    <s v="Toronto Downtown"/>
    <s v="A. Morgan"/>
    <s v="Online"/>
    <n v="3"/>
    <n v="316.8"/>
    <n v="0.25"/>
    <s v="Credit Card"/>
    <n v="5"/>
    <s v="No"/>
    <x v="2"/>
    <s v="Toronto Downtown"/>
    <s v="Credit Card"/>
    <s v="C0108"/>
    <s v="Noah Lee"/>
    <s v="Surrey"/>
    <s v="Consumer"/>
    <s v="Printer"/>
    <x v="1"/>
    <n v="156.75"/>
    <n v="950.40000000000009"/>
    <n v="237.60000000000002"/>
    <n v="712.80000000000007"/>
    <n v="470.25"/>
    <n v="242.55000000000007"/>
    <n v="0.34027777777777785"/>
    <n v="0"/>
    <n v="2025"/>
    <n v="12"/>
    <s v="décembre"/>
    <s v="Q4"/>
    <d v="2025-12-01T00:00:00"/>
    <x v="3"/>
  </r>
  <r>
    <s v="ORD-2025-00557"/>
    <d v="2025-04-22T00:00:00"/>
    <s v="C0044"/>
    <s v="P1025"/>
    <s v="Nora Young, Vancouver, Corporate"/>
    <s v="Toronto Downtown"/>
    <s v="N. Brown"/>
    <s v="Marketplace"/>
    <n v="3"/>
    <n v="308.24"/>
    <n v="0.05"/>
    <s v="Debit Card"/>
    <n v="8"/>
    <s v="No"/>
    <x v="1"/>
    <s v="Toronto Downtown"/>
    <s v="Debit Card"/>
    <s v="C0044"/>
    <s v="Nora Young"/>
    <s v="Vancouver"/>
    <s v="Corporate"/>
    <s v="Yoga Mat"/>
    <x v="2"/>
    <n v="197.33"/>
    <n v="924.72"/>
    <n v="46.236000000000004"/>
    <n v="878.48400000000004"/>
    <n v="591.99"/>
    <n v="286.49400000000003"/>
    <n v="0.32612318494133075"/>
    <n v="0"/>
    <n v="2025"/>
    <n v="4"/>
    <s v="avril"/>
    <s v="Q2"/>
    <d v="2025-04-01T00:00:00"/>
    <x v="3"/>
  </r>
  <r>
    <s v="ORD-2025-00558"/>
    <d v="2025-12-14T00:00:00"/>
    <s v="C0085"/>
    <s v="P1022"/>
    <s v="Yasmine Clark, Calgary, Consumer"/>
    <s v="Toronto Downtown"/>
    <s v="A. Morgan"/>
    <s v="Online"/>
    <n v="1"/>
    <n v="428.94"/>
    <n v="0"/>
    <s v="Credit Card"/>
    <n v="4"/>
    <s v="No"/>
    <x v="2"/>
    <s v="Toronto Downtown"/>
    <s v="Credit Card"/>
    <s v="C0085"/>
    <s v="Yasmine Clark"/>
    <s v="Calgary"/>
    <s v="Consumer"/>
    <s v="Humidifier"/>
    <x v="3"/>
    <n v="239.67"/>
    <n v="428.94"/>
    <n v="0"/>
    <n v="428.94"/>
    <n v="239.67"/>
    <n v="189.27"/>
    <n v="0.44125052454888797"/>
    <n v="0"/>
    <n v="2025"/>
    <n v="12"/>
    <s v="décembre"/>
    <s v="Q4"/>
    <d v="2025-12-01T00:00:00"/>
    <x v="0"/>
  </r>
  <r>
    <s v="ORD-2025-00559"/>
    <d v="2025-03-11T00:00:00"/>
    <s v="C0118"/>
    <s v="P1012"/>
    <s v="Ryan Smith, Victoria, Small Business"/>
    <s v="Toronto Downtown"/>
    <s v="R. Singh"/>
    <s v="Marketplace"/>
    <n v="1"/>
    <n v="83.97"/>
    <n v="0.1"/>
    <s v="Credit Card"/>
    <n v="5"/>
    <s v="No"/>
    <x v="1"/>
    <s v="Toronto Downtown"/>
    <s v="Credit Card"/>
    <s v="C0118"/>
    <s v="Ryan Smith"/>
    <s v="Victoria"/>
    <s v="Small Business"/>
    <s v="Standing Desk"/>
    <x v="1"/>
    <n v="45.17"/>
    <n v="83.97"/>
    <n v="8.3970000000000002"/>
    <n v="75.572999999999993"/>
    <n v="45.17"/>
    <n v="30.402999999999992"/>
    <n v="0.40229976314292132"/>
    <n v="0"/>
    <n v="2025"/>
    <n v="3"/>
    <s v="mars"/>
    <s v="Q1"/>
    <d v="2025-03-01T00:00:00"/>
    <x v="3"/>
  </r>
  <r>
    <s v="ORD-2025-00560"/>
    <d v="2025-09-09T00:00:00"/>
    <s v="C0088"/>
    <s v="P1038"/>
    <s v="Olivia Bennett, Vancouver, Small Business"/>
    <s v="Vancouver West"/>
    <s v="A. Morgan"/>
    <s v="Retail Store"/>
    <n v="2"/>
    <n v="260.72000000000003"/>
    <n v="0.05"/>
    <s v="Credit Card"/>
    <n v="4"/>
    <s v="Yes"/>
    <x v="0"/>
    <s v="Vancouver West"/>
    <s v="Credit Card"/>
    <s v="C0088"/>
    <s v="Olivia Bennett"/>
    <s v="Vancouver"/>
    <s v="Small Business"/>
    <s v="Water Bottle"/>
    <x v="4"/>
    <n v="119.16"/>
    <n v="521.44000000000005"/>
    <n v="26.072000000000003"/>
    <n v="495.36800000000005"/>
    <n v="238.32"/>
    <n v="257.04800000000006"/>
    <n v="0.51890311848968851"/>
    <n v="1"/>
    <n v="2025"/>
    <n v="9"/>
    <s v="septembre"/>
    <s v="Q3"/>
    <d v="2025-09-01T00:00:00"/>
    <x v="3"/>
  </r>
  <r>
    <s v="ORD-2025-00561"/>
    <d v="2025-12-13T00:00:00"/>
    <s v="C0116"/>
    <s v="P1012"/>
    <s v="Lucas Brown , Mississauga , Corporate"/>
    <s v="Toronto Downtown"/>
    <s v="A. Morgan"/>
    <s v="Marketplace"/>
    <n v="3"/>
    <n v="81.14"/>
    <n v="0"/>
    <s v="PayPal"/>
    <n v="6"/>
    <s v="No"/>
    <x v="1"/>
    <s v="Toronto Downtown"/>
    <s v="PayPal"/>
    <s v="C0116"/>
    <s v="Lucas Brown"/>
    <s v="Mississauga"/>
    <s v="Corporate"/>
    <s v="Standing Desk"/>
    <x v="1"/>
    <n v="45.17"/>
    <n v="243.42000000000002"/>
    <n v="0"/>
    <n v="243.42000000000002"/>
    <n v="135.51"/>
    <n v="107.91000000000003"/>
    <n v="0.44330786295292096"/>
    <n v="0"/>
    <n v="2025"/>
    <n v="12"/>
    <s v="décembre"/>
    <s v="Q4"/>
    <d v="2025-12-01T00:00:00"/>
    <x v="1"/>
  </r>
  <r>
    <s v="ORD-2025-00562"/>
    <d v="2025-02-09T00:00:00"/>
    <s v="C0019"/>
    <s v="P1007"/>
    <s v="Lucas Taylor, Montreal, Small Business"/>
    <s v="Online Fulfillment"/>
    <s v="R. Singh"/>
    <s v="Online"/>
    <n v="2"/>
    <n v="367.23"/>
    <n v="0.05"/>
    <s v="PayPal"/>
    <n v="6"/>
    <s v="No"/>
    <x v="2"/>
    <s v="Online Fulfillment"/>
    <s v="PayPal"/>
    <s v="C0019"/>
    <s v="Lucas Taylor"/>
    <s v="Montreal"/>
    <s v="Small Business"/>
    <s v="Monitor"/>
    <x v="0"/>
    <n v="224.47"/>
    <n v="734.46"/>
    <n v="36.723000000000006"/>
    <n v="697.73700000000008"/>
    <n v="448.94"/>
    <n v="248.79700000000008"/>
    <n v="0.35657704837209442"/>
    <n v="0"/>
    <n v="2025"/>
    <n v="2"/>
    <s v="février"/>
    <s v="Q1"/>
    <d v="2025-02-01T00:00:00"/>
    <x v="4"/>
  </r>
  <r>
    <s v="ORD-2025-00563"/>
    <d v="2025-12-09T00:00:00"/>
    <s v="C0107"/>
    <s v="P1035"/>
    <s v="Ava Lee, Calgary, Small Business"/>
    <s v="Toronto Downtown"/>
    <s v="L. Chen"/>
    <s v="Online"/>
    <n v="1"/>
    <n v="80.66"/>
    <n v="0.1"/>
    <s v="Credit Card"/>
    <n v="1"/>
    <s v="No"/>
    <x v="2"/>
    <s v="Toronto Downtown"/>
    <s v="Credit Card"/>
    <s v="C0107"/>
    <s v="Ava Lee"/>
    <s v="Calgary"/>
    <s v="Small Business"/>
    <s v="Phone Stand"/>
    <x v="4"/>
    <n v="59.85"/>
    <n v="80.66"/>
    <n v="8.0660000000000007"/>
    <n v="72.593999999999994"/>
    <n v="59.85"/>
    <n v="12.743999999999993"/>
    <n v="0.17555169848747823"/>
    <n v="0"/>
    <n v="2025"/>
    <n v="12"/>
    <s v="décembre"/>
    <s v="Q4"/>
    <d v="2025-12-01T00:00:00"/>
    <x v="0"/>
  </r>
  <r>
    <s v="ORD-2025-00564"/>
    <d v="2025-07-20T00:00:00"/>
    <s v="C0038"/>
    <s v="P1025"/>
    <s v="Noah Brown, Montreal, Consumer"/>
    <s v="Montreal Central"/>
    <s v="L. Chen"/>
    <s v="Online"/>
    <n v="1"/>
    <n v="301.2"/>
    <n v="0"/>
    <s v="PayPal"/>
    <n v="1"/>
    <s v="No"/>
    <x v="2"/>
    <s v="Montreal Central"/>
    <s v="PayPal"/>
    <s v="C0038"/>
    <s v="Noah Brown"/>
    <s v="Montreal"/>
    <s v="Consumer"/>
    <s v="Yoga Mat"/>
    <x v="2"/>
    <n v="197.33"/>
    <n v="301.2"/>
    <n v="0"/>
    <n v="301.2"/>
    <n v="197.33"/>
    <n v="103.86999999999998"/>
    <n v="0.34485391766268253"/>
    <n v="0"/>
    <n v="2025"/>
    <n v="7"/>
    <s v="juillet"/>
    <s v="Q3"/>
    <d v="2025-07-01T00:00:00"/>
    <x v="4"/>
  </r>
  <r>
    <s v="ORD-2025-00565"/>
    <d v="2025-03-06T00:00:00"/>
    <s v="C0062"/>
    <s v="P1037"/>
    <s v="Yasmine Scott, Toronto, Consumer"/>
    <s v="Calgary  North"/>
    <s v="M. Wilson"/>
    <s v="Online"/>
    <n v="1"/>
    <n v="348.97"/>
    <n v="0"/>
    <s v="Credit Card"/>
    <n v="5"/>
    <s v="No"/>
    <x v="2"/>
    <s v="Calgary North"/>
    <s v="Credit Card"/>
    <s v="C0062"/>
    <s v="Yasmine Scott"/>
    <s v="Toronto"/>
    <s v="Consumer"/>
    <s v="Cable Set"/>
    <x v="4"/>
    <n v="200.16"/>
    <n v="348.97"/>
    <n v="0"/>
    <n v="348.97"/>
    <n v="200.16"/>
    <n v="148.81000000000003"/>
    <n v="0.42642634037309801"/>
    <n v="0"/>
    <n v="2025"/>
    <n v="3"/>
    <s v="mars"/>
    <s v="Q1"/>
    <d v="2025-03-01T00:00:00"/>
    <x v="1"/>
  </r>
  <r>
    <s v="ORD-2025-00566"/>
    <d v="2025-12-18T00:00:00"/>
    <s v="C0059"/>
    <s v="P1011"/>
    <s v="Lucas Chen, Vancouver, Corporate"/>
    <s v="Vancouver West"/>
    <s v="N. Brown"/>
    <s v="Marketplace"/>
    <n v="1"/>
    <n v="83.93"/>
    <n v="0.15"/>
    <s v="Credit Card"/>
    <n v="1"/>
    <s v="No"/>
    <x v="1"/>
    <s v="Vancouver West"/>
    <s v="Credit Card"/>
    <s v="C0059"/>
    <s v="Lucas Chen"/>
    <s v="Vancouver"/>
    <s v="Corporate"/>
    <s v="Office Chair"/>
    <x v="1"/>
    <n v="39.26"/>
    <n v="83.93"/>
    <n v="12.589500000000001"/>
    <n v="71.340500000000006"/>
    <n v="39.26"/>
    <n v="32.080500000000008"/>
    <n v="0.449681457236773"/>
    <n v="0"/>
    <n v="2025"/>
    <n v="12"/>
    <s v="décembre"/>
    <s v="Q4"/>
    <d v="2025-12-01T00:00:00"/>
    <x v="3"/>
  </r>
  <r>
    <s v="ORD-2025-00567"/>
    <d v="2025-05-24T00:00:00"/>
    <s v="C0010"/>
    <s v="P1017"/>
    <s v="Ethan Martin , Victoria , Corporate"/>
    <s v="Toronto Downtown"/>
    <s v="J. Tremblay"/>
    <s v="Online"/>
    <n v="2"/>
    <n v="384"/>
    <n v="0"/>
    <s v="Debit Card"/>
    <n v="4"/>
    <s v="No"/>
    <x v="2"/>
    <s v="Toronto Downtown"/>
    <s v="Debit Card"/>
    <s v="C0010"/>
    <s v="Ethan Martin"/>
    <s v="Victoria"/>
    <s v="Corporate"/>
    <s v="Coffee Maker"/>
    <x v="3"/>
    <n v="241.16"/>
    <n v="768"/>
    <n v="0"/>
    <n v="768"/>
    <n v="482.32"/>
    <n v="285.68"/>
    <n v="0.37197916666666669"/>
    <n v="0"/>
    <n v="2025"/>
    <n v="5"/>
    <s v="mai"/>
    <s v="Q2"/>
    <d v="2025-05-01T00:00:00"/>
    <x v="3"/>
  </r>
  <r>
    <s v="ORD-2025-00568"/>
    <d v="2025-01-05T00:00:00"/>
    <s v="C0035"/>
    <s v="P1022"/>
    <s v="Amelia Scott, Edmonton, Small Business"/>
    <s v="Montreal Central"/>
    <s v="L. Chen"/>
    <s v="Marketplace"/>
    <n v="2"/>
    <n v="414.63"/>
    <n v="0.15"/>
    <s v="Credit Card"/>
    <n v="5"/>
    <s v="No"/>
    <x v="1"/>
    <s v="Montreal Central"/>
    <s v="Credit Card"/>
    <s v="C0035"/>
    <s v="Amelia Scott"/>
    <s v="Edmonton"/>
    <s v="Small Business"/>
    <s v="Humidifier"/>
    <x v="3"/>
    <n v="239.67"/>
    <n v="829.26"/>
    <n v="124.389"/>
    <n v="704.87099999999998"/>
    <n v="479.34"/>
    <n v="225.53100000000001"/>
    <n v="0.31996067365517949"/>
    <n v="0"/>
    <n v="2025"/>
    <n v="1"/>
    <s v="janvier"/>
    <s v="Q1"/>
    <d v="2025-01-01T00:00:00"/>
    <x v="0"/>
  </r>
  <r>
    <s v="ORD-2025-00569"/>
    <d v="2025-06-09T00:00:00"/>
    <s v="C0027"/>
    <s v="P1002"/>
    <s v="Nora Wilson, Toronto, Small Business"/>
    <s v="Online Fulfillment"/>
    <s v="A. Morgan"/>
    <s v="Online"/>
    <n v="3"/>
    <n v="39.950000000000003"/>
    <n v="0"/>
    <s v="Gift Card"/>
    <n v="8"/>
    <s v="No"/>
    <x v="2"/>
    <s v="Online Fulfillment"/>
    <s v="Gift Card"/>
    <s v="C0027"/>
    <s v="Nora Wilson"/>
    <s v="Toronto"/>
    <s v="Small Business"/>
    <s v="Keyboard"/>
    <x v="0"/>
    <n v="23.5"/>
    <n v="119.85000000000001"/>
    <n v="0"/>
    <n v="119.85000000000001"/>
    <n v="70.5"/>
    <n v="49.350000000000009"/>
    <n v="0.41176470588235298"/>
    <n v="0"/>
    <n v="2025"/>
    <n v="6"/>
    <s v="juin"/>
    <s v="Q2"/>
    <d v="2025-06-01T00:00:00"/>
    <x v="1"/>
  </r>
  <r>
    <s v="ORD-2025-00570"/>
    <d v="2025-05-19T00:00:00"/>
    <s v="C0050"/>
    <s v="P1032"/>
    <s v="Sarah Singh, Mississauga, Consumer"/>
    <s v="Vancouver West"/>
    <s v="R. Singh"/>
    <s v="Retail Store"/>
    <n v="1"/>
    <n v="189.83"/>
    <n v="0.2"/>
    <s v="PayPal"/>
    <n v="3"/>
    <s v="No"/>
    <x v="0"/>
    <s v="Vancouver West"/>
    <s v="PayPal"/>
    <s v="C0050"/>
    <s v="Sarah Singh"/>
    <s v="Mississauga"/>
    <s v="Consumer"/>
    <s v="Gym Bag"/>
    <x v="2"/>
    <n v="132.72"/>
    <n v="189.83"/>
    <n v="37.966000000000001"/>
    <n v="151.864"/>
    <n v="132.72"/>
    <n v="19.144000000000005"/>
    <n v="0.12606015908971188"/>
    <n v="0"/>
    <n v="2025"/>
    <n v="5"/>
    <s v="mai"/>
    <s v="Q2"/>
    <d v="2025-05-01T00:00:00"/>
    <x v="1"/>
  </r>
  <r>
    <s v="ORD-2025-00571"/>
    <d v="2025-03-03T00:00:00"/>
    <s v="C0028"/>
    <s v="P1013"/>
    <s v="Mia Clark, Victoria, Consumer"/>
    <s v="Toronto Downtown"/>
    <s v="L. Chen"/>
    <s v="Online"/>
    <n v="3"/>
    <n v="119.26"/>
    <n v="0"/>
    <s v="Credit Card"/>
    <n v="2"/>
    <s v="No"/>
    <x v="2"/>
    <s v="Toronto Downtown"/>
    <s v="Credit Card"/>
    <s v="C0028"/>
    <s v="Mia Clark"/>
    <s v="Victoria"/>
    <s v="Consumer"/>
    <s v="Whiteboard"/>
    <x v="1"/>
    <n v="85.73"/>
    <n v="357.78000000000003"/>
    <n v="0"/>
    <n v="357.78000000000003"/>
    <n v="257.19"/>
    <n v="100.59000000000003"/>
    <n v="0.28115042763709547"/>
    <n v="0"/>
    <n v="2025"/>
    <n v="3"/>
    <s v="mars"/>
    <s v="Q1"/>
    <d v="2025-03-01T00:00:00"/>
    <x v="3"/>
  </r>
  <r>
    <s v="ORD-2025-00573"/>
    <d v="2025-02-18T00:00:00"/>
    <s v="C0037"/>
    <s v="P1023"/>
    <s v="Lucas Scott, Victoria, Small Business"/>
    <s v="Calgary North"/>
    <s v="E. Roy"/>
    <s v="Online"/>
    <n v="2"/>
    <n v="317.93"/>
    <n v="0.2"/>
    <s v="PayPal"/>
    <n v="1"/>
    <s v="No"/>
    <x v="2"/>
    <s v="Calgary North"/>
    <s v="PayPal"/>
    <s v="C0037"/>
    <s v="Lucas Scott"/>
    <s v="Victoria"/>
    <s v="Small Business"/>
    <s v="Toaster"/>
    <x v="3"/>
    <n v="152.88"/>
    <n v="635.86"/>
    <n v="127.17200000000001"/>
    <n v="508.68799999999999"/>
    <n v="305.76"/>
    <n v="202.928"/>
    <n v="0.39892429151070991"/>
    <n v="0"/>
    <n v="2025"/>
    <n v="2"/>
    <s v="février"/>
    <s v="Q1"/>
    <d v="2025-02-01T00:00:00"/>
    <x v="3"/>
  </r>
  <r>
    <s v="ORD-2025-00574"/>
    <d v="2025-01-07T00:00:00"/>
    <s v="C0109"/>
    <s v="P1023"/>
    <s v="Emma Wilson, Victoria, Consumer"/>
    <s v="Montreal Central"/>
    <s v="A. Morgan"/>
    <s v="Online"/>
    <n v="4"/>
    <n v="330.62"/>
    <n v="0"/>
    <s v="PayPal"/>
    <n v="1"/>
    <s v="No"/>
    <x v="2"/>
    <s v="Montreal Central"/>
    <s v="PayPal"/>
    <s v="C0109"/>
    <s v="Emma Wilson"/>
    <s v="Victoria"/>
    <s v="Consumer"/>
    <s v="Toaster"/>
    <x v="3"/>
    <n v="152.88"/>
    <n v="1322.48"/>
    <n v="0"/>
    <n v="1322.48"/>
    <n v="611.52"/>
    <n v="710.96"/>
    <n v="0.53759603169802195"/>
    <n v="0"/>
    <n v="2025"/>
    <n v="1"/>
    <s v="janvier"/>
    <s v="Q1"/>
    <d v="2025-01-01T00:00:00"/>
    <x v="3"/>
  </r>
  <r>
    <s v="ORD-2025-00575"/>
    <d v="2025-02-16T00:00:00"/>
    <s v="C0038"/>
    <s v="P1005"/>
    <s v="Noah Brown, Montreal, Consumer"/>
    <s v="Calgary North"/>
    <s v="M. Wilson"/>
    <s v="Retail Store"/>
    <n v="3"/>
    <n v="248.18"/>
    <n v="0.05"/>
    <s v="Credit Card"/>
    <n v="2"/>
    <s v="No"/>
    <x v="0"/>
    <s v="Calgary North"/>
    <s v="Credit Card"/>
    <s v="C0038"/>
    <s v="Noah Brown"/>
    <s v="Montreal"/>
    <s v="Consumer"/>
    <s v="Portable SSD"/>
    <x v="0"/>
    <n v="131.19"/>
    <n v="744.54"/>
    <n v="37.226999999999997"/>
    <n v="707.31299999999999"/>
    <n v="393.57"/>
    <n v="313.74299999999999"/>
    <n v="0.44357024400795686"/>
    <n v="0"/>
    <n v="2025"/>
    <n v="2"/>
    <s v="février"/>
    <s v="Q1"/>
    <d v="2025-02-01T00:00:00"/>
    <x v="4"/>
  </r>
  <r>
    <s v="ORD-2025-00576"/>
    <d v="2025-02-02T00:00:00"/>
    <s v="C0011"/>
    <s v="P1034"/>
    <s v="Ethan Hall, Quebec City, Consumer"/>
    <s v="Vancouver West"/>
    <s v="N. Brown"/>
    <s v="Marketplace"/>
    <n v="1"/>
    <n v="152.36000000000001"/>
    <n v="0.05"/>
    <s v="Credit Card"/>
    <n v="2"/>
    <s v="No"/>
    <x v="1"/>
    <s v="Vancouver West"/>
    <s v="Credit Card"/>
    <s v="C0011"/>
    <s v="Ethan Hall"/>
    <s v="Quebec City"/>
    <s v="Consumer"/>
    <s v="Laptop Sleeve"/>
    <x v="4"/>
    <n v="78.95"/>
    <n v="152.36000000000001"/>
    <n v="7.6180000000000012"/>
    <n v="144.74200000000002"/>
    <n v="78.95"/>
    <n v="65.792000000000016"/>
    <n v="0.45454671069903696"/>
    <n v="0"/>
    <n v="2025"/>
    <n v="2"/>
    <s v="février"/>
    <s v="Q1"/>
    <d v="2025-02-01T00:00:00"/>
    <x v="4"/>
  </r>
  <r>
    <s v="ORD-2025-00577"/>
    <d v="2025-09-11T00:00:00"/>
    <s v="C0049"/>
    <s v="P1003"/>
    <s v="Olivia Scott, Quebec City, Consumer"/>
    <s v="Vancouver  West"/>
    <s v="J. Tremblay"/>
    <s v="Retail Store"/>
    <n v="4"/>
    <n v="158.27000000000001"/>
    <n v="0.15"/>
    <s v="Debit Card"/>
    <n v="2"/>
    <s v="No"/>
    <x v="0"/>
    <s v="Vancouver West"/>
    <s v="Debit Card"/>
    <s v="C0049"/>
    <s v="Olivia Scott"/>
    <s v="Quebec City"/>
    <s v="Consumer"/>
    <s v="Mouse"/>
    <x v="0"/>
    <n v="106.4"/>
    <n v="633.08000000000004"/>
    <n v="94.962000000000003"/>
    <n v="538.11800000000005"/>
    <n v="425.6"/>
    <n v="112.51800000000003"/>
    <n v="0.20909540286702921"/>
    <n v="0"/>
    <n v="2025"/>
    <n v="9"/>
    <s v="septembre"/>
    <s v="Q3"/>
    <d v="2025-09-01T00:00:00"/>
    <x v="4"/>
  </r>
  <r>
    <s v="ORD-2025-00578"/>
    <d v="2025-10-13T00:00:00"/>
    <s v="C0012"/>
    <s v="P1005"/>
    <s v="Daniel Taylor, Victoria, Corporate"/>
    <s v="Toronto Downtown"/>
    <s v="J. Tremblay"/>
    <s v="Online"/>
    <n v="1"/>
    <n v="237.69"/>
    <n v="0.2"/>
    <s v="Credit Card"/>
    <n v="7"/>
    <s v="Yes"/>
    <x v="2"/>
    <s v="Toronto Downtown"/>
    <s v="Credit Card"/>
    <s v="C0012"/>
    <s v="Daniel Taylor"/>
    <s v="Victoria"/>
    <s v="Corporate"/>
    <s v="Portable SSD"/>
    <x v="0"/>
    <n v="131.19"/>
    <n v="237.69"/>
    <n v="47.538000000000004"/>
    <n v="190.15199999999999"/>
    <n v="131.19"/>
    <n v="58.961999999999989"/>
    <n v="0.31007825318692411"/>
    <n v="1"/>
    <n v="2025"/>
    <n v="10"/>
    <s v="octobre"/>
    <s v="Q4"/>
    <d v="2025-10-01T00:00:00"/>
    <x v="3"/>
  </r>
  <r>
    <s v="ORD-2025-00579"/>
    <d v="2025-12-10T00:00:00"/>
    <s v="C0093"/>
    <s v="P1004"/>
    <s v="Ethan Roy, Winnipeg, Consumer"/>
    <s v="Toronto Downtown"/>
    <s v="R. Singh"/>
    <s v="Online"/>
    <n v="1"/>
    <n v="270.91000000000003"/>
    <n v="0.2"/>
    <s v="Credit Card"/>
    <n v="3"/>
    <s v="No"/>
    <x v="2"/>
    <s v="Toronto Downtown"/>
    <s v="Credit Card"/>
    <s v="C0093"/>
    <s v="Ethan Roy"/>
    <s v="Winnipeg"/>
    <s v="Consumer"/>
    <s v="Webcam"/>
    <x v="0"/>
    <n v="154.72999999999999"/>
    <n v="270.91000000000003"/>
    <n v="54.182000000000009"/>
    <n v="216.72800000000001"/>
    <n v="154.72999999999999"/>
    <n v="61.998000000000019"/>
    <n v="0.28606363737034446"/>
    <n v="0"/>
    <n v="2025"/>
    <n v="12"/>
    <s v="décembre"/>
    <s v="Q4"/>
    <d v="2025-12-01T00:00:00"/>
    <x v="6"/>
  </r>
  <r>
    <s v="ORD-2025-00580"/>
    <d v="2025-04-24T00:00:00"/>
    <s v="C0026"/>
    <s v="P1014"/>
    <s v="Adam Hall, Surrey, Corporate"/>
    <s v="Vancouver West"/>
    <s v="R. Singh"/>
    <s v="Online"/>
    <n v="3"/>
    <n v="236.49"/>
    <n v="0.1"/>
    <s v="Credit Card"/>
    <n v="8"/>
    <s v="Yes"/>
    <x v="2"/>
    <s v="Vancouver West"/>
    <s v="Credit Card"/>
    <s v="C0026"/>
    <s v="Adam Hall"/>
    <s v="Surrey"/>
    <s v="Corporate"/>
    <s v="Document Shredder"/>
    <x v="1"/>
    <n v="117.65"/>
    <n v="709.47"/>
    <n v="70.947000000000003"/>
    <n v="638.52300000000002"/>
    <n v="352.95000000000005"/>
    <n v="285.57299999999998"/>
    <n v="0.44723995846664877"/>
    <n v="1"/>
    <n v="2025"/>
    <n v="4"/>
    <s v="avril"/>
    <s v="Q2"/>
    <d v="2025-04-01T00:00:00"/>
    <x v="3"/>
  </r>
  <r>
    <s v="ORD-2025-00581"/>
    <d v="2025-02-10T00:00:00"/>
    <s v="C0026"/>
    <s v="P1018"/>
    <s v="Adam Hall , Surrey , Corporate"/>
    <s v="Calgary North"/>
    <s v="R. Singh"/>
    <s v="Online"/>
    <n v="2"/>
    <n v="31.95"/>
    <n v="0.05"/>
    <s v="PayPal"/>
    <n v="5"/>
    <s v="No"/>
    <x v="2"/>
    <s v="Calgary North"/>
    <s v="PayPal"/>
    <s v="C0026"/>
    <s v="Adam Hall"/>
    <s v="Surrey"/>
    <s v="Corporate"/>
    <s v="Air Fryer"/>
    <x v="3"/>
    <n v="14.58"/>
    <n v="63.9"/>
    <n v="3.1950000000000003"/>
    <n v="60.704999999999998"/>
    <n v="29.16"/>
    <n v="31.544999999999998"/>
    <n v="0.51964418087472197"/>
    <n v="0"/>
    <n v="2025"/>
    <n v="2"/>
    <s v="février"/>
    <s v="Q1"/>
    <d v="2025-02-01T00:00:00"/>
    <x v="3"/>
  </r>
  <r>
    <s v="ORD-2025-00582"/>
    <d v="2025-12-27T00:00:00"/>
    <s v="C0114"/>
    <s v="P1002"/>
    <s v="Olivia Johnson, Ottawa, Consumer"/>
    <s v="Calgary North"/>
    <s v="S. Patel"/>
    <s v="Retail Store"/>
    <n v="1"/>
    <n v="39.03"/>
    <n v="0.2"/>
    <s v="Credit Card"/>
    <n v="0"/>
    <s v="No"/>
    <x v="0"/>
    <s v="Calgary North"/>
    <s v="Credit Card"/>
    <s v="C0114"/>
    <s v="Olivia Johnson"/>
    <s v="Ottawa"/>
    <s v="Consumer"/>
    <s v="Keyboard"/>
    <x v="0"/>
    <n v="23.5"/>
    <n v="39.03"/>
    <n v="7.8060000000000009"/>
    <n v="31.224"/>
    <n v="23.5"/>
    <n v="7.7240000000000002"/>
    <n v="0.24737381501409172"/>
    <n v="0"/>
    <n v="2025"/>
    <n v="12"/>
    <s v="décembre"/>
    <s v="Q4"/>
    <d v="2025-12-01T00:00:00"/>
    <x v="1"/>
  </r>
  <r>
    <s v="ORD-2025-00583"/>
    <d v="2025-05-08T00:00:00"/>
    <s v="C0035"/>
    <s v="P1028"/>
    <s v="Amelia Scott, Edmonton, Small Business"/>
    <s v="Vancouver West"/>
    <s v="E. Roy"/>
    <s v="Online"/>
    <n v="1"/>
    <n v="377.22"/>
    <n v="0.05"/>
    <s v="Debit Card"/>
    <n v="7"/>
    <s v="No"/>
    <x v="2"/>
    <s v="Vancouver West"/>
    <s v="Debit Card"/>
    <s v="C0035"/>
    <s v="Amelia Scott"/>
    <s v="Edmonton"/>
    <s v="Small Business"/>
    <s v="Foam Roller"/>
    <x v="2"/>
    <n v="212.02"/>
    <n v="377.22"/>
    <n v="18.861000000000001"/>
    <n v="358.35900000000004"/>
    <n v="212.02"/>
    <n v="146.33900000000003"/>
    <n v="0.40835865710084024"/>
    <n v="0"/>
    <n v="2025"/>
    <n v="5"/>
    <s v="mai"/>
    <s v="Q2"/>
    <d v="2025-05-01T00:00:00"/>
    <x v="0"/>
  </r>
  <r>
    <s v="ORD-2025-00584"/>
    <d v="2025-11-27T00:00:00"/>
    <s v="C0064"/>
    <s v="P1040"/>
    <s v="Amine Khan, Edmonton, Consumer"/>
    <s v="Vancouver West"/>
    <s v="M. Wilson"/>
    <s v="Retail Store"/>
    <n v="3"/>
    <n v="292.93"/>
    <n v="0.05"/>
    <s v="Debit Card"/>
    <n v="0"/>
    <s v="No"/>
    <x v="0"/>
    <s v="Vancouver West"/>
    <s v="Debit Card"/>
    <s v="C0064"/>
    <s v="Amine Khan"/>
    <s v="Edmonton"/>
    <s v="Consumer"/>
    <s v="Desk Pad"/>
    <x v="4"/>
    <n v="177.57"/>
    <n v="878.79"/>
    <n v="43.939500000000002"/>
    <n v="834.85050000000001"/>
    <n v="532.71"/>
    <n v="302.14049999999997"/>
    <n v="0.36190970718709514"/>
    <n v="0"/>
    <n v="2025"/>
    <n v="11"/>
    <s v="novembre"/>
    <s v="Q4"/>
    <d v="2025-11-01T00:00:00"/>
    <x v="0"/>
  </r>
  <r>
    <s v="ORD-2025-00585"/>
    <d v="2025-03-02T00:00:00"/>
    <s v="C0052"/>
    <s v="P1002"/>
    <s v="Liam Bennett, Edmonton, Corporate"/>
    <s v="Calgary North"/>
    <s v="S. Patel"/>
    <s v="Online"/>
    <n v="1"/>
    <n v="36.51"/>
    <n v="0"/>
    <s v="PayPal"/>
    <n v="9"/>
    <s v="No"/>
    <x v="2"/>
    <s v="Calgary North"/>
    <s v="PayPal"/>
    <s v="C0052"/>
    <s v="Liam Bennett"/>
    <s v="Edmonton"/>
    <s v="Corporate"/>
    <s v="Keyboard"/>
    <x v="0"/>
    <n v="23.5"/>
    <n v="36.51"/>
    <n v="0"/>
    <n v="36.51"/>
    <n v="23.5"/>
    <n v="13.009999999999998"/>
    <n v="0.3563407285675157"/>
    <n v="0"/>
    <n v="2025"/>
    <n v="3"/>
    <s v="mars"/>
    <s v="Q1"/>
    <d v="2025-03-01T00:00:00"/>
    <x v="0"/>
  </r>
  <r>
    <s v="ORD-2025-00586"/>
    <d v="2025-12-02T00:00:00"/>
    <s v="C0049"/>
    <s v="P1003"/>
    <s v="Olivia Scott, Quebec City, Consumer"/>
    <s v="Calgary North"/>
    <s v="J. Tremblay"/>
    <s v="Online"/>
    <n v="1"/>
    <n v="165.55"/>
    <n v="0.05"/>
    <s v="Credit Card"/>
    <n v="7"/>
    <s v="No"/>
    <x v="2"/>
    <s v="Calgary North"/>
    <s v="Credit Card"/>
    <s v="C0049"/>
    <s v="Olivia Scott"/>
    <s v="Quebec City"/>
    <s v="Consumer"/>
    <s v="Mouse"/>
    <x v="0"/>
    <n v="106.4"/>
    <n v="165.55"/>
    <n v="8.2775000000000016"/>
    <n v="157.27250000000001"/>
    <n v="106.4"/>
    <n v="50.872500000000002"/>
    <n v="0.32346723044397463"/>
    <n v="0"/>
    <n v="2025"/>
    <n v="12"/>
    <s v="décembre"/>
    <s v="Q4"/>
    <d v="2025-12-01T00:00:00"/>
    <x v="4"/>
  </r>
  <r>
    <s v="ORD-2025-00587"/>
    <d v="2025-11-18T00:00:00"/>
    <s v="C0085"/>
    <s v="P1031"/>
    <s v="Yasmine Clark, Calgary, Consumer"/>
    <s v="Montreal Central"/>
    <s v="E. Roy"/>
    <s v="Retail Store"/>
    <n v="1"/>
    <n v="242.19"/>
    <n v="0"/>
    <s v="Gift Card"/>
    <n v="1"/>
    <s v="No"/>
    <x v="0"/>
    <s v="Montreal Central"/>
    <s v="Gift Card"/>
    <s v="C0085"/>
    <s v="Yasmine Clark"/>
    <s v="Calgary"/>
    <s v="Consumer"/>
    <s v="Dumbbell Set"/>
    <x v="2"/>
    <n v="131.72999999999999"/>
    <n v="242.19"/>
    <n v="0"/>
    <n v="242.19"/>
    <n v="131.72999999999999"/>
    <n v="110.46000000000001"/>
    <n v="0.45608819521863003"/>
    <n v="0"/>
    <n v="2025"/>
    <n v="11"/>
    <s v="novembre"/>
    <s v="Q4"/>
    <d v="2025-11-01T00:00:00"/>
    <x v="0"/>
  </r>
  <r>
    <s v="ORD-2025-00588"/>
    <d v="2025-07-08T00:00:00"/>
    <s v="C0091"/>
    <s v="P1024"/>
    <s v="Leo Taylor, Victoria, Small Business"/>
    <s v="Vancouver West"/>
    <s v="S. Patel"/>
    <s v="Marketplace"/>
    <n v="1"/>
    <n v="102.63"/>
    <n v="0.05"/>
    <s v="PayPal"/>
    <n v="3"/>
    <s v="No"/>
    <x v="1"/>
    <s v="Vancouver West"/>
    <s v="PayPal"/>
    <s v="C0091"/>
    <s v="Leo Taylor"/>
    <s v="Victoria"/>
    <s v="Small Business"/>
    <s v="Food Scale"/>
    <x v="3"/>
    <n v="46.07"/>
    <n v="102.63"/>
    <n v="5.1315"/>
    <n v="97.498499999999993"/>
    <n v="46.07"/>
    <n v="51.428499999999993"/>
    <n v="0.52747990994733251"/>
    <n v="0"/>
    <n v="2025"/>
    <n v="7"/>
    <s v="juillet"/>
    <s v="Q3"/>
    <d v="2025-07-01T00:00:00"/>
    <x v="3"/>
  </r>
  <r>
    <s v="ORD-2025-00589"/>
    <d v="2025-01-07T00:00:00"/>
    <s v="C0048"/>
    <s v="P1031"/>
    <s v="Amelia Brown, Quebec City, Corporate"/>
    <s v="Toronto Downtown"/>
    <s v="E. Roy"/>
    <s v="Online"/>
    <n v="2"/>
    <n v="250.16"/>
    <n v="0"/>
    <s v="Debit  Card"/>
    <n v="7"/>
    <s v="No"/>
    <x v="2"/>
    <s v="Toronto Downtown"/>
    <s v="Debit Card"/>
    <s v="C0048"/>
    <s v="Amelia Brown"/>
    <s v="Quebec City"/>
    <s v="Corporate"/>
    <s v="Dumbbell Set"/>
    <x v="2"/>
    <n v="131.72999999999999"/>
    <n v="500.32"/>
    <n v="0"/>
    <n v="500.32"/>
    <n v="263.45999999999998"/>
    <n v="236.86"/>
    <n v="0.47341701311160861"/>
    <n v="0"/>
    <n v="2025"/>
    <n v="1"/>
    <s v="janvier"/>
    <s v="Q1"/>
    <d v="2025-01-01T00:00:00"/>
    <x v="4"/>
  </r>
  <r>
    <s v="ORD-2025-00590"/>
    <d v="2025-02-17T00:00:00"/>
    <s v="C0047"/>
    <s v="P1019"/>
    <s v="Amine King, Victoria, Consumer"/>
    <s v="Montreal Central"/>
    <s v="R. Singh"/>
    <s v="Online"/>
    <n v="1"/>
    <n v="285.14999999999998"/>
    <n v="0.05"/>
    <s v="Debit Card"/>
    <n v="5"/>
    <s v="No"/>
    <x v="2"/>
    <s v="Montreal Central"/>
    <s v="Debit Card"/>
    <s v="C0047"/>
    <s v="Amine King"/>
    <s v="Victoria"/>
    <s v="Consumer"/>
    <s v="Vacuum"/>
    <x v="3"/>
    <n v="186.94"/>
    <n v="285.14999999999998"/>
    <n v="14.2575"/>
    <n v="270.89249999999998"/>
    <n v="186.94"/>
    <n v="83.952499999999986"/>
    <n v="0.30991075795749234"/>
    <n v="0"/>
    <n v="2025"/>
    <n v="2"/>
    <s v="février"/>
    <s v="Q1"/>
    <d v="2025-02-01T00:00:00"/>
    <x v="3"/>
  </r>
  <r>
    <s v="ORD-2025-00591"/>
    <d v="2025-04-28T00:00:00"/>
    <s v="C0022"/>
    <s v="P1016"/>
    <s v="Adam White , Victoria , Consumer"/>
    <s v="Toronto Downtown"/>
    <s v="J. Tremblay"/>
    <s v="Retail Store"/>
    <n v="2"/>
    <n v="334.51"/>
    <n v="0.15"/>
    <s v="CC"/>
    <n v="1"/>
    <s v="No"/>
    <x v="0"/>
    <s v="Toronto Downtown"/>
    <s v="Credit Card"/>
    <s v="C0022"/>
    <s v="Adam White"/>
    <s v="Victoria"/>
    <s v="Consumer"/>
    <s v="Printer"/>
    <x v="1"/>
    <n v="156.75"/>
    <n v="669.02"/>
    <n v="100.35299999999999"/>
    <n v="568.66700000000003"/>
    <n v="313.5"/>
    <n v="255.16700000000003"/>
    <n v="0.44871075691045903"/>
    <n v="0"/>
    <n v="2025"/>
    <n v="4"/>
    <s v="avril"/>
    <s v="Q2"/>
    <d v="2025-04-01T00:00:00"/>
    <x v="3"/>
  </r>
  <r>
    <s v="ORD-2025-00592"/>
    <d v="2025-07-11T00:00:00"/>
    <s v="C0089"/>
    <s v="P1004"/>
    <s v="Lucas Martin, Vancouver, Consumer"/>
    <s v="Online Fulfillment"/>
    <s v="J. Tremblay"/>
    <s v="Online"/>
    <n v="3"/>
    <n v="286.7"/>
    <n v="0"/>
    <s v="PayPal"/>
    <n v="6"/>
    <s v="No"/>
    <x v="2"/>
    <s v="Online Fulfillment"/>
    <s v="PayPal"/>
    <s v="C0089"/>
    <s v="Lucas Martin"/>
    <s v="Vancouver"/>
    <s v="Consumer"/>
    <s v="Webcam"/>
    <x v="0"/>
    <n v="154.72999999999999"/>
    <n v="860.09999999999991"/>
    <n v="0"/>
    <n v="860.09999999999991"/>
    <n v="464.18999999999994"/>
    <n v="395.90999999999997"/>
    <n v="0.46030694105336589"/>
    <n v="0"/>
    <n v="2025"/>
    <n v="7"/>
    <s v="juillet"/>
    <s v="Q3"/>
    <d v="2025-07-01T00:00:00"/>
    <x v="3"/>
  </r>
  <r>
    <s v="ORD-2025-00593"/>
    <d v="2025-03-31T00:00:00"/>
    <s v="C0020"/>
    <s v="P1014"/>
    <s v="Nora Khan, Mississauga, Consumer"/>
    <s v="Online Fulfillment"/>
    <s v="J. Tremblay"/>
    <s v="Online"/>
    <n v="1"/>
    <n v="227.24"/>
    <n v="0.1"/>
    <s v="Debit Card"/>
    <n v="5"/>
    <s v="No"/>
    <x v="2"/>
    <s v="Online Fulfillment"/>
    <s v="Debit Card"/>
    <s v="C0020"/>
    <s v="Nora Khan"/>
    <s v="Mississauga"/>
    <s v="Consumer"/>
    <s v="Document Shredder"/>
    <x v="1"/>
    <n v="117.65"/>
    <n v="227.24"/>
    <n v="22.724000000000004"/>
    <n v="204.51600000000002"/>
    <n v="117.65"/>
    <n v="86.866000000000014"/>
    <n v="0.4247393846936181"/>
    <n v="0"/>
    <n v="2025"/>
    <n v="3"/>
    <s v="mars"/>
    <s v="Q1"/>
    <d v="2025-03-01T00:00:00"/>
    <x v="1"/>
  </r>
  <r>
    <s v="ORD-2025-00594"/>
    <d v="2025-09-16T00:00:00"/>
    <s v="C0038"/>
    <s v="P1032"/>
    <s v="Noah Brown, Montreal, Consumer"/>
    <s v="Toronto Downtown"/>
    <s v="R. Singh"/>
    <s v="Marketplace"/>
    <n v="4"/>
    <n v="197.43"/>
    <n v="0"/>
    <s v="CC"/>
    <n v="4"/>
    <s v="No"/>
    <x v="1"/>
    <s v="Toronto Downtown"/>
    <s v="Credit Card"/>
    <s v="C0038"/>
    <s v="Noah Brown"/>
    <s v="Montreal"/>
    <s v="Consumer"/>
    <s v="Gym Bag"/>
    <x v="2"/>
    <n v="132.72"/>
    <n v="789.72"/>
    <n v="0"/>
    <n v="789.72"/>
    <n v="530.88"/>
    <n v="258.84000000000003"/>
    <n v="0.32776173833763866"/>
    <n v="0"/>
    <n v="2025"/>
    <n v="9"/>
    <s v="septembre"/>
    <s v="Q3"/>
    <d v="2025-09-01T00:00:00"/>
    <x v="4"/>
  </r>
  <r>
    <s v="ORD-2025-00595"/>
    <d v="2025-03-12T00:00:00"/>
    <s v="C0103"/>
    <s v="P1005"/>
    <s v="Zoe Singh, Saskatoon, Corporate"/>
    <s v="Toronto Downtown"/>
    <s v="E. Roy"/>
    <s v="Online"/>
    <n v="1"/>
    <n v="247.8"/>
    <n v="0.2"/>
    <s v="PayPal"/>
    <n v="3"/>
    <s v="No"/>
    <x v="2"/>
    <s v="Toronto Downtown"/>
    <s v="PayPal"/>
    <s v="C0103"/>
    <s v="Zoe Singh"/>
    <s v="Saskatoon"/>
    <s v="Corporate"/>
    <s v="Portable SSD"/>
    <x v="0"/>
    <n v="131.19"/>
    <n v="247.8"/>
    <n v="49.56"/>
    <n v="198.24"/>
    <n v="131.19"/>
    <n v="67.050000000000011"/>
    <n v="0.338226392251816"/>
    <n v="0"/>
    <n v="2025"/>
    <n v="3"/>
    <s v="mars"/>
    <s v="Q1"/>
    <d v="2025-03-01T00:00:00"/>
    <x v="5"/>
  </r>
  <r>
    <s v="ORD-2025-00596"/>
    <d v="2025-04-09T00:00:00"/>
    <s v="C0079"/>
    <s v="P1007"/>
    <s v="Sophia Scott, Ottawa, Consumer"/>
    <s v="Montreal Central"/>
    <s v="J. Tremblay"/>
    <s v="Online"/>
    <n v="1"/>
    <n v="347.2"/>
    <n v="0.25"/>
    <s v="Credit Card"/>
    <n v="3"/>
    <s v="No"/>
    <x v="2"/>
    <s v="Montreal Central"/>
    <s v="Credit Card"/>
    <s v="C0079"/>
    <s v="Sophia Scott"/>
    <s v="Ottawa"/>
    <s v="Consumer"/>
    <s v="Monitor"/>
    <x v="0"/>
    <n v="224.47"/>
    <n v="347.2"/>
    <n v="86.8"/>
    <n v="260.39999999999998"/>
    <n v="224.47"/>
    <n v="35.929999999999978"/>
    <n v="0.13798003072196613"/>
    <n v="0"/>
    <n v="2025"/>
    <n v="4"/>
    <s v="avril"/>
    <s v="Q2"/>
    <d v="2025-04-01T00:00:00"/>
    <x v="1"/>
  </r>
  <r>
    <s v="ORD-2025-00597"/>
    <d v="2025-10-06T00:00:00"/>
    <s v="C0047"/>
    <s v="P1038"/>
    <s v="Amine King, Victoria, Consumer"/>
    <s v="Calgary North"/>
    <s v="M. Wilson"/>
    <s v="Retail Store"/>
    <n v="2"/>
    <n v="269.25"/>
    <n v="0.15"/>
    <s v="Credit Card"/>
    <n v="4"/>
    <s v="No"/>
    <x v="0"/>
    <s v="Calgary North"/>
    <s v="Credit Card"/>
    <s v="C0047"/>
    <s v="Amine King"/>
    <s v="Victoria"/>
    <s v="Consumer"/>
    <s v="Water Bottle"/>
    <x v="4"/>
    <n v="119.16"/>
    <n v="538.5"/>
    <n v="80.774999999999991"/>
    <n v="457.72500000000002"/>
    <n v="238.32"/>
    <n v="219.40500000000003"/>
    <n v="0.47933803047681472"/>
    <n v="0"/>
    <n v="2025"/>
    <n v="10"/>
    <s v="octobre"/>
    <s v="Q4"/>
    <d v="2025-10-01T00:00:00"/>
    <x v="3"/>
  </r>
  <r>
    <s v="ORD-2025-00598"/>
    <d v="2025-06-23T00:00:00"/>
    <s v="C0018"/>
    <s v="P1032"/>
    <s v="Sophia Tremblay, Laval, Small Business"/>
    <s v="Calgary North"/>
    <s v="J. Tremblay"/>
    <s v="Online"/>
    <n v="2"/>
    <n v="203.99"/>
    <n v="0"/>
    <s v="Credit Card"/>
    <n v="3"/>
    <s v="No"/>
    <x v="2"/>
    <s v="Calgary North"/>
    <s v="Credit Card"/>
    <s v="C0018"/>
    <s v="Sophia Tremblay"/>
    <s v="Laval"/>
    <s v="Small Business"/>
    <s v="Gym Bag"/>
    <x v="2"/>
    <n v="132.72"/>
    <n v="407.98"/>
    <n v="0"/>
    <n v="407.98"/>
    <n v="265.44"/>
    <n v="142.54000000000002"/>
    <n v="0.34937987156233152"/>
    <n v="0"/>
    <n v="2025"/>
    <n v="6"/>
    <s v="juin"/>
    <s v="Q2"/>
    <d v="2025-06-01T00:00:00"/>
    <x v="4"/>
  </r>
  <r>
    <s v="ORD-2025-00599"/>
    <d v="2025-07-04T00:00:00"/>
    <s v="C0115"/>
    <s v="P1029"/>
    <s v="Nora Lee, Calgary, Consumer"/>
    <s v="Online Fulfillment"/>
    <s v="M. Wilson"/>
    <s v="Online"/>
    <n v="2"/>
    <n v="212.05"/>
    <n v="0"/>
    <s v="Credit Card"/>
    <n v="2"/>
    <s v="No"/>
    <x v="2"/>
    <s v="Online Fulfillment"/>
    <s v="Credit Card"/>
    <s v="C0115"/>
    <s v="Nora Lee"/>
    <s v="Calgary"/>
    <s v="Consumer"/>
    <s v="Jump Rope"/>
    <x v="2"/>
    <n v="101"/>
    <n v="424.1"/>
    <n v="0"/>
    <n v="424.1"/>
    <n v="202"/>
    <n v="222.10000000000002"/>
    <n v="0.52369724121669425"/>
    <n v="0"/>
    <n v="2025"/>
    <n v="7"/>
    <s v="juillet"/>
    <s v="Q3"/>
    <d v="2025-07-01T00:00:00"/>
    <x v="0"/>
  </r>
  <r>
    <s v="ORD-2025-00600"/>
    <d v="2025-10-19T00:00:00"/>
    <s v="C0115"/>
    <s v="P1014"/>
    <s v="Nora Lee, Calgary, Consumer"/>
    <s v="Toronto Downtown"/>
    <s v="J. Tremblay"/>
    <s v="Online"/>
    <n v="1"/>
    <n v="228.4"/>
    <n v="0.05"/>
    <s v="Debit Card"/>
    <n v="7"/>
    <s v="No"/>
    <x v="2"/>
    <s v="Toronto Downtown"/>
    <s v="Debit Card"/>
    <s v="C0115"/>
    <s v="Nora Lee"/>
    <s v="Calgary"/>
    <s v="Consumer"/>
    <s v="Document Shredder"/>
    <x v="1"/>
    <n v="117.65"/>
    <n v="228.4"/>
    <n v="11.420000000000002"/>
    <n v="216.98000000000002"/>
    <n v="117.65"/>
    <n v="99.330000000000013"/>
    <n v="0.45778412756936127"/>
    <n v="0"/>
    <n v="2025"/>
    <n v="10"/>
    <s v="octobre"/>
    <s v="Q4"/>
    <d v="2025-10-01T00:00:00"/>
    <x v="0"/>
  </r>
  <r>
    <s v="ORD-2025-00601"/>
    <d v="2025-01-22T00:00:00"/>
    <s v="C0091"/>
    <s v="P1025"/>
    <s v="Leo Taylor, Victoria, Small Business"/>
    <s v="Calgary North"/>
    <s v="E. Roy"/>
    <s v="Online"/>
    <n v="3"/>
    <n v="308.48"/>
    <n v="0.2"/>
    <s v="Debit Card"/>
    <n v="7"/>
    <s v="No"/>
    <x v="2"/>
    <s v="Calgary North"/>
    <s v="Debit Card"/>
    <s v="C0091"/>
    <s v="Leo Taylor"/>
    <s v="Victoria"/>
    <s v="Small Business"/>
    <s v="Yoga Mat"/>
    <x v="2"/>
    <n v="197.33"/>
    <n v="925.44"/>
    <n v="185.08800000000002"/>
    <n v="740.35200000000009"/>
    <n v="591.99"/>
    <n v="148.36200000000008"/>
    <n v="0.2003938667012449"/>
    <n v="0"/>
    <n v="2025"/>
    <n v="1"/>
    <s v="janvier"/>
    <s v="Q1"/>
    <d v="2025-01-01T00:00:00"/>
    <x v="3"/>
  </r>
  <r>
    <s v="ORD-2025-00602"/>
    <d v="2025-06-08T00:00:00"/>
    <s v="C0079"/>
    <s v="P1034"/>
    <s v="Sophia Scott, Ottawa, Consumer"/>
    <s v="Vancouver West"/>
    <s v="L. Chen"/>
    <s v="Retail Store"/>
    <n v="1"/>
    <n v="137.82"/>
    <n v="0.1"/>
    <s v="PayPal"/>
    <n v="2"/>
    <s v="No"/>
    <x v="0"/>
    <s v="Vancouver West"/>
    <s v="PayPal"/>
    <s v="C0079"/>
    <s v="Sophia Scott"/>
    <s v="Ottawa"/>
    <s v="Consumer"/>
    <s v="Laptop Sleeve"/>
    <x v="4"/>
    <n v="78.95"/>
    <n v="137.82"/>
    <n v="13.782"/>
    <n v="124.038"/>
    <n v="78.95"/>
    <n v="45.087999999999994"/>
    <n v="0.36350150760250888"/>
    <n v="0"/>
    <n v="2025"/>
    <n v="6"/>
    <s v="juin"/>
    <s v="Q2"/>
    <d v="2025-06-01T00:00:00"/>
    <x v="1"/>
  </r>
  <r>
    <s v="ORD-2025-00603"/>
    <d v="2025-10-27T00:00:00"/>
    <s v="C0049"/>
    <s v="P1001"/>
    <s v="Olivia Scott, Quebec City, Consumer"/>
    <s v="Vancouver West"/>
    <s v="M. Wilson"/>
    <s v="Online"/>
    <n v="1"/>
    <n v="355.43"/>
    <n v="0.05"/>
    <s v="PayPal"/>
    <n v="4"/>
    <s v="No"/>
    <x v="2"/>
    <s v="Vancouver West"/>
    <s v="PayPal"/>
    <s v="C0049"/>
    <s v="Olivia Scott"/>
    <s v="Quebec City"/>
    <s v="Consumer"/>
    <s v="Headphones"/>
    <x v="0"/>
    <n v="254.6"/>
    <n v="355.43"/>
    <n v="17.7715"/>
    <n v="337.6585"/>
    <n v="254.6"/>
    <n v="83.058500000000009"/>
    <n v="0.24598373800748391"/>
    <n v="0"/>
    <n v="2025"/>
    <n v="10"/>
    <s v="octobre"/>
    <s v="Q4"/>
    <d v="2025-10-01T00:00:00"/>
    <x v="4"/>
  </r>
  <r>
    <s v="ORD-2025-00604"/>
    <d v="2025-08-30T00:00:00"/>
    <s v="C0070"/>
    <s v="P1035"/>
    <s v="Sophia Young, Halifax, Corporate"/>
    <s v="Montreal Central"/>
    <s v="L. Chen"/>
    <s v="Retail Store"/>
    <n v="1"/>
    <n v="83.52"/>
    <n v="0.2"/>
    <s v="Debit Card"/>
    <n v="1"/>
    <s v="No"/>
    <x v="0"/>
    <s v="Montreal Central"/>
    <s v="Debit Card"/>
    <s v="C0070"/>
    <s v="Sophia Young"/>
    <s v="Halifax"/>
    <s v="Corporate"/>
    <s v="Phone Stand"/>
    <x v="4"/>
    <n v="59.85"/>
    <n v="83.52"/>
    <n v="16.704000000000001"/>
    <n v="66.816000000000003"/>
    <n v="59.85"/>
    <n v="6.9660000000000011"/>
    <n v="0.1042564655172414"/>
    <n v="0"/>
    <n v="2025"/>
    <n v="8"/>
    <s v="août"/>
    <s v="Q3"/>
    <d v="2025-08-01T00:00:00"/>
    <x v="2"/>
  </r>
  <r>
    <s v="ORD-2025-00605"/>
    <d v="2025-01-31T00:00:00"/>
    <s v="C0072"/>
    <s v="P1029"/>
    <s v="Ryan Bennett, Montreal, Corporate"/>
    <s v="Montreal Central"/>
    <s v="J. Tremblay"/>
    <s v="Retail Store"/>
    <n v="2"/>
    <n v="207.51"/>
    <n v="0"/>
    <s v="Gift Card"/>
    <n v="3"/>
    <s v="No"/>
    <x v="0"/>
    <s v="Montreal Central"/>
    <s v="Gift Card"/>
    <s v="C0072"/>
    <s v="Ryan Bennett"/>
    <s v="Montreal"/>
    <s v="Corporate"/>
    <s v="Jump Rope"/>
    <x v="2"/>
    <n v="101"/>
    <n v="415.02"/>
    <n v="0"/>
    <n v="415.02"/>
    <n v="202"/>
    <n v="213.01999999999998"/>
    <n v="0.51327646860392273"/>
    <n v="0"/>
    <n v="2025"/>
    <n v="1"/>
    <s v="janvier"/>
    <s v="Q1"/>
    <d v="2025-01-01T00:00:00"/>
    <x v="4"/>
  </r>
  <r>
    <s v="ORD-2025-00606"/>
    <d v="2025-09-04T00:00:00"/>
    <s v="C0030"/>
    <s v="P1024"/>
    <s v="Emma Lee, Calgary, Corporate"/>
    <s v="Montreal Central"/>
    <s v="S. Patel"/>
    <s v="Online"/>
    <n v="1"/>
    <n v="106.45"/>
    <n v="0.1"/>
    <s v="Credit Card"/>
    <n v="7"/>
    <s v="No"/>
    <x v="2"/>
    <s v="Montreal Central"/>
    <s v="Credit Card"/>
    <s v="C0030"/>
    <s v="Emma Lee"/>
    <s v="Calgary"/>
    <s v="Corporate"/>
    <s v="Food Scale"/>
    <x v="3"/>
    <n v="46.07"/>
    <n v="106.45"/>
    <n v="10.645000000000001"/>
    <n v="95.805000000000007"/>
    <n v="46.07"/>
    <n v="49.735000000000007"/>
    <n v="0.5191273941861072"/>
    <n v="0"/>
    <n v="2025"/>
    <n v="9"/>
    <s v="septembre"/>
    <s v="Q3"/>
    <d v="2025-09-01T00:00:00"/>
    <x v="0"/>
  </r>
  <r>
    <s v="ORD-2025-00607"/>
    <d v="2025-05-24T00:00:00"/>
    <s v="C0019"/>
    <s v="P1018"/>
    <s v="Lucas Taylor, Montreal, Small Business"/>
    <s v="Toronto Downtown"/>
    <s v="J. Tremblay"/>
    <s v="Online"/>
    <n v="1"/>
    <n v="31.95"/>
    <n v="0.15"/>
    <s v="Credit Card"/>
    <n v="4"/>
    <s v="No"/>
    <x v="2"/>
    <s v="Toronto Downtown"/>
    <s v="Credit Card"/>
    <s v="C0019"/>
    <s v="Lucas Taylor"/>
    <s v="Montreal"/>
    <s v="Small Business"/>
    <s v="Air Fryer"/>
    <x v="3"/>
    <n v="14.58"/>
    <n v="31.95"/>
    <n v="4.7924999999999995"/>
    <n v="27.157499999999999"/>
    <n v="14.58"/>
    <n v="12.577499999999999"/>
    <n v="0.46313173156586573"/>
    <n v="0"/>
    <n v="2025"/>
    <n v="5"/>
    <s v="mai"/>
    <s v="Q2"/>
    <d v="2025-05-01T00:00:00"/>
    <x v="4"/>
  </r>
  <r>
    <s v="ORD-2025-00608"/>
    <d v="2025-11-04T00:00:00"/>
    <s v="C0108"/>
    <s v="P1027"/>
    <s v="Noah Lee, Surrey, Consumer"/>
    <s v="Toronto Downtown"/>
    <s v="R. Singh"/>
    <s v="Online"/>
    <n v="1"/>
    <n v="54.15"/>
    <n v="0"/>
    <s v="Credit Card"/>
    <n v="9"/>
    <s v="No"/>
    <x v="2"/>
    <s v="Toronto Downtown"/>
    <s v="Credit Card"/>
    <s v="C0108"/>
    <s v="Noah Lee"/>
    <s v="Surrey"/>
    <s v="Consumer"/>
    <s v="Kettlebell"/>
    <x v="2"/>
    <n v="25.97"/>
    <n v="54.15"/>
    <n v="0"/>
    <n v="54.15"/>
    <n v="25.97"/>
    <n v="28.18"/>
    <n v="0.52040627885503232"/>
    <n v="0"/>
    <n v="2025"/>
    <n v="11"/>
    <s v="novembre"/>
    <s v="Q4"/>
    <d v="2025-11-01T00:00:00"/>
    <x v="3"/>
  </r>
  <r>
    <s v="ORD-2025-00609"/>
    <d v="2025-11-10T00:00:00"/>
    <s v="C0037"/>
    <s v="P1038"/>
    <s v="Lucas Scott , Victoria , Small Business"/>
    <s v="Online Fulfillment"/>
    <s v="R. Singh"/>
    <s v="Online"/>
    <n v="1"/>
    <n v="275.77999999999997"/>
    <n v="0.05"/>
    <s v="Credit Card"/>
    <n v="4"/>
    <s v="No"/>
    <x v="2"/>
    <s v="Online Fulfillment"/>
    <s v="Credit Card"/>
    <s v="C0037"/>
    <s v="Lucas Scott"/>
    <s v="Victoria"/>
    <s v="Small Business"/>
    <s v="Water Bottle"/>
    <x v="4"/>
    <n v="119.16"/>
    <n v="275.77999999999997"/>
    <n v="13.789"/>
    <n v="261.99099999999999"/>
    <n v="119.16"/>
    <n v="142.83099999999999"/>
    <n v="0.54517521594253238"/>
    <n v="0"/>
    <n v="2025"/>
    <n v="11"/>
    <s v="novembre"/>
    <s v="Q4"/>
    <d v="2025-11-01T00:00:00"/>
    <x v="3"/>
  </r>
  <r>
    <s v="ORD-2025-00610"/>
    <d v="2025-07-04T00:00:00"/>
    <s v="C0068"/>
    <s v="P1030"/>
    <s v="Yasmine Martin, Calgary, Consumer"/>
    <s v="Toronto Downtown"/>
    <s v="E. Roy"/>
    <s v="Retail Store"/>
    <n v="1"/>
    <n v="241.92"/>
    <n v="0.1"/>
    <s v="Credit Card"/>
    <n v="0"/>
    <s v="No"/>
    <x v="0"/>
    <s v="Toronto Downtown"/>
    <s v="Credit Card"/>
    <s v="C0068"/>
    <s v="Yasmine Martin"/>
    <s v="Calgary"/>
    <s v="Consumer"/>
    <s v="Pull-up Bar"/>
    <x v="2"/>
    <n v="125.4"/>
    <n v="241.92"/>
    <n v="24.192"/>
    <n v="217.72799999999998"/>
    <n v="125.4"/>
    <n v="92.327999999999975"/>
    <n v="0.42405202821869481"/>
    <n v="0"/>
    <n v="2025"/>
    <n v="7"/>
    <s v="juillet"/>
    <s v="Q3"/>
    <d v="2025-07-01T00:00:00"/>
    <x v="0"/>
  </r>
  <r>
    <s v="ORD-2025-00611"/>
    <d v="2025-04-16T00:00:00"/>
    <s v="C0060"/>
    <s v="P1032"/>
    <s v="Sarah Wilson , Quebec City , Corporate"/>
    <s v="Montreal Central"/>
    <s v="N. Brown"/>
    <s v="Online"/>
    <n v="2"/>
    <n v="209.11"/>
    <n v="0.05"/>
    <s v="Debit Card"/>
    <n v="8"/>
    <s v="No"/>
    <x v="2"/>
    <s v="Montreal Central"/>
    <s v="Debit Card"/>
    <s v="C0060"/>
    <s v="Sarah Wilson"/>
    <s v="Quebec City"/>
    <s v="Corporate"/>
    <s v="Gym Bag"/>
    <x v="2"/>
    <n v="132.72"/>
    <n v="418.22"/>
    <n v="20.911000000000001"/>
    <n v="397.30900000000003"/>
    <n v="265.44"/>
    <n v="131.86900000000003"/>
    <n v="0.33190539353500681"/>
    <n v="0"/>
    <n v="2025"/>
    <n v="4"/>
    <s v="avril"/>
    <s v="Q2"/>
    <d v="2025-04-01T00:00:00"/>
    <x v="4"/>
  </r>
  <r>
    <s v="ORD-2025-00612"/>
    <d v="2025-05-03T00:00:00"/>
    <s v="C0066"/>
    <s v="P1036"/>
    <s v="Noah Clark, Laval, Consumer"/>
    <s v="Vancouver West"/>
    <s v="A. Morgan"/>
    <s v="Online"/>
    <n v="1"/>
    <n v="156.22"/>
    <n v="0.25"/>
    <s v="PayPal"/>
    <n v="8"/>
    <s v="Yes"/>
    <x v="2"/>
    <s v="Vancouver West"/>
    <s v="PayPal"/>
    <s v="C0066"/>
    <s v="Noah Clark"/>
    <s v="Laval"/>
    <s v="Consumer"/>
    <s v="Power Bank"/>
    <x v="4"/>
    <n v="76.97"/>
    <n v="156.22"/>
    <n v="39.055"/>
    <n v="117.16499999999999"/>
    <n v="76.97"/>
    <n v="40.194999999999993"/>
    <n v="0.34306320146801517"/>
    <n v="1"/>
    <n v="2025"/>
    <n v="5"/>
    <s v="mai"/>
    <s v="Q2"/>
    <d v="2025-05-01T00:00:00"/>
    <x v="4"/>
  </r>
  <r>
    <s v="ORD-2025-00613"/>
    <d v="2025-10-16T00:00:00"/>
    <s v="C0005"/>
    <s v="P1006"/>
    <s v="Yasmine Taylor, Calgary, Consumer"/>
    <s v="Toronto Downtown"/>
    <s v="N. Brown"/>
    <s v="Retail Store"/>
    <n v="4"/>
    <n v="100.23"/>
    <n v="0.05"/>
    <s v="Debit Card"/>
    <n v="0"/>
    <s v="No"/>
    <x v="0"/>
    <s v="Toronto Downtown"/>
    <s v="Debit Card"/>
    <s v="C0005"/>
    <s v="Yasmine Taylor"/>
    <s v="Calgary"/>
    <s v="Consumer"/>
    <s v="USB-C Hub"/>
    <x v="0"/>
    <n v="72"/>
    <n v="400.92"/>
    <n v="20.046000000000003"/>
    <n v="380.87400000000002"/>
    <n v="288"/>
    <n v="92.874000000000024"/>
    <n v="0.24384442098961867"/>
    <n v="0"/>
    <n v="2025"/>
    <n v="10"/>
    <s v="octobre"/>
    <s v="Q4"/>
    <d v="2025-10-01T00:00:00"/>
    <x v="0"/>
  </r>
  <r>
    <s v="ORD-2025-00614"/>
    <d v="2025-09-18T00:00:00"/>
    <s v="C0065"/>
    <s v="P1013"/>
    <s v="Mia Wilson, Quebec City, Consumer"/>
    <s v="Montreal Central"/>
    <s v="L. Chen"/>
    <s v="Online"/>
    <n v="1"/>
    <n v="126.75"/>
    <n v="0"/>
    <s v="PayPal"/>
    <n v="6"/>
    <s v="No"/>
    <x v="2"/>
    <s v="Montreal Central"/>
    <s v="PayPal"/>
    <s v="C0065"/>
    <s v="Mia Wilson"/>
    <s v="Quebec City"/>
    <s v="Consumer"/>
    <s v="Whiteboard"/>
    <x v="1"/>
    <n v="85.73"/>
    <n v="126.75"/>
    <n v="0"/>
    <n v="126.75"/>
    <n v="85.73"/>
    <n v="41.019999999999996"/>
    <n v="0.32362919132149898"/>
    <n v="0"/>
    <n v="2025"/>
    <n v="9"/>
    <s v="septembre"/>
    <s v="Q3"/>
    <d v="2025-09-01T00:00:00"/>
    <x v="4"/>
  </r>
  <r>
    <s v="ORD-2025-00615"/>
    <d v="2025-03-12T00:00:00"/>
    <s v="C0072"/>
    <s v="P1004"/>
    <s v="Ryan Bennett, Montreal, Corporate"/>
    <s v="Montreal Central"/>
    <s v="A. Morgan"/>
    <s v="Retail Store"/>
    <n v="1"/>
    <n v="286.02"/>
    <n v="0.25"/>
    <s v="Credit Card"/>
    <n v="0"/>
    <s v="No"/>
    <x v="0"/>
    <s v="Montreal Central"/>
    <s v="Credit Card"/>
    <s v="C0072"/>
    <s v="Ryan Bennett"/>
    <s v="Montreal"/>
    <s v="Corporate"/>
    <s v="Webcam"/>
    <x v="0"/>
    <n v="154.72999999999999"/>
    <n v="286.02"/>
    <n v="71.504999999999995"/>
    <n v="214.51499999999999"/>
    <n v="154.72999999999999"/>
    <n v="59.784999999999997"/>
    <n v="0.27869845931519943"/>
    <n v="0"/>
    <n v="2025"/>
    <n v="3"/>
    <s v="mars"/>
    <s v="Q1"/>
    <d v="2025-03-01T00:00:00"/>
    <x v="4"/>
  </r>
  <r>
    <s v="ORD-2025-00616"/>
    <d v="2025-06-29T00:00:00"/>
    <s v="C0049"/>
    <s v="P1028"/>
    <s v="Olivia Scott, Quebec City, Consumer"/>
    <s v="Montreal Central"/>
    <s v="N. Brown"/>
    <s v="Retail Store"/>
    <n v="5"/>
    <n v="374.98"/>
    <n v="0.15"/>
    <s v="Credit  Card"/>
    <n v="4"/>
    <s v="No"/>
    <x v="0"/>
    <s v="Montreal Central"/>
    <s v="Credit Card"/>
    <s v="C0049"/>
    <s v="Olivia Scott"/>
    <s v="Quebec City"/>
    <s v="Consumer"/>
    <s v="Foam Roller"/>
    <x v="2"/>
    <n v="212.02"/>
    <n v="1874.9"/>
    <n v="281.23500000000001"/>
    <n v="1593.665"/>
    <n v="1060.1000000000001"/>
    <n v="533.56499999999983"/>
    <n v="0.33480373855233053"/>
    <n v="0"/>
    <n v="2025"/>
    <n v="6"/>
    <s v="juin"/>
    <s v="Q2"/>
    <d v="2025-06-01T00:00:00"/>
    <x v="4"/>
  </r>
  <r>
    <s v="ORD-2025-00617"/>
    <d v="2025-11-25T00:00:00"/>
    <s v="C0112"/>
    <s v="P1001"/>
    <s v="Ava Bennett, Halifax, Consumer"/>
    <s v="Online Fulfillment"/>
    <s v="L. Chen"/>
    <s v="Retail Store"/>
    <n v="2"/>
    <n v="375.13"/>
    <n v="0.1"/>
    <s v="Credit Card"/>
    <n v="1"/>
    <s v="No"/>
    <x v="0"/>
    <s v="Online Fulfillment"/>
    <s v="Credit Card"/>
    <s v="C0112"/>
    <s v="Ava Bennett"/>
    <s v="Halifax"/>
    <s v="Consumer"/>
    <s v="Headphones"/>
    <x v="0"/>
    <n v="254.6"/>
    <n v="750.26"/>
    <n v="75.025999999999996"/>
    <n v="675.23400000000004"/>
    <n v="509.2"/>
    <n v="166.03400000000005"/>
    <n v="0.24589105406422077"/>
    <n v="0"/>
    <n v="2025"/>
    <n v="11"/>
    <s v="novembre"/>
    <s v="Q4"/>
    <d v="2025-11-01T00:00:00"/>
    <x v="2"/>
  </r>
  <r>
    <s v="ORD-2025-00618"/>
    <d v="2025-10-08T00:00:00"/>
    <s v="C0113"/>
    <s v="P1032"/>
    <s v="Olivia Johnson, Surrey, Consumer"/>
    <s v="Montreal Central"/>
    <s v="J. Tremblay"/>
    <s v="Online"/>
    <n v="2"/>
    <n v="198.16"/>
    <n v="0.25"/>
    <s v="Credit Card"/>
    <n v="1"/>
    <s v="No"/>
    <x v="2"/>
    <s v="Montreal Central"/>
    <s v="Credit Card"/>
    <s v="C0113"/>
    <s v="Olivia Johnson"/>
    <s v="Surrey"/>
    <s v="Consumer"/>
    <s v="Gym Bag"/>
    <x v="2"/>
    <n v="132.72"/>
    <n v="396.32"/>
    <n v="99.08"/>
    <n v="297.24"/>
    <n v="265.44"/>
    <n v="31.800000000000011"/>
    <n v="0.10698425514735571"/>
    <n v="0"/>
    <n v="2025"/>
    <n v="10"/>
    <s v="octobre"/>
    <s v="Q4"/>
    <d v="2025-10-01T00:00:00"/>
    <x v="3"/>
  </r>
  <r>
    <s v="ORD-2025-00619"/>
    <d v="2025-03-09T00:00:00"/>
    <s v="C0032"/>
    <s v="P1019"/>
    <s v="Nora Bennett, Surrey, Consumer"/>
    <s v="Calgary North"/>
    <s v="J. Tremblay"/>
    <s v="Retail Store"/>
    <n v="1"/>
    <n v="262.02999999999997"/>
    <n v="0.2"/>
    <s v="Debit Card"/>
    <n v="3"/>
    <s v="No"/>
    <x v="0"/>
    <s v="Calgary North"/>
    <s v="Debit Card"/>
    <s v="C0032"/>
    <s v="Nora Bennett"/>
    <s v="Surrey"/>
    <s v="Consumer"/>
    <s v="Vacuum"/>
    <x v="3"/>
    <n v="186.94"/>
    <n v="262.02999999999997"/>
    <n v="52.405999999999999"/>
    <n v="209.62399999999997"/>
    <n v="186.94"/>
    <n v="22.683999999999969"/>
    <n v="0.10821280006106158"/>
    <n v="0"/>
    <n v="2025"/>
    <n v="3"/>
    <s v="mars"/>
    <s v="Q1"/>
    <d v="2025-03-01T00:00:00"/>
    <x v="3"/>
  </r>
  <r>
    <s v="ORD-2025-00620"/>
    <d v="2025-01-19T00:00:00"/>
    <s v="C0114"/>
    <s v="P1040"/>
    <s v="Olivia Johnson, Ottawa, Consumer"/>
    <s v="Online Fulfillment"/>
    <s v="L. Chen"/>
    <s v="Online"/>
    <n v="4"/>
    <n v="302"/>
    <n v="0.05"/>
    <s v="PayPal"/>
    <n v="6"/>
    <s v="No"/>
    <x v="2"/>
    <s v="Online Fulfillment"/>
    <s v="PayPal"/>
    <s v="C0114"/>
    <s v="Olivia Johnson"/>
    <s v="Ottawa"/>
    <s v="Consumer"/>
    <s v="Desk Pad"/>
    <x v="4"/>
    <n v="177.57"/>
    <n v="1208"/>
    <n v="60.400000000000006"/>
    <n v="1147.5999999999999"/>
    <n v="710.28"/>
    <n v="437.31999999999994"/>
    <n v="0.38107354478912508"/>
    <n v="0"/>
    <n v="2025"/>
    <n v="1"/>
    <s v="janvier"/>
    <s v="Q1"/>
    <d v="2025-01-01T00:00:00"/>
    <x v="1"/>
  </r>
  <r>
    <s v="ORD-2025-00621"/>
    <d v="2025-06-19T00:00:00"/>
    <s v="C0067"/>
    <s v="P1018"/>
    <s v="Leo Bennett, Mississauga, Consumer"/>
    <s v="Vancouver West"/>
    <s v="M. Wilson"/>
    <s v="Marketplace"/>
    <n v="2"/>
    <n v="28.79"/>
    <n v="0.05"/>
    <s v="PayPal"/>
    <n v="4"/>
    <s v="No"/>
    <x v="1"/>
    <s v="Vancouver West"/>
    <s v="PayPal"/>
    <s v="C0067"/>
    <s v="Leo Bennett"/>
    <s v="Mississauga"/>
    <s v="Consumer"/>
    <s v="Air Fryer"/>
    <x v="3"/>
    <n v="14.58"/>
    <n v="57.58"/>
    <n v="2.879"/>
    <n v="54.701000000000001"/>
    <n v="29.16"/>
    <n v="25.541"/>
    <n v="0.4669201659933091"/>
    <n v="0"/>
    <n v="2025"/>
    <n v="6"/>
    <s v="juin"/>
    <s v="Q2"/>
    <d v="2025-06-01T00:00:00"/>
    <x v="1"/>
  </r>
  <r>
    <s v="ORD-2025-00622"/>
    <d v="2025-04-02T00:00:00"/>
    <s v="C0052"/>
    <s v="P1028"/>
    <s v="Liam Bennett, Edmonton, Corporate"/>
    <s v="Vancouver West"/>
    <s v="J. Tremblay"/>
    <s v="Marketplace"/>
    <n v="1"/>
    <n v="342.07"/>
    <n v="0.05"/>
    <s v="Credit Card"/>
    <n v="9"/>
    <s v="No"/>
    <x v="1"/>
    <s v="Vancouver West"/>
    <s v="Credit Card"/>
    <s v="C0052"/>
    <s v="Liam Bennett"/>
    <s v="Edmonton"/>
    <s v="Corporate"/>
    <s v="Foam Roller"/>
    <x v="2"/>
    <n v="212.02"/>
    <n v="342.07"/>
    <n v="17.1035"/>
    <n v="324.9665"/>
    <n v="212.02"/>
    <n v="112.94649999999999"/>
    <n v="0.34756351808571034"/>
    <n v="0"/>
    <n v="2025"/>
    <n v="4"/>
    <s v="avril"/>
    <s v="Q2"/>
    <d v="2025-04-01T00:00:00"/>
    <x v="0"/>
  </r>
  <r>
    <s v="ORD-2025-00623"/>
    <d v="2025-12-19T00:00:00"/>
    <s v="C0065"/>
    <s v="P1002"/>
    <s v="Mia Wilson, Quebec City, Consumer"/>
    <s v="Online Fulfillment"/>
    <s v="L. Chen"/>
    <s v="Online"/>
    <n v="2"/>
    <n v="38.06"/>
    <n v="0"/>
    <s v="Gift  Card"/>
    <n v="5"/>
    <s v="No"/>
    <x v="2"/>
    <s v="Online Fulfillment"/>
    <s v="Gift Card"/>
    <s v="C0065"/>
    <s v="Mia Wilson"/>
    <s v="Quebec City"/>
    <s v="Consumer"/>
    <s v="Keyboard"/>
    <x v="0"/>
    <n v="23.5"/>
    <n v="76.12"/>
    <n v="0"/>
    <n v="76.12"/>
    <n v="47"/>
    <n v="29.120000000000005"/>
    <n v="0.38255386232264849"/>
    <n v="0"/>
    <n v="2025"/>
    <n v="12"/>
    <s v="décembre"/>
    <s v="Q4"/>
    <d v="2025-12-01T00:00:00"/>
    <x v="4"/>
  </r>
  <r>
    <s v="ORD-2025-00624"/>
    <d v="2025-01-05T00:00:00"/>
    <s v="C0112"/>
    <s v="P1003"/>
    <s v="Ava Bennett , Halifax , Consumer"/>
    <s v="Calgary North"/>
    <s v="N. Brown"/>
    <s v="Retail Store"/>
    <n v="4"/>
    <n v="155.75"/>
    <n v="0.1"/>
    <s v="Credit Card"/>
    <n v="1"/>
    <s v="No"/>
    <x v="0"/>
    <s v="Calgary North"/>
    <s v="Credit Card"/>
    <s v="C0112"/>
    <s v="Ava Bennett"/>
    <s v="Halifax"/>
    <s v="Consumer"/>
    <s v="Mouse"/>
    <x v="0"/>
    <n v="106.4"/>
    <n v="623"/>
    <n v="62.300000000000004"/>
    <n v="560.70000000000005"/>
    <n v="425.6"/>
    <n v="135.10000000000002"/>
    <n v="0.24094881398252188"/>
    <n v="0"/>
    <n v="2025"/>
    <n v="1"/>
    <s v="janvier"/>
    <s v="Q1"/>
    <d v="2025-01-01T00:00:00"/>
    <x v="2"/>
  </r>
  <r>
    <s v="ORD-2025-00625"/>
    <d v="2025-05-09T00:00:00"/>
    <s v="C0096"/>
    <s v="P1016"/>
    <s v="Ryan Roy, Laval, Corporate"/>
    <s v="Montreal Central"/>
    <s v="M. Wilson"/>
    <s v="Online"/>
    <n v="4"/>
    <n v="319.06"/>
    <n v="0.1"/>
    <s v="Credit Card"/>
    <n v="2"/>
    <s v="No"/>
    <x v="2"/>
    <s v="Montreal Central"/>
    <s v="Credit Card"/>
    <s v="C0096"/>
    <s v="Ryan Roy"/>
    <s v="Laval"/>
    <s v="Corporate"/>
    <s v="Printer"/>
    <x v="1"/>
    <n v="156.75"/>
    <n v="1276.24"/>
    <n v="127.62400000000001"/>
    <n v="1148.616"/>
    <n v="627"/>
    <n v="521.61599999999999"/>
    <n v="0.45412566079525274"/>
    <n v="0"/>
    <n v="2025"/>
    <n v="5"/>
    <s v="mai"/>
    <s v="Q2"/>
    <d v="2025-05-01T00:00:00"/>
    <x v="4"/>
  </r>
  <r>
    <s v="ORD-2025-00626"/>
    <d v="2025-08-24T00:00:00"/>
    <s v="C0095"/>
    <s v="P1004"/>
    <s v="Maya White , Quebec City , Corporate"/>
    <s v="Montreal Central"/>
    <s v="E. Roy"/>
    <s v="Online"/>
    <n v="2"/>
    <n v="296.08"/>
    <n v="0"/>
    <s v="Credit Card"/>
    <n v="1"/>
    <s v="No"/>
    <x v="2"/>
    <s v="Montreal Central"/>
    <s v="Credit Card"/>
    <s v="C0095"/>
    <s v="Maya White"/>
    <s v="Quebec City"/>
    <s v="Corporate"/>
    <s v="Webcam"/>
    <x v="0"/>
    <n v="154.72999999999999"/>
    <n v="592.16"/>
    <n v="0"/>
    <n v="592.16"/>
    <n v="309.45999999999998"/>
    <n v="282.7"/>
    <n v="0.47740475547149419"/>
    <n v="0"/>
    <n v="2025"/>
    <n v="8"/>
    <s v="août"/>
    <s v="Q3"/>
    <d v="2025-08-01T00:00:00"/>
    <x v="4"/>
  </r>
  <r>
    <s v="ORD-2025-00627"/>
    <d v="2025-05-03T00:00:00"/>
    <s v="C0060"/>
    <s v="P1001"/>
    <s v="Sarah Wilson, Quebec City, Corporate"/>
    <s v="Vancouver West"/>
    <s v="M. Wilson"/>
    <s v="Retail Store"/>
    <n v="1"/>
    <n v="376.61"/>
    <n v="0.05"/>
    <s v="Debit Card"/>
    <n v="1"/>
    <s v="No"/>
    <x v="0"/>
    <s v="Vancouver West"/>
    <s v="Debit Card"/>
    <s v="C0060"/>
    <s v="Sarah Wilson"/>
    <s v="Quebec City"/>
    <s v="Corporate"/>
    <s v="Headphones"/>
    <x v="0"/>
    <n v="254.6"/>
    <n v="376.61"/>
    <n v="18.830500000000001"/>
    <n v="357.77949999999998"/>
    <n v="254.6"/>
    <n v="103.17949999999999"/>
    <n v="0.28838851862669601"/>
    <n v="0"/>
    <n v="2025"/>
    <n v="5"/>
    <s v="mai"/>
    <s v="Q2"/>
    <d v="2025-05-01T00:00:00"/>
    <x v="4"/>
  </r>
  <r>
    <s v="ORD-2025-00628"/>
    <d v="2025-05-14T00:00:00"/>
    <s v="C0028"/>
    <s v="P1037"/>
    <s v="Mia Clark, Victoria, Consumer"/>
    <s v="Vancouver West"/>
    <s v="A. Morgan"/>
    <s v="Retail Store"/>
    <n v="2"/>
    <n v="364.47"/>
    <n v="0.25"/>
    <s v="Credit Card"/>
    <n v="4"/>
    <s v="No"/>
    <x v="0"/>
    <s v="Vancouver West"/>
    <s v="Credit Card"/>
    <s v="C0028"/>
    <s v="Mia Clark"/>
    <s v="Victoria"/>
    <s v="Consumer"/>
    <s v="Cable Set"/>
    <x v="4"/>
    <n v="200.16"/>
    <n v="728.94"/>
    <n v="182.23500000000001"/>
    <n v="546.70500000000004"/>
    <n v="400.32"/>
    <n v="146.38500000000005"/>
    <n v="0.26775866326446629"/>
    <n v="0"/>
    <n v="2025"/>
    <n v="5"/>
    <s v="mai"/>
    <s v="Q2"/>
    <d v="2025-05-01T00:00:00"/>
    <x v="3"/>
  </r>
  <r>
    <s v="ORD-2025-00629"/>
    <d v="2025-04-02T00:00:00"/>
    <s v="C0083"/>
    <s v="P1009"/>
    <s v="Amine King , Edmonton , Consumer"/>
    <s v="Calgary North"/>
    <s v="N. Brown"/>
    <s v="Online"/>
    <n v="2"/>
    <n v="309.31"/>
    <n v="0.2"/>
    <s v="PayPal"/>
    <n v="1"/>
    <s v="No"/>
    <x v="2"/>
    <s v="Calgary North"/>
    <s v="PayPal"/>
    <s v="C0083"/>
    <s v="Amine King"/>
    <s v="Edmonton"/>
    <s v="Consumer"/>
    <s v="Notebook"/>
    <x v="1"/>
    <n v="176.13"/>
    <n v="618.62"/>
    <n v="123.724"/>
    <n v="494.89600000000002"/>
    <n v="352.26"/>
    <n v="142.63600000000002"/>
    <n v="0.28821408942484888"/>
    <n v="0"/>
    <n v="2025"/>
    <n v="4"/>
    <s v="avril"/>
    <s v="Q2"/>
    <d v="2025-04-01T00:00:00"/>
    <x v="0"/>
  </r>
  <r>
    <s v="ORD-2025-00630"/>
    <d v="2025-10-23T00:00:00"/>
    <s v="C0037"/>
    <s v="P1037"/>
    <s v="Lucas Scott, Victoria, Small Business"/>
    <s v="Online Fulfillment"/>
    <s v="E. Roy"/>
    <s v="Online"/>
    <n v="1"/>
    <n v="370.32"/>
    <n v="0"/>
    <s v="Debit Card"/>
    <n v="5"/>
    <s v="No"/>
    <x v="2"/>
    <s v="Online Fulfillment"/>
    <s v="Debit Card"/>
    <s v="C0037"/>
    <s v="Lucas Scott"/>
    <s v="Victoria"/>
    <s v="Small Business"/>
    <s v="Cable Set"/>
    <x v="4"/>
    <n v="200.16"/>
    <n v="370.32"/>
    <n v="0"/>
    <n v="370.32"/>
    <n v="200.16"/>
    <n v="170.16"/>
    <n v="0.4594944912508101"/>
    <n v="0"/>
    <n v="2025"/>
    <n v="10"/>
    <s v="octobre"/>
    <s v="Q4"/>
    <d v="2025-10-01T00:00:00"/>
    <x v="3"/>
  </r>
  <r>
    <s v="ORD-2025-00631"/>
    <d v="2025-02-10T00:00:00"/>
    <s v="C0002"/>
    <s v="P1009"/>
    <s v="Ryan Johnson, Montreal, Small Business"/>
    <s v="Online Fulfillment"/>
    <s v="E. Roy"/>
    <s v="Retail Store"/>
    <n v="1"/>
    <n v="295.52"/>
    <n v="0"/>
    <s v="Debit Card"/>
    <n v="3"/>
    <s v="No"/>
    <x v="0"/>
    <s v="Online Fulfillment"/>
    <s v="Debit Card"/>
    <s v="C0002"/>
    <s v="Ryan Johnson"/>
    <s v="Montreal"/>
    <s v="Small Business"/>
    <s v="Notebook"/>
    <x v="1"/>
    <n v="176.13"/>
    <n v="295.52"/>
    <n v="0"/>
    <n v="295.52"/>
    <n v="176.13"/>
    <n v="119.38999999999999"/>
    <n v="0.40399972929074174"/>
    <n v="0"/>
    <n v="2025"/>
    <n v="2"/>
    <s v="février"/>
    <s v="Q1"/>
    <d v="2025-02-01T00:00:00"/>
    <x v="4"/>
  </r>
  <r>
    <s v="ORD-2025-00632"/>
    <d v="2025-10-25T00:00:00"/>
    <s v="C0080"/>
    <s v="P1011"/>
    <s v="Sarah Smith, Mississauga, Corporate"/>
    <s v="Vancouver West"/>
    <s v="E. Roy"/>
    <s v="Retail Store"/>
    <n v="2"/>
    <n v="83.8"/>
    <n v="0.05"/>
    <s v="Credit Card"/>
    <n v="3"/>
    <s v="No"/>
    <x v="0"/>
    <s v="Vancouver West"/>
    <s v="Credit Card"/>
    <s v="C0080"/>
    <s v="Sarah Smith"/>
    <s v="Mississauga"/>
    <s v="Corporate"/>
    <s v="Office Chair"/>
    <x v="1"/>
    <n v="39.26"/>
    <n v="167.6"/>
    <n v="8.3800000000000008"/>
    <n v="159.22"/>
    <n v="78.52"/>
    <n v="80.7"/>
    <n v="0.5068458736339656"/>
    <n v="0"/>
    <n v="2025"/>
    <n v="10"/>
    <s v="octobre"/>
    <s v="Q4"/>
    <d v="2025-10-01T00:00:00"/>
    <x v="1"/>
  </r>
  <r>
    <s v="ORD-2025-00633"/>
    <d v="2025-01-03T00:00:00"/>
    <s v="C0038"/>
    <s v="P1019"/>
    <s v="Noah Brown , Montreal , Consumer"/>
    <s v="Toronto Downtown"/>
    <s v="N. Brown"/>
    <s v="Online"/>
    <n v="1"/>
    <n v="258"/>
    <n v="0.2"/>
    <s v="Credit Card"/>
    <n v="8"/>
    <s v="No"/>
    <x v="2"/>
    <s v="Toronto Downtown"/>
    <s v="Credit Card"/>
    <s v="C0038"/>
    <s v="Noah Brown"/>
    <s v="Montreal"/>
    <s v="Consumer"/>
    <s v="Vacuum"/>
    <x v="3"/>
    <n v="186.94"/>
    <n v="258"/>
    <n v="51.6"/>
    <n v="206.4"/>
    <n v="186.94"/>
    <n v="19.460000000000008"/>
    <n v="9.4282945736434143E-2"/>
    <n v="0"/>
    <n v="2025"/>
    <n v="1"/>
    <s v="janvier"/>
    <s v="Q1"/>
    <d v="2025-01-01T00:00:00"/>
    <x v="4"/>
  </r>
  <r>
    <s v="ORD-2025-00634"/>
    <d v="2025-08-02T00:00:00"/>
    <s v="C0060"/>
    <s v="P1030"/>
    <s v="Sarah Wilson, Quebec City, Corporate"/>
    <s v="Montreal Central"/>
    <s v="N. Brown"/>
    <s v="Online"/>
    <n v="1"/>
    <n v="247.09"/>
    <n v="0.1"/>
    <s v="Credit Card"/>
    <n v="4"/>
    <s v="No"/>
    <x v="2"/>
    <s v="Montreal Central"/>
    <s v="Credit Card"/>
    <s v="C0060"/>
    <s v="Sarah Wilson"/>
    <s v="Quebec City"/>
    <s v="Corporate"/>
    <s v="Pull-up Bar"/>
    <x v="2"/>
    <n v="125.4"/>
    <n v="247.09"/>
    <n v="24.709000000000003"/>
    <n v="222.381"/>
    <n v="125.4"/>
    <n v="96.980999999999995"/>
    <n v="0.43610290447475275"/>
    <n v="0"/>
    <n v="2025"/>
    <n v="8"/>
    <s v="août"/>
    <s v="Q3"/>
    <d v="2025-08-01T00:00:00"/>
    <x v="4"/>
  </r>
  <r>
    <s v="ORD-2025-00635"/>
    <d v="2025-08-15T00:00:00"/>
    <s v="C0104"/>
    <s v="P1029"/>
    <s v="Ava Scott , Edmonton , Corporate"/>
    <s v="Toronto Downtown"/>
    <s v="L. Chen"/>
    <s v="Online"/>
    <n v="3"/>
    <n v="212.15"/>
    <n v="0.05"/>
    <s v="Credit Card"/>
    <n v="1"/>
    <s v="No"/>
    <x v="2"/>
    <s v="Toronto Downtown"/>
    <s v="Credit Card"/>
    <s v="C0104"/>
    <s v="Ava Scott"/>
    <s v="Edmonton"/>
    <s v="Corporate"/>
    <s v="Jump Rope"/>
    <x v="2"/>
    <n v="101"/>
    <n v="636.45000000000005"/>
    <n v="31.822500000000005"/>
    <n v="604.62750000000005"/>
    <n v="303"/>
    <n v="301.62750000000005"/>
    <n v="0.49886500365927788"/>
    <n v="0"/>
    <n v="2025"/>
    <n v="8"/>
    <s v="août"/>
    <s v="Q3"/>
    <d v="2025-08-01T00:00:00"/>
    <x v="0"/>
  </r>
  <r>
    <s v="ORD-2025-00636"/>
    <d v="2025-07-15T00:00:00"/>
    <s v="C0017"/>
    <s v="P1008"/>
    <s v="Yasmine Khan, Mississauga, Corporate"/>
    <s v="Vancouver West"/>
    <s v="S. Patel"/>
    <s v="Online"/>
    <n v="1"/>
    <n v="139.57"/>
    <n v="0.25"/>
    <s v="Credit Card"/>
    <n v="7"/>
    <s v="No"/>
    <x v="2"/>
    <s v="Vancouver West"/>
    <s v="Credit Card"/>
    <s v="C0017"/>
    <s v="Yasmine Khan"/>
    <s v="Mississauga"/>
    <s v="Corporate"/>
    <s v="Smart Speaker"/>
    <x v="0"/>
    <n v="69"/>
    <n v="139.57"/>
    <n v="34.892499999999998"/>
    <n v="104.67749999999999"/>
    <n v="69"/>
    <n v="35.677499999999995"/>
    <n v="0.34083255713978644"/>
    <n v="0"/>
    <n v="2025"/>
    <n v="7"/>
    <s v="juillet"/>
    <s v="Q3"/>
    <d v="2025-07-01T00:00:00"/>
    <x v="1"/>
  </r>
  <r>
    <s v="ORD-2025-00637"/>
    <d v="2025-10-16T00:00:00"/>
    <s v="C0049"/>
    <s v="P1008"/>
    <s v="Olivia Scott, Quebec City, Consumer"/>
    <s v="Montreal Central"/>
    <s v="E. Roy"/>
    <s v="Online"/>
    <n v="3"/>
    <n v="138.75"/>
    <n v="0.25"/>
    <s v="Credit Card"/>
    <n v="8"/>
    <s v="Yes"/>
    <x v="2"/>
    <s v="Montreal Central"/>
    <s v="Credit Card"/>
    <s v="C0049"/>
    <s v="Olivia Scott"/>
    <s v="Quebec City"/>
    <s v="Consumer"/>
    <s v="Smart Speaker"/>
    <x v="0"/>
    <n v="69"/>
    <n v="416.25"/>
    <n v="104.0625"/>
    <n v="312.1875"/>
    <n v="207"/>
    <n v="105.1875"/>
    <n v="0.33693693693693694"/>
    <n v="1"/>
    <n v="2025"/>
    <n v="10"/>
    <s v="octobre"/>
    <s v="Q4"/>
    <d v="2025-10-01T00:00:00"/>
    <x v="4"/>
  </r>
  <r>
    <s v="ORD-2025-00638"/>
    <d v="2025-08-29T00:00:00"/>
    <s v="C0022"/>
    <s v="P1039"/>
    <s v="Adam White, Victoria, Consumer"/>
    <s v="Online Fulfillment"/>
    <s v="S. Patel"/>
    <s v="Online"/>
    <n v="4"/>
    <n v="346.87"/>
    <n v="0.05"/>
    <s v="Credit Card"/>
    <n v="2"/>
    <s v="No"/>
    <x v="2"/>
    <s v="Online Fulfillment"/>
    <s v="Credit Card"/>
    <s v="C0022"/>
    <s v="Adam White"/>
    <s v="Victoria"/>
    <s v="Consumer"/>
    <s v="Travel Adapter"/>
    <x v="4"/>
    <n v="229.86"/>
    <n v="1387.48"/>
    <n v="69.374000000000009"/>
    <n v="1318.106"/>
    <n v="919.44"/>
    <n v="398.66599999999994"/>
    <n v="0.30245367216293678"/>
    <n v="0"/>
    <n v="2025"/>
    <n v="8"/>
    <s v="août"/>
    <s v="Q3"/>
    <d v="2025-08-01T00:00:00"/>
    <x v="3"/>
  </r>
  <r>
    <s v="ORD-2025-00639"/>
    <d v="2025-12-06T00:00:00"/>
    <s v="C0100"/>
    <s v="P1021"/>
    <s v="Yasmine Smith, Mississauga, Consumer"/>
    <s v="Montreal Central"/>
    <s v="S. Patel"/>
    <s v="Online"/>
    <n v="3"/>
    <n v="312.94"/>
    <n v="0.1"/>
    <s v="Debit Card"/>
    <n v="1"/>
    <s v="No"/>
    <x v="2"/>
    <s v="Montreal Central"/>
    <s v="Debit Card"/>
    <s v="C0100"/>
    <s v="Yasmine Smith"/>
    <s v="Mississauga"/>
    <s v="Consumer"/>
    <s v="Kettle"/>
    <x v="3"/>
    <n v="139.86000000000001"/>
    <n v="938.81999999999994"/>
    <n v="93.882000000000005"/>
    <n v="844.93799999999987"/>
    <n v="419.58000000000004"/>
    <n v="425.35799999999983"/>
    <n v="0.50341918578641265"/>
    <n v="0"/>
    <n v="2025"/>
    <n v="12"/>
    <s v="décembre"/>
    <s v="Q4"/>
    <d v="2025-12-01T00:00:00"/>
    <x v="1"/>
  </r>
  <r>
    <s v="ORD-2025-00640"/>
    <d v="2025-04-07T00:00:00"/>
    <s v="C0014"/>
    <s v="P1010"/>
    <s v="Zoe Scott, Montreal, Small Business"/>
    <s v="Online Fulfillment"/>
    <s v="J. Tremblay"/>
    <s v="Retail Store"/>
    <n v="2"/>
    <n v="215.98"/>
    <n v="0.05"/>
    <s v="PayPal"/>
    <n v="4"/>
    <s v="No"/>
    <x v="0"/>
    <s v="Online Fulfillment"/>
    <s v="PayPal"/>
    <s v="C0014"/>
    <s v="Zoe Scott"/>
    <s v="Montreal"/>
    <s v="Small Business"/>
    <s v="Desk Lamp"/>
    <x v="1"/>
    <n v="127.21"/>
    <n v="431.96"/>
    <n v="21.597999999999999"/>
    <n v="410.36199999999997"/>
    <n v="254.42"/>
    <n v="155.94199999999998"/>
    <n v="0.38001081971527578"/>
    <n v="0"/>
    <n v="2025"/>
    <n v="4"/>
    <s v="avril"/>
    <s v="Q2"/>
    <d v="2025-04-01T00:00:00"/>
    <x v="4"/>
  </r>
  <r>
    <s v="ORD-2025-00641"/>
    <d v="2025-01-27T00:00:00"/>
    <s v="C0101"/>
    <s v="P1037"/>
    <s v="Noah Martin, Saskatoon, Small Business"/>
    <s v="Calgary North"/>
    <s v="M. Wilson"/>
    <s v="Retail Store"/>
    <n v="3"/>
    <n v="366.11"/>
    <n v="0"/>
    <s v="Credit Card"/>
    <n v="4"/>
    <s v="No"/>
    <x v="0"/>
    <s v="Calgary North"/>
    <s v="Credit Card"/>
    <s v="C0101"/>
    <s v="Noah Martin"/>
    <s v="Saskatoon"/>
    <s v="Small Business"/>
    <s v="Cable Set"/>
    <x v="4"/>
    <n v="200.16"/>
    <n v="1098.33"/>
    <n v="0"/>
    <n v="1098.33"/>
    <n v="600.48"/>
    <n v="497.84999999999991"/>
    <n v="0.45327906913222799"/>
    <n v="0"/>
    <n v="2025"/>
    <n v="1"/>
    <s v="janvier"/>
    <s v="Q1"/>
    <d v="2025-01-01T00:00:00"/>
    <x v="5"/>
  </r>
  <r>
    <s v="ORD-2025-00642"/>
    <d v="2025-02-15T00:00:00"/>
    <s v="C0105"/>
    <s v="P1013"/>
    <s v="Liam Martin, Calgary, Consumer"/>
    <s v="Toronto Downtown"/>
    <s v="A. Morgan"/>
    <s v="Retail Store"/>
    <n v="1"/>
    <n v="122.63"/>
    <n v="0"/>
    <s v="Credit Card"/>
    <n v="4"/>
    <s v="No"/>
    <x v="0"/>
    <s v="Toronto Downtown"/>
    <s v="Credit Card"/>
    <s v="C0105"/>
    <s v="Liam Martin"/>
    <s v="Calgary"/>
    <s v="Consumer"/>
    <s v="Whiteboard"/>
    <x v="1"/>
    <n v="85.73"/>
    <n v="122.63"/>
    <n v="0"/>
    <n v="122.63"/>
    <n v="85.73"/>
    <n v="36.899999999999991"/>
    <n v="0.30090516186903687"/>
    <n v="0"/>
    <n v="2025"/>
    <n v="2"/>
    <s v="février"/>
    <s v="Q1"/>
    <d v="2025-02-01T00:00:00"/>
    <x v="0"/>
  </r>
  <r>
    <s v="ORD-2025-00644"/>
    <d v="2025-01-28T00:00:00"/>
    <s v="C0031"/>
    <s v="P1003"/>
    <s v="Leo Gagnon , Surrey , Small Business"/>
    <s v="Toronto Downtown"/>
    <s v="L. Chen"/>
    <s v="Online"/>
    <n v="2"/>
    <n v="164.07"/>
    <n v="0"/>
    <s v="Credit Card"/>
    <n v="5"/>
    <s v="No"/>
    <x v="2"/>
    <s v="Toronto Downtown"/>
    <s v="Credit Card"/>
    <s v="C0031"/>
    <s v="Leo Gagnon"/>
    <s v="Surrey"/>
    <s v="Small Business"/>
    <s v="Mouse"/>
    <x v="0"/>
    <n v="106.4"/>
    <n v="328.14"/>
    <n v="0"/>
    <n v="328.14"/>
    <n v="212.8"/>
    <n v="115.33999999999997"/>
    <n v="0.35149631254952146"/>
    <n v="0"/>
    <n v="2025"/>
    <n v="1"/>
    <s v="janvier"/>
    <s v="Q1"/>
    <d v="2025-01-01T00:00:00"/>
    <x v="3"/>
  </r>
  <r>
    <s v="ORD-2025-00645"/>
    <d v="2025-06-09T00:00:00"/>
    <s v="C0067"/>
    <s v="P1032"/>
    <s v="Leo Bennett, Mississauga, Consumer"/>
    <s v="Vancouver West"/>
    <s v="E. Roy"/>
    <s v="Online"/>
    <n v="3"/>
    <n v="205.35"/>
    <n v="0.1"/>
    <s v="Credit Card"/>
    <n v="6"/>
    <s v="No"/>
    <x v="2"/>
    <s v="Vancouver West"/>
    <s v="Credit Card"/>
    <s v="C0067"/>
    <s v="Leo Bennett"/>
    <s v="Mississauga"/>
    <s v="Consumer"/>
    <s v="Gym Bag"/>
    <x v="2"/>
    <n v="132.72"/>
    <n v="616.04999999999995"/>
    <n v="61.604999999999997"/>
    <n v="554.44499999999994"/>
    <n v="398.15999999999997"/>
    <n v="156.28499999999997"/>
    <n v="0.28187647106566022"/>
    <n v="0"/>
    <n v="2025"/>
    <n v="6"/>
    <s v="juin"/>
    <s v="Q2"/>
    <d v="2025-06-01T00:00:00"/>
    <x v="1"/>
  </r>
  <r>
    <s v="ORD-2025-00646"/>
    <d v="2025-09-06T00:00:00"/>
    <s v="C0084"/>
    <s v="P1003"/>
    <s v="Ryan Clark, Montreal, Corporate"/>
    <s v="Vancouver West"/>
    <s v="L. Chen"/>
    <s v="Online"/>
    <n v="2"/>
    <n v="163.54"/>
    <n v="0.1"/>
    <s v="Debit Card"/>
    <n v="4"/>
    <s v="No"/>
    <x v="2"/>
    <s v="Vancouver West"/>
    <s v="Debit Card"/>
    <s v="C0084"/>
    <s v="Ryan Clark"/>
    <s v="Montreal"/>
    <s v="Corporate"/>
    <s v="Mouse"/>
    <x v="0"/>
    <n v="106.4"/>
    <n v="327.08"/>
    <n v="32.707999999999998"/>
    <n v="294.37199999999996"/>
    <n v="212.8"/>
    <n v="81.571999999999946"/>
    <n v="0.27710515945810049"/>
    <n v="0"/>
    <n v="2025"/>
    <n v="9"/>
    <s v="septembre"/>
    <s v="Q3"/>
    <d v="2025-09-01T00:00:00"/>
    <x v="4"/>
  </r>
  <r>
    <s v="ORD-2025-00647"/>
    <d v="2025-09-12T00:00:00"/>
    <s v="C0021"/>
    <s v="P1023"/>
    <s v="Nora King , Halifax , Corporate"/>
    <s v="Calgary North"/>
    <s v="R. Singh"/>
    <s v="Retail Store"/>
    <n v="2"/>
    <n v="323.04000000000002"/>
    <n v="0.05"/>
    <s v="Debit Card"/>
    <n v="1"/>
    <s v="No"/>
    <x v="0"/>
    <s v="Calgary North"/>
    <s v="Debit Card"/>
    <s v="C0021"/>
    <s v="Nora King"/>
    <s v="Halifax"/>
    <s v="Corporate"/>
    <s v="Toaster"/>
    <x v="3"/>
    <n v="152.88"/>
    <n v="646.08000000000004"/>
    <n v="32.304000000000002"/>
    <n v="613.77600000000007"/>
    <n v="305.76"/>
    <n v="308.01600000000008"/>
    <n v="0.50183780401970757"/>
    <n v="0"/>
    <n v="2025"/>
    <n v="9"/>
    <s v="septembre"/>
    <s v="Q3"/>
    <d v="2025-09-01T00:00:00"/>
    <x v="2"/>
  </r>
  <r>
    <s v="ORD-2025-00648"/>
    <d v="2025-05-10T00:00:00"/>
    <s v="C0062"/>
    <s v="P1039"/>
    <s v="Yasmine Scott, Toronto, Consumer"/>
    <s v="Vancouver West"/>
    <s v="J. Tremblay"/>
    <s v="Online"/>
    <n v="2"/>
    <n v="336.56"/>
    <n v="0.25"/>
    <s v="Gift Card"/>
    <n v="6"/>
    <s v="No"/>
    <x v="2"/>
    <s v="Vancouver West"/>
    <s v="Gift Card"/>
    <s v="C0062"/>
    <s v="Yasmine Scott"/>
    <s v="Toronto"/>
    <s v="Consumer"/>
    <s v="Travel Adapter"/>
    <x v="4"/>
    <n v="229.86"/>
    <n v="673.12"/>
    <n v="168.28"/>
    <n v="504.84000000000003"/>
    <n v="459.72"/>
    <n v="45.120000000000005"/>
    <n v="8.9374851438079397E-2"/>
    <n v="0"/>
    <n v="2025"/>
    <n v="5"/>
    <s v="mai"/>
    <s v="Q2"/>
    <d v="2025-05-01T00:00:00"/>
    <x v="1"/>
  </r>
  <r>
    <s v="ORD-2025-00649"/>
    <d v="2025-12-15T00:00:00"/>
    <s v="C0030"/>
    <s v="P1031"/>
    <s v="Emma Lee, Calgary, Corporate"/>
    <s v="Toronto Downtown"/>
    <s v="S. Patel"/>
    <s v="Online"/>
    <n v="2"/>
    <n v="263.13"/>
    <n v="0"/>
    <s v="Credit Card"/>
    <n v="4"/>
    <s v="No"/>
    <x v="2"/>
    <s v="Toronto Downtown"/>
    <s v="Credit Card"/>
    <s v="C0030"/>
    <s v="Emma Lee"/>
    <s v="Calgary"/>
    <s v="Corporate"/>
    <s v="Dumbbell Set"/>
    <x v="2"/>
    <n v="131.72999999999999"/>
    <n v="526.26"/>
    <n v="0"/>
    <n v="526.26"/>
    <n v="263.45999999999998"/>
    <n v="262.8"/>
    <n v="0.4993729335309543"/>
    <n v="0"/>
    <n v="2025"/>
    <n v="12"/>
    <s v="décembre"/>
    <s v="Q4"/>
    <d v="2025-12-01T00:00:00"/>
    <x v="0"/>
  </r>
  <r>
    <s v="ORD-2025-00650"/>
    <d v="2025-04-06T00:00:00"/>
    <s v="C0086"/>
    <s v="P1013"/>
    <s v="Adam Gagnon , Winnipeg , Consumer"/>
    <s v="Online Fulfillment"/>
    <s v="S. Patel"/>
    <s v="Online"/>
    <n v="1"/>
    <n v="117.96"/>
    <n v="0"/>
    <s v="Credit Card"/>
    <n v="4"/>
    <s v="No"/>
    <x v="2"/>
    <s v="Online Fulfillment"/>
    <s v="Credit Card"/>
    <s v="C0086"/>
    <s v="Adam Gagnon"/>
    <s v="Winnipeg"/>
    <s v="Consumer"/>
    <s v="Whiteboard"/>
    <x v="1"/>
    <n v="85.73"/>
    <n v="117.96"/>
    <n v="0"/>
    <n v="117.96"/>
    <n v="85.73"/>
    <n v="32.22999999999999"/>
    <n v="0.27322821295354349"/>
    <n v="0"/>
    <n v="2025"/>
    <n v="4"/>
    <s v="avril"/>
    <s v="Q2"/>
    <d v="2025-04-01T00:00:00"/>
    <x v="6"/>
  </r>
  <r>
    <s v="ORD-2025-00651"/>
    <d v="2025-02-06T00:00:00"/>
    <s v="C0101"/>
    <s v="P1014"/>
    <s v="Noah Martin, Saskatoon, Small Business"/>
    <s v="Montreal  Central"/>
    <s v="M. Wilson"/>
    <s v="Online"/>
    <n v="1"/>
    <n v="246.22"/>
    <n v="0.25"/>
    <s v="Debit Card"/>
    <n v="2"/>
    <s v="No"/>
    <x v="2"/>
    <s v="Montreal Central"/>
    <s v="Debit Card"/>
    <s v="C0101"/>
    <s v="Noah Martin"/>
    <s v="Saskatoon"/>
    <s v="Small Business"/>
    <s v="Document Shredder"/>
    <x v="1"/>
    <n v="117.65"/>
    <n v="246.22"/>
    <n v="61.555"/>
    <n v="184.66499999999999"/>
    <n v="117.65"/>
    <n v="67.014999999999986"/>
    <n v="0.36290038718760992"/>
    <n v="0"/>
    <n v="2025"/>
    <n v="2"/>
    <s v="février"/>
    <s v="Q1"/>
    <d v="2025-02-01T00:00:00"/>
    <x v="5"/>
  </r>
  <r>
    <s v="ORD-2025-00652"/>
    <d v="2025-02-27T00:00:00"/>
    <s v="C0093"/>
    <s v="P1020"/>
    <s v="Ethan Roy, Winnipeg, Consumer"/>
    <s v="Online  Fulfillment"/>
    <s v="N. Brown"/>
    <s v="Online"/>
    <n v="1"/>
    <n v="69.75"/>
    <n v="0.05"/>
    <s v="Debit Card"/>
    <n v="4"/>
    <s v="No"/>
    <x v="2"/>
    <s v="Online Fulfillment"/>
    <s v="Debit Card"/>
    <s v="C0093"/>
    <s v="Ethan Roy"/>
    <s v="Winnipeg"/>
    <s v="Consumer"/>
    <s v="Blender"/>
    <x v="3"/>
    <n v="37.46"/>
    <n v="69.75"/>
    <n v="3.4875000000000003"/>
    <n v="66.262500000000003"/>
    <n v="37.46"/>
    <n v="28.802500000000002"/>
    <n v="0.43467270326353519"/>
    <n v="0"/>
    <n v="2025"/>
    <n v="2"/>
    <s v="février"/>
    <s v="Q1"/>
    <d v="2025-02-01T00:00:00"/>
    <x v="6"/>
  </r>
  <r>
    <s v="ORD-2025-00653"/>
    <d v="2025-05-15T00:00:00"/>
    <s v="C0092"/>
    <s v="P1001"/>
    <s v="Lucas Tremblay, Saskatoon, Consumer"/>
    <s v="Online Fulfillment"/>
    <s v="E. Roy"/>
    <s v="Online"/>
    <n v="3"/>
    <n v="354.76"/>
    <n v="0.15"/>
    <s v="Credit Card"/>
    <n v="3"/>
    <s v="No"/>
    <x v="2"/>
    <s v="Online Fulfillment"/>
    <s v="Credit Card"/>
    <s v="C0092"/>
    <s v="Lucas Tremblay"/>
    <s v="Saskatoon"/>
    <s v="Consumer"/>
    <s v="Headphones"/>
    <x v="0"/>
    <n v="254.6"/>
    <n v="1064.28"/>
    <n v="159.642"/>
    <n v="904.63799999999992"/>
    <n v="763.8"/>
    <n v="140.83799999999997"/>
    <n v="0.15568437319679251"/>
    <n v="0"/>
    <n v="2025"/>
    <n v="5"/>
    <s v="mai"/>
    <s v="Q2"/>
    <d v="2025-05-01T00:00:00"/>
    <x v="5"/>
  </r>
  <r>
    <s v="ORD-2025-00654"/>
    <d v="2025-03-31T00:00:00"/>
    <s v="C0047"/>
    <s v="P1004"/>
    <s v="Amine King, Victoria, Consumer"/>
    <s v="Montreal Central"/>
    <s v="N. Brown"/>
    <s v="Retail Store"/>
    <n v="1"/>
    <n v="272.07"/>
    <n v="0"/>
    <s v="Credit Card"/>
    <n v="3"/>
    <s v="No"/>
    <x v="0"/>
    <s v="Montreal Central"/>
    <s v="Credit Card"/>
    <s v="C0047"/>
    <s v="Amine King"/>
    <s v="Victoria"/>
    <s v="Consumer"/>
    <s v="Webcam"/>
    <x v="0"/>
    <n v="154.72999999999999"/>
    <n v="272.07"/>
    <n v="0"/>
    <n v="272.07"/>
    <n v="154.72999999999999"/>
    <n v="117.34"/>
    <n v="0.43128606608593378"/>
    <n v="0"/>
    <n v="2025"/>
    <n v="3"/>
    <s v="mars"/>
    <s v="Q1"/>
    <d v="2025-03-01T00:00:00"/>
    <x v="3"/>
  </r>
  <r>
    <s v="ORD-2025-00655"/>
    <d v="2025-03-19T00:00:00"/>
    <s v="C0103"/>
    <s v="P1002"/>
    <s v="Zoe Singh, Saskatoon, Corporate"/>
    <s v="Calgary North"/>
    <s v="N. Brown"/>
    <s v="Online"/>
    <n v="1"/>
    <n v="38.159999999999997"/>
    <n v="0"/>
    <s v="PayPal"/>
    <n v="5"/>
    <s v="No"/>
    <x v="2"/>
    <s v="Calgary North"/>
    <s v="PayPal"/>
    <s v="C0103"/>
    <s v="Zoe Singh"/>
    <s v="Saskatoon"/>
    <s v="Corporate"/>
    <s v="Keyboard"/>
    <x v="0"/>
    <n v="23.5"/>
    <n v="38.159999999999997"/>
    <n v="0"/>
    <n v="38.159999999999997"/>
    <n v="23.5"/>
    <n v="14.659999999999997"/>
    <n v="0.38417190775681337"/>
    <n v="0"/>
    <n v="2025"/>
    <n v="3"/>
    <s v="mars"/>
    <s v="Q1"/>
    <d v="2025-03-01T00:00:00"/>
    <x v="5"/>
  </r>
  <r>
    <s v="ORD-2025-00656"/>
    <d v="2025-11-01T00:00:00"/>
    <s v="C0086"/>
    <s v="P1015"/>
    <s v="Adam Gagnon, Winnipeg, Consumer"/>
    <s v="Online Fulfillment"/>
    <s v="A. Morgan"/>
    <s v="Online"/>
    <n v="4"/>
    <n v="380.79"/>
    <n v="0.15"/>
    <s v="Credit Card"/>
    <n v="5"/>
    <s v="No"/>
    <x v="2"/>
    <s v="Online Fulfillment"/>
    <s v="Credit Card"/>
    <s v="C0086"/>
    <s v="Adam Gagnon"/>
    <s v="Winnipeg"/>
    <s v="Consumer"/>
    <s v="Desk Organizer"/>
    <x v="1"/>
    <n v="235.76"/>
    <n v="1523.16"/>
    <n v="228.47400000000002"/>
    <n v="1294.6860000000001"/>
    <n v="943.04"/>
    <n v="351.64600000000019"/>
    <n v="0.27160716961487197"/>
    <n v="0"/>
    <n v="2025"/>
    <n v="11"/>
    <s v="novembre"/>
    <s v="Q4"/>
    <d v="2025-11-01T00:00:00"/>
    <x v="6"/>
  </r>
  <r>
    <s v="ORD-2025-00657"/>
    <d v="2025-12-15T00:00:00"/>
    <s v="C0097"/>
    <s v="P1007"/>
    <s v="Sarah Khan, Montreal, Consumer"/>
    <s v="Montreal Central"/>
    <s v="M. Wilson"/>
    <s v="Online"/>
    <n v="2"/>
    <n v="373.93"/>
    <n v="0"/>
    <s v="Credit Card"/>
    <n v="1"/>
    <s v="No"/>
    <x v="2"/>
    <s v="Montreal Central"/>
    <s v="Credit Card"/>
    <s v="C0097"/>
    <s v="Sarah Khan"/>
    <s v="Montreal"/>
    <s v="Consumer"/>
    <s v="Monitor"/>
    <x v="0"/>
    <n v="224.47"/>
    <n v="747.86"/>
    <n v="0"/>
    <n v="747.86"/>
    <n v="448.94"/>
    <n v="298.92"/>
    <n v="0.39970047869922182"/>
    <n v="0"/>
    <n v="2025"/>
    <n v="12"/>
    <s v="décembre"/>
    <s v="Q4"/>
    <d v="2025-12-01T00:00:00"/>
    <x v="4"/>
  </r>
  <r>
    <s v="ORD-2025-00658"/>
    <d v="2025-06-08T00:00:00"/>
    <s v="C0070"/>
    <s v="P1028"/>
    <s v="Sophia Young, Halifax, Corporate"/>
    <s v="Toronto Downtown"/>
    <s v="M. Wilson"/>
    <s v="Online"/>
    <n v="2"/>
    <n v="375.09"/>
    <n v="0.05"/>
    <s v="Debit Card"/>
    <n v="1"/>
    <s v="No"/>
    <x v="2"/>
    <s v="Toronto Downtown"/>
    <s v="Debit Card"/>
    <s v="C0070"/>
    <s v="Sophia Young"/>
    <s v="Halifax"/>
    <s v="Corporate"/>
    <s v="Foam Roller"/>
    <x v="2"/>
    <n v="212.02"/>
    <n v="750.18"/>
    <n v="37.509"/>
    <n v="712.67099999999994"/>
    <n v="424.04"/>
    <n v="288.63099999999991"/>
    <n v="0.40499894060513186"/>
    <n v="0"/>
    <n v="2025"/>
    <n v="6"/>
    <s v="juin"/>
    <s v="Q2"/>
    <d v="2025-06-01T00:00:00"/>
    <x v="2"/>
  </r>
  <r>
    <s v="ORD-2025-00659"/>
    <d v="2025-10-08T00:00:00"/>
    <s v="C0060"/>
    <s v="P1011"/>
    <s v="Sarah Wilson, Quebec City, Corporate"/>
    <s v="Toronto Downtown"/>
    <s v="N. Brown"/>
    <s v="Online"/>
    <n v="1"/>
    <n v="80.88"/>
    <n v="0.05"/>
    <s v="Credit Card"/>
    <n v="6"/>
    <s v="Yes"/>
    <x v="2"/>
    <s v="Toronto Downtown"/>
    <s v="Credit Card"/>
    <s v="C0060"/>
    <s v="Sarah Wilson"/>
    <s v="Quebec City"/>
    <s v="Corporate"/>
    <s v="Office Chair"/>
    <x v="1"/>
    <n v="39.26"/>
    <n v="80.88"/>
    <n v="4.0439999999999996"/>
    <n v="76.835999999999999"/>
    <n v="39.26"/>
    <n v="37.576000000000001"/>
    <n v="0.48904159508563694"/>
    <n v="1"/>
    <n v="2025"/>
    <n v="10"/>
    <s v="octobre"/>
    <s v="Q4"/>
    <d v="2025-10-01T00:00:00"/>
    <x v="4"/>
  </r>
  <r>
    <s v="ORD-2025-00660"/>
    <d v="2025-01-16T00:00:00"/>
    <s v="C0096"/>
    <s v="P1026"/>
    <s v="Ryan Roy , Laval , Corporate"/>
    <s v="Online Fulfillment"/>
    <s v="A. Morgan"/>
    <s v="Online"/>
    <n v="2"/>
    <n v="217.75"/>
    <n v="0.15"/>
    <s v="Credit Card"/>
    <n v="2"/>
    <s v="No"/>
    <x v="2"/>
    <s v="Online Fulfillment"/>
    <s v="Credit Card"/>
    <s v="C0096"/>
    <s v="Ryan Roy"/>
    <s v="Laval"/>
    <s v="Corporate"/>
    <s v="Resistance Bands"/>
    <x v="2"/>
    <n v="139.19999999999999"/>
    <n v="435.5"/>
    <n v="65.325000000000003"/>
    <n v="370.17500000000001"/>
    <n v="278.39999999999998"/>
    <n v="91.775000000000034"/>
    <n v="0.24792327952995213"/>
    <n v="0"/>
    <n v="2025"/>
    <n v="1"/>
    <s v="janvier"/>
    <s v="Q1"/>
    <d v="2025-01-01T00:00:00"/>
    <x v="4"/>
  </r>
  <r>
    <s v="ORD-2025-00661"/>
    <d v="2025-05-05T00:00:00"/>
    <s v="C0019"/>
    <s v="P1026"/>
    <s v="Lucas Taylor, Montreal, Small Business"/>
    <s v="Toronto Downtown"/>
    <s v="J. Tremblay"/>
    <s v="Marketplace"/>
    <n v="1"/>
    <n v="223.78"/>
    <n v="0.1"/>
    <s v="Credit Card"/>
    <n v="3"/>
    <s v="No"/>
    <x v="1"/>
    <s v="Toronto Downtown"/>
    <s v="Credit Card"/>
    <s v="C0019"/>
    <s v="Lucas Taylor"/>
    <s v="Montreal"/>
    <s v="Small Business"/>
    <s v="Resistance Bands"/>
    <x v="2"/>
    <n v="139.19999999999999"/>
    <n v="223.78"/>
    <n v="22.378"/>
    <n v="201.40199999999999"/>
    <n v="139.19999999999999"/>
    <n v="62.201999999999998"/>
    <n v="0.30884499657401615"/>
    <n v="0"/>
    <n v="2025"/>
    <n v="5"/>
    <s v="mai"/>
    <s v="Q2"/>
    <d v="2025-05-01T00:00:00"/>
    <x v="4"/>
  </r>
  <r>
    <s v="ORD-2025-00662"/>
    <d v="2025-04-28T00:00:00"/>
    <s v="C0038"/>
    <s v="P1006"/>
    <s v="Noah Brown, Montreal, Consumer"/>
    <s v="Vancouver West"/>
    <s v="A. Morgan"/>
    <s v="Online"/>
    <n v="1"/>
    <n v="99.27"/>
    <n v="0"/>
    <s v="Credit Card"/>
    <n v="5"/>
    <s v="No"/>
    <x v="2"/>
    <s v="Vancouver West"/>
    <s v="Credit Card"/>
    <s v="C0038"/>
    <s v="Noah Brown"/>
    <s v="Montreal"/>
    <s v="Consumer"/>
    <s v="USB-C Hub"/>
    <x v="0"/>
    <n v="72"/>
    <n v="99.27"/>
    <n v="0"/>
    <n v="99.27"/>
    <n v="72"/>
    <n v="27.269999999999996"/>
    <n v="0.27470534904805072"/>
    <n v="0"/>
    <n v="2025"/>
    <n v="4"/>
    <s v="avril"/>
    <s v="Q2"/>
    <d v="2025-04-01T00:00:00"/>
    <x v="4"/>
  </r>
  <r>
    <s v="ORD-2025-00663"/>
    <d v="2025-01-01T00:00:00"/>
    <s v="C0027"/>
    <s v="P1023"/>
    <s v="Nora Wilson , Toronto , Small Business"/>
    <s v="Online Fulfillment"/>
    <s v="L. Chen"/>
    <s v="Retail Store"/>
    <n v="3"/>
    <n v="335.87"/>
    <n v="0.2"/>
    <s v="Debit Card"/>
    <n v="2"/>
    <s v="Yes"/>
    <x v="0"/>
    <s v="Online Fulfillment"/>
    <s v="Debit Card"/>
    <s v="C0027"/>
    <s v="Nora Wilson"/>
    <s v="Toronto"/>
    <s v="Small Business"/>
    <s v="Toaster"/>
    <x v="3"/>
    <n v="152.88"/>
    <n v="1007.61"/>
    <n v="201.52200000000002"/>
    <n v="806.08799999999997"/>
    <n v="458.64"/>
    <n v="347.44799999999998"/>
    <n v="0.43102986274451421"/>
    <n v="1"/>
    <n v="2025"/>
    <n v="1"/>
    <s v="janvier"/>
    <s v="Q1"/>
    <d v="2025-01-01T00:00:00"/>
    <x v="1"/>
  </r>
  <r>
    <s v="ORD-2025-00664"/>
    <d v="2025-09-22T00:00:00"/>
    <s v="C0040"/>
    <s v="P1034"/>
    <s v="Ethan Young, Surrey, Consumer"/>
    <s v="Calgary North"/>
    <s v="N. Brown"/>
    <s v="Online"/>
    <n v="3"/>
    <n v="143.22999999999999"/>
    <n v="0.1"/>
    <s v="PayPal"/>
    <n v="3"/>
    <s v="No"/>
    <x v="2"/>
    <s v="Calgary North"/>
    <s v="PayPal"/>
    <s v="C0040"/>
    <s v="Ethan Young"/>
    <s v="Surrey"/>
    <s v="Consumer"/>
    <s v="Laptop Sleeve"/>
    <x v="4"/>
    <n v="78.95"/>
    <n v="429.68999999999994"/>
    <n v="42.968999999999994"/>
    <n v="386.72099999999995"/>
    <n v="236.85000000000002"/>
    <n v="149.87099999999992"/>
    <n v="0.38754295732582389"/>
    <n v="0"/>
    <n v="2025"/>
    <n v="9"/>
    <s v="septembre"/>
    <s v="Q3"/>
    <d v="2025-09-01T00:00:00"/>
    <x v="3"/>
  </r>
  <r>
    <s v="ORD-2025-00665"/>
    <d v="2025-03-21T00:00:00"/>
    <s v="C0053"/>
    <s v="P1033"/>
    <s v="Ryan Lee , Laval , Consumer"/>
    <s v="Toronto Downtown"/>
    <s v="R. Singh"/>
    <s v="Online"/>
    <n v="2"/>
    <n v="304.67"/>
    <n v="0.1"/>
    <s v="Debit Card"/>
    <n v="6"/>
    <s v="No"/>
    <x v="2"/>
    <s v="Toronto Downtown"/>
    <s v="Debit Card"/>
    <s v="C0053"/>
    <s v="Ryan Lee"/>
    <s v="Laval"/>
    <s v="Consumer"/>
    <s v="Backpack"/>
    <x v="4"/>
    <n v="152.55000000000001"/>
    <n v="609.34"/>
    <n v="60.934000000000005"/>
    <n v="548.40600000000006"/>
    <n v="305.10000000000002"/>
    <n v="243.30600000000004"/>
    <n v="0.44366035382545049"/>
    <n v="0"/>
    <n v="2025"/>
    <n v="3"/>
    <s v="mars"/>
    <s v="Q1"/>
    <d v="2025-03-01T00:00:00"/>
    <x v="4"/>
  </r>
  <r>
    <s v="ORD-2025-00666"/>
    <d v="2025-09-05T00:00:00"/>
    <s v="C0111"/>
    <s v="P1021"/>
    <s v="Noah Khan, Halifax, Consumer"/>
    <s v="Online Fulfillment"/>
    <s v="S. Patel"/>
    <s v="Retail Store"/>
    <n v="1"/>
    <n v="320.24"/>
    <n v="0.05"/>
    <s v="Credit Card"/>
    <n v="3"/>
    <s v="No"/>
    <x v="0"/>
    <s v="Online Fulfillment"/>
    <s v="Credit Card"/>
    <s v="C0111"/>
    <s v="Noah Khan"/>
    <s v="Halifax"/>
    <s v="Consumer"/>
    <s v="Kettle"/>
    <x v="3"/>
    <n v="139.86000000000001"/>
    <n v="320.24"/>
    <n v="16.012"/>
    <n v="304.22800000000001"/>
    <n v="139.86000000000001"/>
    <n v="164.36799999999999"/>
    <n v="0.54027900127535922"/>
    <n v="0"/>
    <n v="2025"/>
    <n v="9"/>
    <s v="septembre"/>
    <s v="Q3"/>
    <d v="2025-09-01T00:00:00"/>
    <x v="2"/>
  </r>
  <r>
    <s v="ORD-2025-00667"/>
    <d v="2025-11-10T00:00:00"/>
    <s v="C0063"/>
    <s v="P1001"/>
    <s v="Adam Singh, Laval, Small Business"/>
    <s v="Calgary North"/>
    <s v="S. Patel"/>
    <s v="Online"/>
    <n v="5"/>
    <n v="377.75"/>
    <n v="0.1"/>
    <s v="Debit Card"/>
    <n v="7"/>
    <s v="No"/>
    <x v="2"/>
    <s v="Calgary North"/>
    <s v="Debit Card"/>
    <s v="C0063"/>
    <s v="Adam Singh"/>
    <s v="Laval"/>
    <s v="Small Business"/>
    <s v="Headphones"/>
    <x v="0"/>
    <n v="254.6"/>
    <n v="1888.75"/>
    <n v="188.875"/>
    <n v="1699.875"/>
    <n v="1273"/>
    <n v="426.875"/>
    <n v="0.25112140598573424"/>
    <n v="0"/>
    <n v="2025"/>
    <n v="11"/>
    <s v="novembre"/>
    <s v="Q4"/>
    <d v="2025-11-01T00:00:00"/>
    <x v="4"/>
  </r>
  <r>
    <s v="ORD-2025-00668"/>
    <d v="2025-10-21T00:00:00"/>
    <s v="C0025"/>
    <s v="P1012"/>
    <s v="Emma Gagnon, Surrey, Corporate"/>
    <s v="Toronto Downtown"/>
    <s v="N. Brown"/>
    <s v="Marketplace"/>
    <n v="1"/>
    <n v="83.34"/>
    <n v="0.15"/>
    <s v="PayPal"/>
    <n v="2"/>
    <s v="No"/>
    <x v="1"/>
    <s v="Toronto Downtown"/>
    <s v="PayPal"/>
    <s v="C0025"/>
    <s v="Emma Gagnon"/>
    <s v="Surrey"/>
    <s v="Corporate"/>
    <s v="Standing Desk"/>
    <x v="1"/>
    <n v="45.17"/>
    <n v="83.34"/>
    <n v="12.500999999999999"/>
    <n v="70.838999999999999"/>
    <n v="45.17"/>
    <n v="25.668999999999997"/>
    <n v="0.36235689380143704"/>
    <n v="0"/>
    <n v="2025"/>
    <n v="10"/>
    <s v="octobre"/>
    <s v="Q4"/>
    <d v="2025-10-01T00:00:00"/>
    <x v="3"/>
  </r>
  <r>
    <s v="ORD-2025-00669"/>
    <d v="2025-08-10T00:00:00"/>
    <s v="C0069"/>
    <s v="P1037"/>
    <s v="Sarah White, Ottawa, Consumer"/>
    <s v="Toronto Downtown"/>
    <s v="L. Chen"/>
    <s v="Retail Store"/>
    <n v="1"/>
    <n v="354.02"/>
    <n v="0.15"/>
    <s v="PayPal"/>
    <n v="0"/>
    <s v="Yes"/>
    <x v="0"/>
    <s v="Toronto Downtown"/>
    <s v="PayPal"/>
    <s v="C0069"/>
    <s v="Sarah White"/>
    <s v="Ottawa"/>
    <s v="Consumer"/>
    <s v="Cable Set"/>
    <x v="4"/>
    <n v="200.16"/>
    <n v="354.02"/>
    <n v="53.102999999999994"/>
    <n v="300.91699999999997"/>
    <n v="200.16"/>
    <n v="100.75699999999998"/>
    <n v="0.3348331932061"/>
    <n v="1"/>
    <n v="2025"/>
    <n v="8"/>
    <s v="août"/>
    <s v="Q3"/>
    <d v="2025-08-01T00:00:00"/>
    <x v="1"/>
  </r>
  <r>
    <s v="ORD-2025-00670"/>
    <d v="2025-12-01T00:00:00"/>
    <s v="C0101"/>
    <s v="P1036"/>
    <s v="Noah Martin, Saskatoon, Small Business"/>
    <s v="Vancouver West"/>
    <s v="E. Roy"/>
    <s v="Online"/>
    <n v="1"/>
    <n v="163.31"/>
    <n v="0.2"/>
    <s v="Credit Card"/>
    <n v="3"/>
    <s v="No"/>
    <x v="2"/>
    <s v="Vancouver West"/>
    <s v="Credit Card"/>
    <s v="C0101"/>
    <s v="Noah Martin"/>
    <s v="Saskatoon"/>
    <s v="Small Business"/>
    <s v="Power Bank"/>
    <x v="4"/>
    <n v="76.97"/>
    <n v="163.31"/>
    <n v="32.661999999999999"/>
    <n v="130.648"/>
    <n v="76.97"/>
    <n v="53.677999999999997"/>
    <n v="0.41085971465311372"/>
    <n v="0"/>
    <n v="2025"/>
    <n v="12"/>
    <s v="décembre"/>
    <s v="Q4"/>
    <d v="2025-12-01T00:00:00"/>
    <x v="5"/>
  </r>
  <r>
    <s v="ORD-2025-00671"/>
    <d v="2025-12-21T00:00:00"/>
    <s v="C0044"/>
    <s v="P1030"/>
    <s v="Nora Young, Vancouver, Corporate"/>
    <s v="Online Fulfillment"/>
    <s v="L. Chen"/>
    <s v="Online"/>
    <n v="2"/>
    <n v="243.64"/>
    <n v="0.25"/>
    <s v="Debit Card"/>
    <n v="1"/>
    <s v="No"/>
    <x v="2"/>
    <s v="Online Fulfillment"/>
    <s v="Debit Card"/>
    <s v="C0044"/>
    <s v="Nora Young"/>
    <s v="Vancouver"/>
    <s v="Corporate"/>
    <s v="Pull-up Bar"/>
    <x v="2"/>
    <n v="125.4"/>
    <n v="487.28"/>
    <n v="121.82"/>
    <n v="365.46"/>
    <n v="250.8"/>
    <n v="114.65999999999997"/>
    <n v="0.31374158594647833"/>
    <n v="0"/>
    <n v="2025"/>
    <n v="12"/>
    <s v="décembre"/>
    <s v="Q4"/>
    <d v="2025-12-01T00:00:00"/>
    <x v="3"/>
  </r>
  <r>
    <s v="ORD-2025-00672"/>
    <d v="2025-05-18T00:00:00"/>
    <s v="C0012"/>
    <s v="P1016"/>
    <s v="Daniel Taylor, Victoria, Corporate"/>
    <s v="Montreal Central"/>
    <s v="L. Chen"/>
    <s v="Online"/>
    <n v="1"/>
    <n v="333.13"/>
    <n v="0"/>
    <s v="Credit Card"/>
    <n v="9"/>
    <s v="No"/>
    <x v="2"/>
    <s v="Montreal Central"/>
    <s v="Credit Card"/>
    <s v="C0012"/>
    <s v="Daniel Taylor"/>
    <s v="Victoria"/>
    <s v="Corporate"/>
    <s v="Printer"/>
    <x v="1"/>
    <n v="156.75"/>
    <n v="333.13"/>
    <n v="0"/>
    <n v="333.13"/>
    <n v="156.75"/>
    <n v="176.38"/>
    <n v="0.52946297241317208"/>
    <n v="0"/>
    <n v="2025"/>
    <n v="5"/>
    <s v="mai"/>
    <s v="Q2"/>
    <d v="2025-05-01T00:00:00"/>
    <x v="3"/>
  </r>
  <r>
    <s v="ORD-2025-00673"/>
    <d v="2025-03-09T00:00:00"/>
    <s v="C0113"/>
    <s v="P1033"/>
    <s v="Olivia Johnson , Surrey , Consumer"/>
    <s v="Montreal Central"/>
    <s v="S. Patel"/>
    <s v="Online"/>
    <n v="1"/>
    <n v="300.93"/>
    <n v="0.15"/>
    <s v="Credit Card"/>
    <n v="6"/>
    <s v="No"/>
    <x v="2"/>
    <s v="Montreal Central"/>
    <s v="Credit Card"/>
    <s v="C0113"/>
    <s v="Olivia Johnson"/>
    <s v="Surrey"/>
    <s v="Consumer"/>
    <s v="Backpack"/>
    <x v="4"/>
    <n v="152.55000000000001"/>
    <n v="300.93"/>
    <n v="45.139499999999998"/>
    <n v="255.79050000000001"/>
    <n v="152.55000000000001"/>
    <n v="103.2405"/>
    <n v="0.40361350401989127"/>
    <n v="0"/>
    <n v="2025"/>
    <n v="3"/>
    <s v="mars"/>
    <s v="Q1"/>
    <d v="2025-03-01T00:00:00"/>
    <x v="3"/>
  </r>
  <r>
    <s v="ORD-2025-00674"/>
    <d v="2025-11-08T00:00:00"/>
    <s v="C0030"/>
    <s v="P1010"/>
    <s v="Emma Lee, Calgary, Corporate"/>
    <s v="Online Fulfillment"/>
    <s v="N. Brown"/>
    <s v="Online"/>
    <n v="3"/>
    <n v="211.4"/>
    <n v="0.15"/>
    <m/>
    <n v="2"/>
    <s v="No"/>
    <x v="2"/>
    <s v="Online Fulfillment"/>
    <s v="Non renseigné"/>
    <s v="C0030"/>
    <s v="Emma Lee"/>
    <s v="Calgary"/>
    <s v="Corporate"/>
    <s v="Desk Lamp"/>
    <x v="1"/>
    <n v="127.21"/>
    <n v="634.20000000000005"/>
    <n v="95.13000000000001"/>
    <n v="539.07000000000005"/>
    <n v="381.63"/>
    <n v="157.44000000000005"/>
    <n v="0.29205854527241365"/>
    <n v="0"/>
    <n v="2025"/>
    <n v="11"/>
    <s v="novembre"/>
    <s v="Q4"/>
    <d v="2025-11-01T00:00:00"/>
    <x v="0"/>
  </r>
  <r>
    <s v="ORD-2025-00675"/>
    <d v="2025-11-19T00:00:00"/>
    <s v="C0009"/>
    <s v="P1029"/>
    <s v="Ethan Tremblay, Mississauga, Corporate"/>
    <s v="Toronto Downtown"/>
    <s v="N. Brown"/>
    <s v="Online"/>
    <n v="1"/>
    <n v="196.11"/>
    <n v="0.1"/>
    <s v="Debit Card"/>
    <n v="3"/>
    <s v="No"/>
    <x v="2"/>
    <s v="Toronto Downtown"/>
    <s v="Debit Card"/>
    <s v="C0009"/>
    <s v="Ethan Tremblay"/>
    <s v="Mississauga"/>
    <s v="Corporate"/>
    <s v="Jump Rope"/>
    <x v="2"/>
    <n v="101"/>
    <n v="196.11"/>
    <n v="19.611000000000004"/>
    <n v="176.49900000000002"/>
    <n v="101"/>
    <n v="75.499000000000024"/>
    <n v="0.42775879750026918"/>
    <n v="0"/>
    <n v="2025"/>
    <n v="11"/>
    <s v="novembre"/>
    <s v="Q4"/>
    <d v="2025-11-01T00:00:00"/>
    <x v="1"/>
  </r>
  <r>
    <s v="ORD-2025-00676"/>
    <d v="2025-01-08T00:00:00"/>
    <s v="C0085"/>
    <s v="P1005"/>
    <s v="Yasmine Clark, Calgary, Consumer"/>
    <s v="Calgary North"/>
    <s v="S. Patel"/>
    <s v="Online"/>
    <n v="2"/>
    <n v="232.33"/>
    <n v="0.15"/>
    <s v="PayPal"/>
    <n v="5"/>
    <s v="No"/>
    <x v="2"/>
    <s v="Calgary North"/>
    <s v="PayPal"/>
    <s v="C0085"/>
    <s v="Yasmine Clark"/>
    <s v="Calgary"/>
    <s v="Consumer"/>
    <s v="Portable SSD"/>
    <x v="0"/>
    <n v="131.19"/>
    <n v="464.66"/>
    <n v="69.698999999999998"/>
    <n v="394.96100000000001"/>
    <n v="262.38"/>
    <n v="132.58100000000002"/>
    <n v="0.33568124447730285"/>
    <n v="0"/>
    <n v="2025"/>
    <n v="1"/>
    <s v="janvier"/>
    <s v="Q1"/>
    <d v="2025-01-01T00:00:00"/>
    <x v="0"/>
  </r>
  <r>
    <s v="ORD-2025-00677"/>
    <d v="2025-11-23T00:00:00"/>
    <s v="C0101"/>
    <s v="P1039"/>
    <s v="Noah Martin, Saskatoon, Small Business"/>
    <s v="Calgary North"/>
    <s v="E. Roy"/>
    <s v="Online"/>
    <n v="1"/>
    <n v="328.26"/>
    <n v="0.2"/>
    <s v="Credit Card"/>
    <n v="1"/>
    <s v="Yes"/>
    <x v="2"/>
    <s v="Calgary North"/>
    <s v="Credit Card"/>
    <s v="C0101"/>
    <s v="Noah Martin"/>
    <s v="Saskatoon"/>
    <s v="Small Business"/>
    <s v="Travel Adapter"/>
    <x v="4"/>
    <n v="229.86"/>
    <n v="328.26"/>
    <n v="65.652000000000001"/>
    <n v="262.608"/>
    <n v="229.86"/>
    <n v="32.74799999999999"/>
    <n v="0.12470297934564062"/>
    <n v="1"/>
    <n v="2025"/>
    <n v="11"/>
    <s v="novembre"/>
    <s v="Q4"/>
    <d v="2025-11-01T00:00:00"/>
    <x v="5"/>
  </r>
  <r>
    <s v="ORD-2025-00678"/>
    <d v="2025-08-01T00:00:00"/>
    <s v="C0043"/>
    <s v="P1018"/>
    <s v="Ava Brown, Ottawa, Small Business"/>
    <s v="Calgary North"/>
    <s v="J. Tremblay"/>
    <s v="Online"/>
    <n v="1"/>
    <n v="29.28"/>
    <n v="0.2"/>
    <s v="PayPal"/>
    <n v="9"/>
    <s v="No"/>
    <x v="2"/>
    <s v="Calgary North"/>
    <s v="PayPal"/>
    <s v="C0043"/>
    <s v="Ava Brown"/>
    <s v="Ottawa"/>
    <s v="Small Business"/>
    <s v="Air Fryer"/>
    <x v="3"/>
    <n v="14.58"/>
    <n v="29.28"/>
    <n v="5.8560000000000008"/>
    <n v="23.423999999999999"/>
    <n v="14.58"/>
    <n v="8.8439999999999994"/>
    <n v="0.37756147540983603"/>
    <n v="0"/>
    <n v="2025"/>
    <n v="8"/>
    <s v="août"/>
    <s v="Q3"/>
    <d v="2025-08-01T00:00:00"/>
    <x v="1"/>
  </r>
  <r>
    <s v="ORD-2025-00679"/>
    <d v="2025-01-30T00:00:00"/>
    <s v="C0009"/>
    <s v="P1039"/>
    <s v="Ethan Tremblay, Mississauga, Corporate"/>
    <s v="Montreal Central"/>
    <s v="E. Roy"/>
    <s v="Online"/>
    <n v="2"/>
    <n v="339.82"/>
    <n v="0.05"/>
    <s v="Debit Card"/>
    <n v="7"/>
    <s v="No"/>
    <x v="2"/>
    <s v="Montreal Central"/>
    <s v="Debit Card"/>
    <s v="C0009"/>
    <s v="Ethan Tremblay"/>
    <s v="Mississauga"/>
    <s v="Corporate"/>
    <s v="Travel Adapter"/>
    <x v="4"/>
    <n v="229.86"/>
    <n v="679.64"/>
    <n v="33.981999999999999"/>
    <n v="645.65800000000002"/>
    <n v="459.72"/>
    <n v="185.93799999999999"/>
    <n v="0.2879821825176796"/>
    <n v="0"/>
    <n v="2025"/>
    <n v="1"/>
    <s v="janvier"/>
    <s v="Q1"/>
    <d v="2025-01-01T00:00:00"/>
    <x v="1"/>
  </r>
  <r>
    <s v="ORD-2025-00680"/>
    <d v="2025-01-23T00:00:00"/>
    <s v="C0070"/>
    <s v="P1032"/>
    <s v="Sophia Young, Halifax, Corporate"/>
    <s v="Online  Fulfillment"/>
    <s v="S. Patel"/>
    <s v="Marketplace"/>
    <n v="5"/>
    <n v="210.76"/>
    <n v="0"/>
    <s v="Credit Card"/>
    <n v="7"/>
    <s v="No"/>
    <x v="1"/>
    <s v="Online Fulfillment"/>
    <s v="Credit Card"/>
    <s v="C0070"/>
    <s v="Sophia Young"/>
    <s v="Halifax"/>
    <s v="Corporate"/>
    <s v="Gym Bag"/>
    <x v="2"/>
    <n v="132.72"/>
    <n v="1053.8"/>
    <n v="0"/>
    <n v="1053.8"/>
    <n v="663.6"/>
    <n v="390.19999999999993"/>
    <n v="0.37027899032074391"/>
    <n v="0"/>
    <n v="2025"/>
    <n v="1"/>
    <s v="janvier"/>
    <s v="Q1"/>
    <d v="2025-01-01T00:00:00"/>
    <x v="2"/>
  </r>
  <r>
    <s v="ORD-2025-00681"/>
    <d v="2025-07-21T00:00:00"/>
    <s v="C0052"/>
    <s v="P1015"/>
    <s v="Liam Bennett, Edmonton, Corporate"/>
    <s v="Online Fulfillment"/>
    <s v="R. Singh"/>
    <s v="Online"/>
    <n v="2"/>
    <n v="399.06"/>
    <n v="0"/>
    <s v="Credit Card"/>
    <n v="7"/>
    <s v="No"/>
    <x v="2"/>
    <s v="Online Fulfillment"/>
    <s v="Credit Card"/>
    <s v="C0052"/>
    <s v="Liam Bennett"/>
    <s v="Edmonton"/>
    <s v="Corporate"/>
    <s v="Desk Organizer"/>
    <x v="1"/>
    <n v="235.76"/>
    <n v="798.12"/>
    <n v="0"/>
    <n v="798.12"/>
    <n v="471.52"/>
    <n v="326.60000000000002"/>
    <n v="0.40921164737132265"/>
    <n v="0"/>
    <n v="2025"/>
    <n v="7"/>
    <s v="juillet"/>
    <s v="Q3"/>
    <d v="2025-07-01T00:00:00"/>
    <x v="0"/>
  </r>
  <r>
    <s v="ORD-2025-00682"/>
    <d v="2025-08-01T00:00:00"/>
    <s v="C0110"/>
    <s v="P1034"/>
    <s v="Sarah Smith, Laval, Consumer"/>
    <s v="Online Fulfillment"/>
    <s v="J. Tremblay"/>
    <s v="Retail Store"/>
    <n v="1"/>
    <n v="144.43"/>
    <n v="0.15"/>
    <s v="PayPal"/>
    <n v="4"/>
    <s v="No"/>
    <x v="0"/>
    <s v="Online Fulfillment"/>
    <s v="PayPal"/>
    <s v="C0110"/>
    <s v="Sarah Smith"/>
    <s v="Laval"/>
    <s v="Consumer"/>
    <s v="Laptop Sleeve"/>
    <x v="4"/>
    <n v="78.95"/>
    <n v="144.43"/>
    <n v="21.6645"/>
    <n v="122.7655"/>
    <n v="78.95"/>
    <n v="43.8155"/>
    <n v="0.35690401619347456"/>
    <n v="0"/>
    <n v="2025"/>
    <n v="8"/>
    <s v="août"/>
    <s v="Q3"/>
    <d v="2025-08-01T00:00:00"/>
    <x v="4"/>
  </r>
  <r>
    <s v="ORD-2025-00683"/>
    <d v="2025-11-27T00:00:00"/>
    <s v="C0029"/>
    <s v="P1021"/>
    <s v="Olivia White, Victoria, Consumer"/>
    <s v="Online Fulfillment"/>
    <s v="M. Wilson"/>
    <s v="Online"/>
    <n v="3"/>
    <n v="308.36"/>
    <n v="0.1"/>
    <s v="Credit Card"/>
    <n v="8"/>
    <s v="No"/>
    <x v="2"/>
    <s v="Online Fulfillment"/>
    <s v="Credit Card"/>
    <s v="C0029"/>
    <s v="Olivia White"/>
    <s v="Victoria"/>
    <s v="Consumer"/>
    <s v="Kettle"/>
    <x v="3"/>
    <n v="139.86000000000001"/>
    <n v="925.08"/>
    <n v="92.50800000000001"/>
    <n v="832.572"/>
    <n v="419.58000000000004"/>
    <n v="412.99199999999996"/>
    <n v="0.49604358541963933"/>
    <n v="0"/>
    <n v="2025"/>
    <n v="11"/>
    <s v="novembre"/>
    <s v="Q4"/>
    <d v="2025-11-01T00:00:00"/>
    <x v="3"/>
  </r>
  <r>
    <s v="ORD-2025-00684"/>
    <d v="2025-11-23T00:00:00"/>
    <s v="C0012"/>
    <s v="P1014"/>
    <s v="Daniel Taylor, Victoria, Corporate"/>
    <s v="Vancouver West"/>
    <s v="R. Singh"/>
    <s v="Retail Store"/>
    <n v="1"/>
    <n v="229.18"/>
    <n v="0.25"/>
    <s v="Credit Card"/>
    <n v="0"/>
    <s v="No"/>
    <x v="0"/>
    <s v="Vancouver West"/>
    <s v="Credit Card"/>
    <s v="C0012"/>
    <s v="Daniel Taylor"/>
    <s v="Victoria"/>
    <s v="Corporate"/>
    <s v="Document Shredder"/>
    <x v="1"/>
    <n v="117.65"/>
    <n v="229.18"/>
    <n v="57.295000000000002"/>
    <n v="171.88499999999999"/>
    <n v="117.65"/>
    <n v="54.234999999999985"/>
    <n v="0.31553073275736676"/>
    <n v="0"/>
    <n v="2025"/>
    <n v="11"/>
    <s v="novembre"/>
    <s v="Q4"/>
    <d v="2025-11-01T00:00:00"/>
    <x v="3"/>
  </r>
  <r>
    <s v="ORD-2025-00685"/>
    <d v="2025-03-19T00:00:00"/>
    <s v="C0119"/>
    <s v="P1019"/>
    <s v="Liam Chen, Winnipeg, Consumer"/>
    <s v="Calgary North"/>
    <s v="R. Singh"/>
    <s v="Marketplace"/>
    <n v="1"/>
    <n v="280.38"/>
    <n v="0.25"/>
    <s v="Debit Card"/>
    <n v="2"/>
    <s v="Yes"/>
    <x v="1"/>
    <s v="Calgary North"/>
    <s v="Debit Card"/>
    <s v="C0119"/>
    <s v="Liam Chen"/>
    <s v="Winnipeg"/>
    <s v="Consumer"/>
    <s v="Vacuum"/>
    <x v="3"/>
    <n v="186.94"/>
    <n v="280.38"/>
    <n v="70.094999999999999"/>
    <n v="210.285"/>
    <n v="186.94"/>
    <n v="23.344999999999999"/>
    <n v="0.11101600209239841"/>
    <n v="1"/>
    <n v="2025"/>
    <n v="3"/>
    <s v="mars"/>
    <s v="Q1"/>
    <d v="2025-03-01T00:00:00"/>
    <x v="6"/>
  </r>
  <r>
    <s v="ORD-2025-00686"/>
    <d v="2025-05-20T00:00:00"/>
    <s v="C0089"/>
    <s v="P1001"/>
    <s v="Lucas Martin, Vancouver, Consumer"/>
    <s v="Online Fulfillment"/>
    <s v="J. Tremblay"/>
    <s v="Online"/>
    <n v="2"/>
    <n v="350.77"/>
    <n v="0.1"/>
    <s v="PayPal"/>
    <n v="9"/>
    <s v="No"/>
    <x v="2"/>
    <s v="Online Fulfillment"/>
    <s v="PayPal"/>
    <s v="C0089"/>
    <s v="Lucas Martin"/>
    <s v="Vancouver"/>
    <s v="Consumer"/>
    <s v="Headphones"/>
    <x v="0"/>
    <n v="254.6"/>
    <n v="701.54"/>
    <n v="70.153999999999996"/>
    <n v="631.38599999999997"/>
    <n v="509.2"/>
    <n v="122.18599999999998"/>
    <n v="0.19352028711438007"/>
    <n v="0"/>
    <n v="2025"/>
    <n v="5"/>
    <s v="mai"/>
    <s v="Q2"/>
    <d v="2025-05-01T00:00:00"/>
    <x v="3"/>
  </r>
  <r>
    <s v="ORD-2025-00687"/>
    <d v="2025-10-26T00:00:00"/>
    <s v="C0120"/>
    <s v="P1030"/>
    <s v="Ethan King, Mississauga, Small Business"/>
    <s v="Montreal Central"/>
    <s v="E. Roy"/>
    <s v="Online"/>
    <n v="1"/>
    <n v="240.35"/>
    <n v="0"/>
    <s v="Credit Card"/>
    <n v="8"/>
    <s v="No"/>
    <x v="2"/>
    <s v="Montreal Central"/>
    <s v="Credit Card"/>
    <s v="C0120"/>
    <s v="Ethan King"/>
    <s v="Mississauga"/>
    <s v="Small Business"/>
    <s v="Pull-up Bar"/>
    <x v="2"/>
    <n v="125.4"/>
    <n v="240.35"/>
    <n v="0"/>
    <n v="240.35"/>
    <n v="125.4"/>
    <n v="114.94999999999999"/>
    <n v="0.47826086956521735"/>
    <n v="0"/>
    <n v="2025"/>
    <n v="10"/>
    <s v="octobre"/>
    <s v="Q4"/>
    <d v="2025-10-01T00:00:00"/>
    <x v="1"/>
  </r>
  <r>
    <s v="ORD-2025-00688"/>
    <d v="2025-02-03T00:00:00"/>
    <s v="C0082"/>
    <s v="P1038"/>
    <s v="Ryan King, Winnipeg, Small Business"/>
    <s v="Montreal Central"/>
    <s v="A. Morgan"/>
    <s v="Online"/>
    <n v="2"/>
    <n v="261.43"/>
    <n v="0.15"/>
    <s v="Credit Card"/>
    <n v="2"/>
    <s v="No"/>
    <x v="2"/>
    <s v="Montreal Central"/>
    <s v="Credit Card"/>
    <s v="C0082"/>
    <s v="Ryan King"/>
    <s v="Winnipeg"/>
    <s v="Small Business"/>
    <s v="Water Bottle"/>
    <x v="4"/>
    <n v="119.16"/>
    <n v="522.86"/>
    <n v="78.429000000000002"/>
    <n v="444.43100000000004"/>
    <n v="238.32"/>
    <n v="206.11100000000005"/>
    <n v="0.46376377885431042"/>
    <n v="0"/>
    <n v="2025"/>
    <n v="2"/>
    <s v="février"/>
    <s v="Q1"/>
    <d v="2025-02-01T00:00:00"/>
    <x v="6"/>
  </r>
  <r>
    <s v="ORD-2025-00689"/>
    <d v="2025-06-25T00:00:00"/>
    <s v="C0090"/>
    <s v="P1019"/>
    <s v="Nora Young, Montreal, Small Business"/>
    <s v="Online Fulfillment"/>
    <s v="N. Brown"/>
    <s v="Retail Store"/>
    <n v="2"/>
    <n v="279.02999999999997"/>
    <n v="0.05"/>
    <s v="Credit Card"/>
    <n v="4"/>
    <s v="No"/>
    <x v="0"/>
    <s v="Online Fulfillment"/>
    <s v="Credit Card"/>
    <s v="C0090"/>
    <s v="Nora Young"/>
    <s v="Montreal"/>
    <s v="Small Business"/>
    <s v="Vacuum"/>
    <x v="3"/>
    <n v="186.94"/>
    <n v="558.05999999999995"/>
    <n v="27.902999999999999"/>
    <n v="530.15699999999993"/>
    <n v="373.88"/>
    <n v="156.27699999999993"/>
    <n v="0.29477494402601484"/>
    <n v="0"/>
    <n v="2025"/>
    <n v="6"/>
    <s v="juin"/>
    <s v="Q2"/>
    <d v="2025-06-01T00:00:00"/>
    <x v="4"/>
  </r>
  <r>
    <s v="ORD-2025-00690"/>
    <d v="2025-04-21T00:00:00"/>
    <s v="C0097"/>
    <s v="P1023"/>
    <s v="Sarah Khan, Montreal, Consumer"/>
    <s v="Vancouver West"/>
    <s v="M. Wilson"/>
    <s v="Marketplace"/>
    <n v="1"/>
    <n v="312.32"/>
    <n v="0.05"/>
    <s v="Credit Card"/>
    <n v="7"/>
    <s v="No"/>
    <x v="1"/>
    <s v="Vancouver West"/>
    <s v="Credit Card"/>
    <s v="C0097"/>
    <s v="Sarah Khan"/>
    <s v="Montreal"/>
    <s v="Consumer"/>
    <s v="Toaster"/>
    <x v="3"/>
    <n v="152.88"/>
    <n v="312.32"/>
    <n v="15.616"/>
    <n v="296.70400000000001"/>
    <n v="152.88"/>
    <n v="143.82400000000001"/>
    <n v="0.48473899913718727"/>
    <n v="0"/>
    <n v="2025"/>
    <n v="4"/>
    <s v="avril"/>
    <s v="Q2"/>
    <d v="2025-04-01T00:00:00"/>
    <x v="4"/>
  </r>
  <r>
    <s v="ORD-2025-00691"/>
    <d v="2025-04-09T00:00:00"/>
    <s v="C0052"/>
    <s v="P1013"/>
    <s v="Liam Bennett, Edmonton, Corporate"/>
    <s v="Online Fulfillment"/>
    <s v="R. Singh"/>
    <s v="Online"/>
    <n v="2"/>
    <n v="128.16"/>
    <n v="0.15"/>
    <s v="Credit Card"/>
    <n v="1"/>
    <s v="No"/>
    <x v="2"/>
    <s v="Online Fulfillment"/>
    <s v="Credit Card"/>
    <s v="C0052"/>
    <s v="Liam Bennett"/>
    <s v="Edmonton"/>
    <s v="Corporate"/>
    <s v="Whiteboard"/>
    <x v="1"/>
    <n v="85.73"/>
    <n v="256.32"/>
    <n v="38.448"/>
    <n v="217.87199999999999"/>
    <n v="171.46"/>
    <n v="46.411999999999978"/>
    <n v="0.21302416097525143"/>
    <n v="0"/>
    <n v="2025"/>
    <n v="4"/>
    <s v="avril"/>
    <s v="Q2"/>
    <d v="2025-04-01T00:00:00"/>
    <x v="0"/>
  </r>
  <r>
    <s v="ORD-2025-00692"/>
    <d v="2025-05-19T00:00:00"/>
    <s v="C0068"/>
    <s v="P1007"/>
    <s v="Yasmine Martin, Calgary, Consumer"/>
    <s v="Calgary North"/>
    <s v="M. Wilson"/>
    <s v="Online"/>
    <n v="3"/>
    <n v="367.91"/>
    <n v="0"/>
    <s v="Credit Card"/>
    <n v="8"/>
    <s v="No"/>
    <x v="2"/>
    <s v="Calgary North"/>
    <s v="Credit Card"/>
    <s v="C0068"/>
    <s v="Yasmine Martin"/>
    <s v="Calgary"/>
    <s v="Consumer"/>
    <s v="Monitor"/>
    <x v="0"/>
    <n v="224.47"/>
    <n v="1103.73"/>
    <n v="0"/>
    <n v="1103.73"/>
    <n v="673.41"/>
    <n v="430.32000000000005"/>
    <n v="0.38987795928352048"/>
    <n v="0"/>
    <n v="2025"/>
    <n v="5"/>
    <s v="mai"/>
    <s v="Q2"/>
    <d v="2025-05-01T00:00:00"/>
    <x v="0"/>
  </r>
  <r>
    <s v="ORD-2025-00693"/>
    <d v="2025-08-06T00:00:00"/>
    <s v="C0109"/>
    <s v="P1024"/>
    <s v="Emma Wilson, Victoria, Consumer"/>
    <s v="Calgary North"/>
    <s v="J. Tremblay"/>
    <s v="Retail Store"/>
    <n v="3"/>
    <n v="103.07"/>
    <n v="0.1"/>
    <s v="PayPal"/>
    <n v="4"/>
    <s v="No"/>
    <x v="0"/>
    <s v="Calgary North"/>
    <s v="PayPal"/>
    <s v="C0109"/>
    <s v="Emma Wilson"/>
    <s v="Victoria"/>
    <s v="Consumer"/>
    <s v="Food Scale"/>
    <x v="3"/>
    <n v="46.07"/>
    <n v="309.20999999999998"/>
    <n v="30.920999999999999"/>
    <n v="278.28899999999999"/>
    <n v="138.21"/>
    <n v="140.07899999999998"/>
    <n v="0.5033580199001757"/>
    <n v="0"/>
    <n v="2025"/>
    <n v="8"/>
    <s v="août"/>
    <s v="Q3"/>
    <d v="2025-08-01T00:00:00"/>
    <x v="3"/>
  </r>
  <r>
    <s v="ORD-2025-00694"/>
    <d v="2025-10-31T00:00:00"/>
    <s v="C0101"/>
    <s v="P1010"/>
    <s v="Noah Martin, Saskatoon, Small Business"/>
    <s v="Montreal Central"/>
    <s v="L. Chen"/>
    <s v="Online"/>
    <n v="4"/>
    <n v="210.06"/>
    <n v="0.05"/>
    <s v="Debit  Card"/>
    <n v="1"/>
    <s v="No"/>
    <x v="2"/>
    <s v="Montreal Central"/>
    <s v="Debit Card"/>
    <s v="C0101"/>
    <s v="Noah Martin"/>
    <s v="Saskatoon"/>
    <s v="Small Business"/>
    <s v="Desk Lamp"/>
    <x v="1"/>
    <n v="127.21"/>
    <n v="840.24"/>
    <n v="42.012"/>
    <n v="798.22800000000007"/>
    <n v="508.84"/>
    <n v="289.38800000000009"/>
    <n v="0.36253802171810567"/>
    <n v="0"/>
    <n v="2025"/>
    <n v="10"/>
    <s v="octobre"/>
    <s v="Q4"/>
    <d v="2025-10-01T00:00:00"/>
    <x v="5"/>
  </r>
  <r>
    <s v="ORD-2025-00695"/>
    <d v="2025-02-18T00:00:00"/>
    <s v="C0002"/>
    <s v="P1037"/>
    <s v="Ryan Johnson, Montreal, Small Business"/>
    <s v="Online Fulfillment"/>
    <s v="M. Wilson"/>
    <s v="Online"/>
    <n v="2"/>
    <n v="352.47"/>
    <n v="0"/>
    <s v="Gift Card"/>
    <n v="9"/>
    <s v="Yes"/>
    <x v="2"/>
    <s v="Online Fulfillment"/>
    <s v="Gift Card"/>
    <s v="C0002"/>
    <s v="Ryan Johnson"/>
    <s v="Montreal"/>
    <s v="Small Business"/>
    <s v="Cable Set"/>
    <x v="4"/>
    <n v="200.16"/>
    <n v="704.94"/>
    <n v="0"/>
    <n v="704.94"/>
    <n v="400.32"/>
    <n v="304.62000000000006"/>
    <n v="0.43212188271342244"/>
    <n v="1"/>
    <n v="2025"/>
    <n v="2"/>
    <s v="février"/>
    <s v="Q1"/>
    <d v="2025-02-01T00:00:00"/>
    <x v="4"/>
  </r>
  <r>
    <s v="ORD-2025-00696"/>
    <d v="2025-03-31T00:00:00"/>
    <s v="C0113"/>
    <s v="P1017"/>
    <s v="Olivia Johnson, Surrey, Consumer"/>
    <s v="Toronto Downtown"/>
    <s v="L. Chen"/>
    <s v="Online"/>
    <n v="3"/>
    <n v="363.97"/>
    <n v="0"/>
    <s v="PayPal"/>
    <n v="1"/>
    <s v="No"/>
    <x v="2"/>
    <s v="Toronto Downtown"/>
    <s v="PayPal"/>
    <s v="C0113"/>
    <s v="Olivia Johnson"/>
    <s v="Surrey"/>
    <s v="Consumer"/>
    <s v="Coffee Maker"/>
    <x v="3"/>
    <n v="241.16"/>
    <n v="1091.9100000000001"/>
    <n v="0"/>
    <n v="1091.9100000000001"/>
    <n v="723.48"/>
    <n v="368.43000000000006"/>
    <n v="0.33741791905926316"/>
    <n v="0"/>
    <n v="2025"/>
    <n v="3"/>
    <s v="mars"/>
    <s v="Q1"/>
    <d v="2025-03-01T00:00:00"/>
    <x v="3"/>
  </r>
  <r>
    <s v="ORD-2025-00697"/>
    <d v="2025-10-12T00:00:00"/>
    <s v="C0119"/>
    <s v="P1035"/>
    <s v="Liam Chen, Winnipeg, Consumer"/>
    <s v="Toronto Downtown"/>
    <s v="M. Wilson"/>
    <s v="Retail Store"/>
    <n v="1"/>
    <n v="82.58"/>
    <n v="0"/>
    <s v="PayPal"/>
    <n v="4"/>
    <s v="No"/>
    <x v="0"/>
    <s v="Toronto Downtown"/>
    <s v="PayPal"/>
    <s v="C0119"/>
    <s v="Liam Chen"/>
    <s v="Winnipeg"/>
    <s v="Consumer"/>
    <s v="Phone Stand"/>
    <x v="4"/>
    <n v="59.85"/>
    <n v="82.58"/>
    <n v="0"/>
    <n v="82.58"/>
    <n v="59.85"/>
    <n v="22.729999999999997"/>
    <n v="0.27524824412690718"/>
    <n v="0"/>
    <n v="2025"/>
    <n v="10"/>
    <s v="octobre"/>
    <s v="Q4"/>
    <d v="2025-10-01T00:00:00"/>
    <x v="6"/>
  </r>
  <r>
    <s v="ORD-2025-00698"/>
    <d v="2025-09-25T00:00:00"/>
    <s v="C0120"/>
    <s v="P1034"/>
    <s v="Ethan King, Mississauga, Small Business"/>
    <s v="Online Fulfillment"/>
    <s v="R. Singh"/>
    <s v="Online"/>
    <n v="1"/>
    <n v="149.07"/>
    <n v="0.1"/>
    <s v="Credit Card"/>
    <n v="8"/>
    <s v="No"/>
    <x v="2"/>
    <s v="Online Fulfillment"/>
    <s v="Credit Card"/>
    <s v="C0120"/>
    <s v="Ethan King"/>
    <s v="Mississauga"/>
    <s v="Small Business"/>
    <s v="Laptop Sleeve"/>
    <x v="4"/>
    <n v="78.95"/>
    <n v="149.07"/>
    <n v="14.907"/>
    <n v="134.16299999999998"/>
    <n v="78.95"/>
    <n v="55.21299999999998"/>
    <n v="0.41153671280457343"/>
    <n v="0"/>
    <n v="2025"/>
    <n v="9"/>
    <s v="septembre"/>
    <s v="Q3"/>
    <d v="2025-09-01T00:00:00"/>
    <x v="1"/>
  </r>
  <r>
    <s v="ORD-2025-00699"/>
    <d v="2025-07-16T00:00:00"/>
    <s v="C0037"/>
    <s v="P1023"/>
    <s v="Lucas Scott, Victoria, Small Business"/>
    <s v="Montreal Central"/>
    <s v="L. Chen"/>
    <s v="Online"/>
    <n v="3"/>
    <n v="319.41000000000003"/>
    <n v="0.15"/>
    <s v="PayPal"/>
    <n v="2"/>
    <s v="No"/>
    <x v="2"/>
    <s v="Montreal Central"/>
    <s v="PayPal"/>
    <s v="C0037"/>
    <s v="Lucas Scott"/>
    <s v="Victoria"/>
    <s v="Small Business"/>
    <s v="Toaster"/>
    <x v="3"/>
    <n v="152.88"/>
    <n v="958.23"/>
    <n v="143.7345"/>
    <n v="814.49549999999999"/>
    <n v="458.64"/>
    <n v="355.85550000000001"/>
    <n v="0.43690296631473102"/>
    <n v="0"/>
    <n v="2025"/>
    <n v="7"/>
    <s v="juillet"/>
    <s v="Q3"/>
    <d v="2025-07-01T00:00:00"/>
    <x v="3"/>
  </r>
  <r>
    <s v="ORD-2025-00700"/>
    <d v="2025-05-24T00:00:00"/>
    <s v="C0006"/>
    <s v="P1009"/>
    <s v="Nora Wilson, Laval, Consumer"/>
    <s v="Montreal Central"/>
    <s v="N. Brown"/>
    <s v="Retail Store"/>
    <n v="1"/>
    <n v="297.7"/>
    <n v="0.15"/>
    <s v="PayPal"/>
    <n v="0"/>
    <s v="No"/>
    <x v="0"/>
    <s v="Montreal Central"/>
    <s v="PayPal"/>
    <s v="C0006"/>
    <s v="Nora Wilson"/>
    <s v="Laval"/>
    <s v="Consumer"/>
    <s v="Notebook"/>
    <x v="1"/>
    <n v="176.13"/>
    <n v="297.7"/>
    <n v="44.654999999999994"/>
    <n v="253.04499999999999"/>
    <n v="176.13"/>
    <n v="76.914999999999992"/>
    <n v="0.30395779406824869"/>
    <n v="0"/>
    <n v="2025"/>
    <n v="5"/>
    <s v="mai"/>
    <s v="Q2"/>
    <d v="2025-05-01T00:00:00"/>
    <x v="4"/>
  </r>
  <r>
    <s v="ORD-2025-00701"/>
    <d v="2025-02-15T00:00:00"/>
    <s v="C0072"/>
    <s v="P1004"/>
    <s v="Ryan Bennett, Montreal, Corporate"/>
    <s v="Vancouver West"/>
    <s v="E. Roy"/>
    <s v="Online"/>
    <n v="2"/>
    <n v="274.38"/>
    <n v="0.15"/>
    <s v="Debit Card"/>
    <n v="4"/>
    <s v="No"/>
    <x v="2"/>
    <s v="Vancouver West"/>
    <s v="Debit Card"/>
    <s v="C0072"/>
    <s v="Ryan Bennett"/>
    <s v="Montreal"/>
    <s v="Corporate"/>
    <s v="Webcam"/>
    <x v="0"/>
    <n v="154.72999999999999"/>
    <n v="548.76"/>
    <n v="82.313999999999993"/>
    <n v="466.44600000000003"/>
    <n v="309.45999999999998"/>
    <n v="156.98600000000005"/>
    <n v="0.33655771514816302"/>
    <n v="0"/>
    <n v="2025"/>
    <n v="2"/>
    <s v="février"/>
    <s v="Q1"/>
    <d v="2025-02-01T00:00:00"/>
    <x v="4"/>
  </r>
  <r>
    <s v="ORD-2025-00702"/>
    <d v="2025-02-07T00:00:00"/>
    <s v="C0067"/>
    <s v="P1016"/>
    <s v="Leo Bennett, Mississauga, Consumer"/>
    <s v="Toronto Downtown"/>
    <s v="M. Wilson"/>
    <s v="Retail Store"/>
    <n v="2"/>
    <n v="328.35"/>
    <n v="0.05"/>
    <s v="Credit Card"/>
    <n v="3"/>
    <s v="No"/>
    <x v="0"/>
    <s v="Toronto Downtown"/>
    <s v="Credit Card"/>
    <s v="C0067"/>
    <s v="Leo Bennett"/>
    <s v="Mississauga"/>
    <s v="Consumer"/>
    <s v="Printer"/>
    <x v="1"/>
    <n v="156.75"/>
    <n v="656.7"/>
    <n v="32.835000000000001"/>
    <n v="623.86500000000001"/>
    <n v="313.5"/>
    <n v="310.36500000000001"/>
    <n v="0.49748743718592964"/>
    <n v="0"/>
    <n v="2025"/>
    <n v="2"/>
    <s v="février"/>
    <s v="Q1"/>
    <d v="2025-02-01T00:00:00"/>
    <x v="1"/>
  </r>
  <r>
    <s v="ORD-2025-00703"/>
    <d v="2025-12-23T00:00:00"/>
    <s v="C0116"/>
    <s v="P1015"/>
    <s v="Lucas Brown, Mississauga, Corporate"/>
    <s v="Online Fulfillment"/>
    <s v="A. Morgan"/>
    <s v="Online"/>
    <n v="2"/>
    <n v="377.86"/>
    <n v="0.25"/>
    <s v="Debit Card"/>
    <n v="6"/>
    <s v="No"/>
    <x v="2"/>
    <s v="Online Fulfillment"/>
    <s v="Debit Card"/>
    <s v="C0116"/>
    <s v="Lucas Brown"/>
    <s v="Mississauga"/>
    <s v="Corporate"/>
    <s v="Desk Organizer"/>
    <x v="1"/>
    <n v="235.76"/>
    <n v="755.72"/>
    <n v="188.93"/>
    <n v="566.79"/>
    <n v="471.52"/>
    <n v="95.269999999999982"/>
    <n v="0.16808694578238853"/>
    <n v="0"/>
    <n v="2025"/>
    <n v="12"/>
    <s v="décembre"/>
    <s v="Q4"/>
    <d v="2025-12-01T00:00:00"/>
    <x v="1"/>
  </r>
  <r>
    <s v="ORD-2025-00704"/>
    <d v="2025-08-05T00:00:00"/>
    <s v="C0107"/>
    <s v="P1034"/>
    <s v="Ava Lee, Calgary, Small Business"/>
    <s v="Calgary North"/>
    <s v="M. Wilson"/>
    <s v="Online"/>
    <n v="4"/>
    <n v="141.24"/>
    <n v="0"/>
    <s v="Credit Card"/>
    <n v="4"/>
    <s v="No"/>
    <x v="2"/>
    <s v="Calgary North"/>
    <s v="Credit Card"/>
    <s v="C0107"/>
    <s v="Ava Lee"/>
    <s v="Calgary"/>
    <s v="Small Business"/>
    <s v="Laptop Sleeve"/>
    <x v="4"/>
    <n v="78.95"/>
    <n v="564.96"/>
    <n v="0"/>
    <n v="564.96"/>
    <n v="315.8"/>
    <n v="249.16000000000003"/>
    <n v="0.44102237326536392"/>
    <n v="0"/>
    <n v="2025"/>
    <n v="8"/>
    <s v="août"/>
    <s v="Q3"/>
    <d v="2025-08-01T00:00:00"/>
    <x v="0"/>
  </r>
  <r>
    <s v="ORD-2025-00705"/>
    <d v="2025-03-02T00:00:00"/>
    <s v="C0048"/>
    <s v="P1033"/>
    <s v="Amelia Brown, Quebec City, Corporate"/>
    <s v="Vancouver West"/>
    <s v="L. Chen"/>
    <s v="Online"/>
    <n v="3"/>
    <n v="318.18"/>
    <n v="0.1"/>
    <s v="Debit Card"/>
    <n v="7"/>
    <s v="No"/>
    <x v="2"/>
    <s v="Vancouver West"/>
    <s v="Debit Card"/>
    <s v="C0048"/>
    <s v="Amelia Brown"/>
    <s v="Quebec City"/>
    <s v="Corporate"/>
    <s v="Backpack"/>
    <x v="4"/>
    <n v="152.55000000000001"/>
    <n v="954.54"/>
    <n v="95.454000000000008"/>
    <n v="859.08600000000001"/>
    <n v="457.65000000000003"/>
    <n v="401.43599999999998"/>
    <n v="0.46728267018668673"/>
    <n v="0"/>
    <n v="2025"/>
    <n v="3"/>
    <s v="mars"/>
    <s v="Q1"/>
    <d v="2025-03-01T00:00:00"/>
    <x v="4"/>
  </r>
  <r>
    <s v="ORD-2025-00706"/>
    <d v="2025-10-24T00:00:00"/>
    <s v="C0082"/>
    <s v="P1016"/>
    <s v="Ryan King, Winnipeg, Small Business"/>
    <s v="Vancouver West"/>
    <s v="L. Chen"/>
    <s v="Retail  Store"/>
    <n v="4"/>
    <n v="328.67"/>
    <n v="0"/>
    <s v="PayPal"/>
    <n v="1"/>
    <s v="No"/>
    <x v="0"/>
    <s v="Vancouver West"/>
    <s v="PayPal"/>
    <s v="C0082"/>
    <s v="Ryan King"/>
    <s v="Winnipeg"/>
    <s v="Small Business"/>
    <s v="Printer"/>
    <x v="1"/>
    <n v="156.75"/>
    <n v="1314.68"/>
    <n v="0"/>
    <n v="1314.68"/>
    <n v="627"/>
    <n v="687.68000000000006"/>
    <n v="0.52307785925092043"/>
    <n v="0"/>
    <n v="2025"/>
    <n v="10"/>
    <s v="octobre"/>
    <s v="Q4"/>
    <d v="2025-10-01T00:00:00"/>
    <x v="6"/>
  </r>
  <r>
    <s v="ORD-2025-00707"/>
    <d v="2025-06-09T00:00:00"/>
    <s v="C0034"/>
    <s v="P1020"/>
    <s v="Noah Tremblay, Toronto, Corporate"/>
    <s v="Montreal  Central"/>
    <s v="M. Wilson"/>
    <s v="Retail Store"/>
    <n v="5"/>
    <n v="62.48"/>
    <n v="0"/>
    <s v="Credit Card"/>
    <n v="0"/>
    <s v="No"/>
    <x v="0"/>
    <s v="Montreal Central"/>
    <s v="Credit Card"/>
    <s v="C0034"/>
    <s v="Noah Tremblay"/>
    <s v="Toronto"/>
    <s v="Corporate"/>
    <s v="Blender"/>
    <x v="3"/>
    <n v="37.46"/>
    <n v="312.39999999999998"/>
    <n v="0"/>
    <n v="312.39999999999998"/>
    <n v="187.3"/>
    <n v="125.09999999999997"/>
    <n v="0.4004481434058898"/>
    <n v="0"/>
    <n v="2025"/>
    <n v="6"/>
    <s v="juin"/>
    <s v="Q2"/>
    <d v="2025-06-01T00:00:00"/>
    <x v="1"/>
  </r>
  <r>
    <s v="ORD-2025-00708"/>
    <d v="2025-12-24T00:00:00"/>
    <s v="C0028"/>
    <s v="P1023"/>
    <s v="Mia Clark, Victoria, Consumer"/>
    <s v="Vancouver  West"/>
    <s v="N. Brown"/>
    <s v="Retail Store"/>
    <n v="2"/>
    <n v="339.25"/>
    <n v="0.05"/>
    <s v="PayPal"/>
    <n v="0"/>
    <s v="No"/>
    <x v="0"/>
    <s v="Vancouver West"/>
    <s v="PayPal"/>
    <s v="C0028"/>
    <s v="Mia Clark"/>
    <s v="Victoria"/>
    <s v="Consumer"/>
    <s v="Toaster"/>
    <x v="3"/>
    <n v="152.88"/>
    <n v="678.5"/>
    <n v="33.925000000000004"/>
    <n v="644.57500000000005"/>
    <n v="305.76"/>
    <n v="338.81500000000005"/>
    <n v="0.52564092619167668"/>
    <n v="0"/>
    <n v="2025"/>
    <n v="12"/>
    <s v="décembre"/>
    <s v="Q4"/>
    <d v="2025-12-01T00:00:00"/>
    <x v="3"/>
  </r>
  <r>
    <s v="ORD-2025-00709"/>
    <d v="2025-03-04T00:00:00"/>
    <s v="C0092"/>
    <s v="P1008"/>
    <s v="Lucas Tremblay, Saskatoon, Consumer"/>
    <s v="Vancouver West"/>
    <s v="M. Wilson"/>
    <s v="Retail Store"/>
    <n v="1"/>
    <n v="128.07"/>
    <n v="0.1"/>
    <s v="Credit Card"/>
    <n v="0"/>
    <s v="No"/>
    <x v="0"/>
    <s v="Vancouver West"/>
    <s v="Credit Card"/>
    <s v="C0092"/>
    <s v="Lucas Tremblay"/>
    <s v="Saskatoon"/>
    <s v="Consumer"/>
    <s v="Smart Speaker"/>
    <x v="0"/>
    <n v="69"/>
    <n v="128.07"/>
    <n v="12.807"/>
    <n v="115.26299999999999"/>
    <n v="69"/>
    <n v="46.262999999999991"/>
    <n v="0.40136904297129167"/>
    <n v="0"/>
    <n v="2025"/>
    <n v="3"/>
    <s v="mars"/>
    <s v="Q1"/>
    <d v="2025-03-01T00:00:00"/>
    <x v="5"/>
  </r>
  <r>
    <s v="ORD-2025-00710"/>
    <d v="2025-03-04T00:00:00"/>
    <s v="C0120"/>
    <s v="P1021"/>
    <s v="Ethan King , Mississauga , Small Business"/>
    <s v="Vancouver West"/>
    <s v="R. Singh"/>
    <s v="Online"/>
    <n v="3"/>
    <n v="301.69"/>
    <n v="0.05"/>
    <s v="Credit Card"/>
    <n v="7"/>
    <s v="No"/>
    <x v="2"/>
    <s v="Vancouver West"/>
    <s v="Credit Card"/>
    <s v="C0120"/>
    <s v="Ethan King"/>
    <s v="Mississauga"/>
    <s v="Small Business"/>
    <s v="Kettle"/>
    <x v="3"/>
    <n v="139.86000000000001"/>
    <n v="905.06999999999994"/>
    <n v="45.253500000000003"/>
    <n v="859.81649999999991"/>
    <n v="419.58000000000004"/>
    <n v="440.23649999999986"/>
    <n v="0.51201215608214068"/>
    <n v="0"/>
    <n v="2025"/>
    <n v="3"/>
    <s v="mars"/>
    <s v="Q1"/>
    <d v="2025-03-01T00:00:00"/>
    <x v="1"/>
  </r>
  <r>
    <s v="ORD-2025-00712"/>
    <d v="2025-07-17T00:00:00"/>
    <s v="C0060"/>
    <s v="P1030"/>
    <s v="Sarah Wilson, Quebec City, Corporate"/>
    <s v="Vancouver West"/>
    <s v="S. Patel"/>
    <s v="Retail Store"/>
    <n v="5"/>
    <n v="247.33"/>
    <n v="0.05"/>
    <s v="Debit Card"/>
    <n v="1"/>
    <s v="No"/>
    <x v="0"/>
    <s v="Vancouver West"/>
    <s v="Debit Card"/>
    <s v="C0060"/>
    <s v="Sarah Wilson"/>
    <s v="Quebec City"/>
    <s v="Corporate"/>
    <s v="Pull-up Bar"/>
    <x v="2"/>
    <n v="125.4"/>
    <n v="1236.6500000000001"/>
    <n v="61.83250000000001"/>
    <n v="1174.8175000000001"/>
    <n v="627"/>
    <n v="547.81750000000011"/>
    <n v="0.46630008490680475"/>
    <n v="0"/>
    <n v="2025"/>
    <n v="7"/>
    <s v="juillet"/>
    <s v="Q3"/>
    <d v="2025-07-01T00:00:00"/>
    <x v="4"/>
  </r>
  <r>
    <s v="ORD-2025-00713"/>
    <d v="2025-04-10T00:00:00"/>
    <s v="C0066"/>
    <s v="P1038"/>
    <s v="Noah Clark, Laval, Consumer"/>
    <s v="Calgary North"/>
    <s v="J. Tremblay"/>
    <s v="Retail  Store"/>
    <n v="1"/>
    <n v="255.13"/>
    <n v="0.2"/>
    <s v="Credit Card"/>
    <n v="3"/>
    <s v="No"/>
    <x v="0"/>
    <s v="Calgary North"/>
    <s v="Credit Card"/>
    <s v="C0066"/>
    <s v="Noah Clark"/>
    <s v="Laval"/>
    <s v="Consumer"/>
    <s v="Water Bottle"/>
    <x v="4"/>
    <n v="119.16"/>
    <n v="255.13"/>
    <n v="51.026000000000003"/>
    <n v="204.10399999999998"/>
    <n v="119.16"/>
    <n v="84.943999999999988"/>
    <n v="0.41617998667346057"/>
    <n v="0"/>
    <n v="2025"/>
    <n v="4"/>
    <s v="avril"/>
    <s v="Q2"/>
    <d v="2025-04-01T00:00:00"/>
    <x v="4"/>
  </r>
  <r>
    <s v="ORD-2025-00714"/>
    <d v="2025-08-10T00:00:00"/>
    <s v="C0060"/>
    <s v="P1021"/>
    <s v="Sarah Wilson, Quebec City, Corporate"/>
    <s v="Vancouver West"/>
    <s v="M. Wilson"/>
    <s v="Marketplace"/>
    <n v="1"/>
    <n v="291.2"/>
    <n v="0.05"/>
    <s v="Credit Card"/>
    <n v="1"/>
    <s v="No"/>
    <x v="1"/>
    <s v="Vancouver West"/>
    <s v="Credit Card"/>
    <s v="C0060"/>
    <s v="Sarah Wilson"/>
    <s v="Quebec City"/>
    <s v="Corporate"/>
    <s v="Kettle"/>
    <x v="3"/>
    <n v="139.86000000000001"/>
    <n v="291.2"/>
    <n v="14.56"/>
    <n v="276.64"/>
    <n v="139.86000000000001"/>
    <n v="136.77999999999997"/>
    <n v="0.49443319838056671"/>
    <n v="0"/>
    <n v="2025"/>
    <n v="8"/>
    <s v="août"/>
    <s v="Q3"/>
    <d v="2025-08-01T00:00:00"/>
    <x v="4"/>
  </r>
  <r>
    <s v="ORD-2025-00715"/>
    <d v="2025-07-17T00:00:00"/>
    <s v="C0061"/>
    <s v="P1019"/>
    <s v="Zoe Hall, Vancouver, Consumer"/>
    <s v="Calgary North"/>
    <s v="R. Singh"/>
    <s v="Retail Store"/>
    <n v="2"/>
    <n v="282.41000000000003"/>
    <n v="0.25"/>
    <s v="Credit Card"/>
    <n v="4"/>
    <s v="No"/>
    <x v="0"/>
    <s v="Calgary North"/>
    <s v="Credit Card"/>
    <s v="C0061"/>
    <s v="Zoe Hall"/>
    <s v="Vancouver"/>
    <s v="Consumer"/>
    <s v="Vacuum"/>
    <x v="3"/>
    <n v="186.94"/>
    <n v="564.82000000000005"/>
    <n v="141.20500000000001"/>
    <n v="423.61500000000001"/>
    <n v="373.88"/>
    <n v="49.735000000000014"/>
    <n v="0.11740613528793838"/>
    <n v="0"/>
    <n v="2025"/>
    <n v="7"/>
    <s v="juillet"/>
    <s v="Q3"/>
    <d v="2025-07-01T00:00:00"/>
    <x v="3"/>
  </r>
  <r>
    <s v="ORD-2025-00716"/>
    <d v="2025-09-18T00:00:00"/>
    <s v="C0015"/>
    <s v="P1013"/>
    <s v="Zoe Singh, Halifax, Consumer"/>
    <s v="Calgary North"/>
    <s v="M. Wilson"/>
    <s v="Retail Store"/>
    <n v="4"/>
    <n v="123.21"/>
    <n v="0"/>
    <s v="Credit  Card"/>
    <n v="2"/>
    <s v="No"/>
    <x v="0"/>
    <s v="Calgary North"/>
    <s v="Credit Card"/>
    <s v="C0015"/>
    <s v="Zoe Singh"/>
    <s v="Halifax"/>
    <s v="Consumer"/>
    <s v="Whiteboard"/>
    <x v="1"/>
    <n v="85.73"/>
    <n v="492.84"/>
    <n v="0"/>
    <n v="492.84"/>
    <n v="342.92"/>
    <n v="149.91999999999996"/>
    <n v="0.30419608797987169"/>
    <n v="0"/>
    <n v="2025"/>
    <n v="9"/>
    <s v="septembre"/>
    <s v="Q3"/>
    <d v="2025-09-01T00:00:00"/>
    <x v="2"/>
  </r>
  <r>
    <s v="ORD-2025-00717"/>
    <d v="2025-09-19T00:00:00"/>
    <s v="C0022"/>
    <s v="P1020"/>
    <s v="Adam White, Victoria, Consumer"/>
    <s v="Online Fulfillment"/>
    <s v="S. Patel"/>
    <s v="Online"/>
    <n v="3"/>
    <n v="69.22"/>
    <n v="0.2"/>
    <s v="Debit Card"/>
    <n v="7"/>
    <s v="Yes"/>
    <x v="2"/>
    <s v="Online Fulfillment"/>
    <s v="Debit Card"/>
    <s v="C0022"/>
    <s v="Adam White"/>
    <s v="Victoria"/>
    <s v="Consumer"/>
    <s v="Blender"/>
    <x v="3"/>
    <n v="37.46"/>
    <n v="207.66"/>
    <n v="41.532000000000004"/>
    <n v="166.12799999999999"/>
    <n v="112.38"/>
    <n v="53.74799999999999"/>
    <n v="0.32353366079167867"/>
    <n v="1"/>
    <n v="2025"/>
    <n v="9"/>
    <s v="septembre"/>
    <s v="Q3"/>
    <d v="2025-09-01T00:00:00"/>
    <x v="3"/>
  </r>
  <r>
    <s v="ORD-2025-00718"/>
    <d v="2025-03-27T00:00:00"/>
    <s v="C0114"/>
    <s v="P1004"/>
    <s v="Olivia Johnson, Ottawa, Consumer"/>
    <s v="Calgary North"/>
    <s v="M. Wilson"/>
    <s v="Retail Store"/>
    <n v="1"/>
    <n v="299.10000000000002"/>
    <n v="0"/>
    <s v="Credit Card"/>
    <n v="3"/>
    <s v="No"/>
    <x v="0"/>
    <s v="Calgary North"/>
    <s v="Credit Card"/>
    <s v="C0114"/>
    <s v="Olivia Johnson"/>
    <s v="Ottawa"/>
    <s v="Consumer"/>
    <s v="Webcam"/>
    <x v="0"/>
    <n v="154.72999999999999"/>
    <n v="299.10000000000002"/>
    <n v="0"/>
    <n v="299.10000000000002"/>
    <n v="154.72999999999999"/>
    <n v="144.37000000000003"/>
    <n v="0.48268137746573059"/>
    <n v="0"/>
    <n v="2025"/>
    <n v="3"/>
    <s v="mars"/>
    <s v="Q1"/>
    <d v="2025-03-01T00:00:00"/>
    <x v="1"/>
  </r>
  <r>
    <s v="ORD-2025-00719"/>
    <d v="2025-02-20T00:00:00"/>
    <s v="C0037"/>
    <s v="P1033"/>
    <s v="Lucas Scott, Victoria, Small Business"/>
    <s v="Toronto Downtown"/>
    <s v="L. Chen"/>
    <s v="Retail Store"/>
    <n v="1"/>
    <n v="308.49"/>
    <n v="0"/>
    <s v="Credit Card"/>
    <n v="4"/>
    <s v="No"/>
    <x v="0"/>
    <s v="Toronto Downtown"/>
    <s v="Credit Card"/>
    <s v="C0037"/>
    <s v="Lucas Scott"/>
    <s v="Victoria"/>
    <s v="Small Business"/>
    <s v="Backpack"/>
    <x v="4"/>
    <n v="152.55000000000001"/>
    <n v="308.49"/>
    <n v="0"/>
    <n v="308.49"/>
    <n v="152.55000000000001"/>
    <n v="155.94"/>
    <n v="0.50549450549450547"/>
    <n v="0"/>
    <n v="2025"/>
    <n v="2"/>
    <s v="février"/>
    <s v="Q1"/>
    <d v="2025-02-01T00:00:00"/>
    <x v="3"/>
  </r>
  <r>
    <s v="ORD-2025-00720"/>
    <d v="2025-01-27T00:00:00"/>
    <s v="C0065"/>
    <s v="P1034"/>
    <s v="Mia Wilson, Quebec City, Consumer"/>
    <s v="Calgary North"/>
    <s v="N. Brown"/>
    <s v="Online"/>
    <n v="2"/>
    <n v="137.54"/>
    <n v="0.15"/>
    <s v="Credit Card"/>
    <n v="1"/>
    <s v="No"/>
    <x v="2"/>
    <s v="Calgary North"/>
    <s v="Credit Card"/>
    <s v="C0065"/>
    <s v="Mia Wilson"/>
    <s v="Quebec City"/>
    <s v="Consumer"/>
    <s v="Laptop Sleeve"/>
    <x v="4"/>
    <n v="78.95"/>
    <n v="275.08"/>
    <n v="41.261999999999993"/>
    <n v="233.81799999999998"/>
    <n v="157.9"/>
    <n v="75.917999999999978"/>
    <n v="0.32468843288369581"/>
    <n v="0"/>
    <n v="2025"/>
    <n v="1"/>
    <s v="janvier"/>
    <s v="Q1"/>
    <d v="2025-01-01T00:00:0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eau croisé dynamique4" cacheId="1" applyNumberFormats="0" applyBorderFormats="0" applyFontFormats="0" applyPatternFormats="0" applyAlignmentFormats="0" applyWidthHeightFormats="1" dataCaption="Valeurs" updatedVersion="5" minRefreshableVersion="3" useAutoFormatting="1" itemPrintTitles="1" createdVersion="5" indent="0" outline="1" outlineData="1" multipleFieldFilters="0" chartFormat="4">
  <location ref="G5:I13" firstHeaderRow="0" firstDataRow="1" firstDataCol="1"/>
  <pivotFields count="37">
    <pivotField showAll="0"/>
    <pivotField numFmtId="165" showAll="0"/>
    <pivotField showAll="0"/>
    <pivotField showAll="0"/>
    <pivotField showAll="0"/>
    <pivotField showAll="0"/>
    <pivotField showAll="0"/>
    <pivotField showAll="0"/>
    <pivotField showAll="0"/>
    <pivotField numFmtId="164" showAll="0"/>
    <pivotField numFmtId="9"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items count="6">
        <item x="4"/>
        <item x="0"/>
        <item x="2"/>
        <item x="3"/>
        <item x="1"/>
        <item t="default"/>
      </items>
    </pivotField>
    <pivotField showAll="0"/>
    <pivotField showAll="0"/>
    <pivotField showAll="0"/>
    <pivotField dataField="1" showAll="0"/>
    <pivotField showAll="0"/>
    <pivotField dataField="1" showAll="0"/>
    <pivotField numFmtId="168" showAll="0"/>
    <pivotField showAll="0"/>
    <pivotField showAll="0"/>
    <pivotField showAll="0"/>
    <pivotField showAll="0"/>
    <pivotField showAll="0"/>
    <pivotField numFmtId="169" showAll="0"/>
    <pivotField axis="axisRow" showAll="0">
      <items count="8">
        <item x="5"/>
        <item x="6"/>
        <item x="2"/>
        <item x="0"/>
        <item x="1"/>
        <item x="4"/>
        <item x="3"/>
        <item t="default"/>
      </items>
    </pivotField>
  </pivotFields>
  <rowFields count="1">
    <field x="36"/>
  </rowFields>
  <rowItems count="8">
    <i>
      <x/>
    </i>
    <i>
      <x v="1"/>
    </i>
    <i>
      <x v="2"/>
    </i>
    <i>
      <x v="3"/>
    </i>
    <i>
      <x v="4"/>
    </i>
    <i>
      <x v="5"/>
    </i>
    <i>
      <x v="6"/>
    </i>
    <i t="grand">
      <x/>
    </i>
  </rowItems>
  <colFields count="1">
    <field x="-2"/>
  </colFields>
  <colItems count="2">
    <i>
      <x/>
    </i>
    <i i="1">
      <x v="1"/>
    </i>
  </colItems>
  <dataFields count="2">
    <dataField name="Somme de Net_Sales" fld="26" baseField="36" baseItem="0"/>
    <dataField name="Somme de Profit" fld="28"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ableau croisé dynamique7" cacheId="1" applyNumberFormats="0" applyBorderFormats="0" applyFontFormats="0" applyPatternFormats="0" applyAlignmentFormats="0" applyWidthHeightFormats="1" dataCaption="Valeurs" updatedVersion="5" minRefreshableVersion="3" useAutoFormatting="1" itemPrintTitles="1" createdVersion="5" indent="0" outline="1" outlineData="1" multipleFieldFilters="0" chartFormat="3">
  <location ref="K5:L11" firstHeaderRow="1" firstDataRow="1" firstDataCol="1"/>
  <pivotFields count="37">
    <pivotField showAll="0"/>
    <pivotField numFmtId="165" showAll="0"/>
    <pivotField showAll="0"/>
    <pivotField showAll="0"/>
    <pivotField showAll="0"/>
    <pivotField showAll="0"/>
    <pivotField showAll="0"/>
    <pivotField showAll="0"/>
    <pivotField showAll="0"/>
    <pivotField numFmtId="164" showAll="0"/>
    <pivotField numFmtId="9"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axis="axisRow" showAll="0" sortType="descending">
      <items count="6">
        <item x="4"/>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8" showAll="0"/>
    <pivotField dataField="1" showAll="0"/>
    <pivotField showAll="0"/>
    <pivotField showAll="0"/>
    <pivotField showAll="0"/>
    <pivotField showAll="0"/>
    <pivotField numFmtId="169" showAll="0"/>
    <pivotField showAll="0">
      <items count="8">
        <item x="0"/>
        <item x="3"/>
        <item x="6"/>
        <item x="2"/>
        <item x="1"/>
        <item x="4"/>
        <item x="5"/>
        <item t="default"/>
      </items>
    </pivotField>
  </pivotFields>
  <rowFields count="1">
    <field x="22"/>
  </rowFields>
  <rowItems count="6">
    <i>
      <x v="4"/>
    </i>
    <i>
      <x v="1"/>
    </i>
    <i>
      <x v="3"/>
    </i>
    <i>
      <x/>
    </i>
    <i>
      <x v="2"/>
    </i>
    <i t="grand">
      <x/>
    </i>
  </rowItems>
  <colItems count="1">
    <i/>
  </colItems>
  <dataFields count="1">
    <dataField name="Moyenne de Return_Flag" fld="30" subtotal="average" baseField="0" baseItem="1290788384"/>
  </dataFields>
  <formats count="2">
    <format dxfId="41">
      <pivotArea grandRow="1" outline="0" collapsedLevelsAreSubtotals="1" fieldPosition="0"/>
    </format>
    <format dxfId="40">
      <pivotArea collapsedLevelsAreSubtotals="1" fieldPosition="0">
        <references count="1">
          <reference field="22"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egment_Channel_clean" sourceName="Channel_clean">
  <pivotTables>
    <pivotTable tabId="7" name="Tableau croisé dynamique4"/>
    <pivotTable tabId="7" name="Tableau croisé dynamique7"/>
  </pivotTables>
  <data>
    <tabular pivotCacheId="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egment_Category" sourceName="Category">
  <pivotTables>
    <pivotTable tabId="7" name="Tableau croisé dynamique4"/>
    <pivotTable tabId="7" name="Tableau croisé dynamique7"/>
  </pivotTables>
  <data>
    <tabular pivotCacheId="1">
      <items count="5">
        <i x="4" s="1"/>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egment_Region" sourceName="Region">
  <pivotTables>
    <pivotTable tabId="7" name="Tableau croisé dynamique4"/>
    <pivotTable tabId="7" name="Tableau croisé dynamique7"/>
  </pivotTables>
  <data>
    <tabular pivotCacheId="1">
      <items count="7">
        <i x="0" s="1"/>
        <i x="3" s="1"/>
        <i x="6" s="1"/>
        <i x="2" s="1"/>
        <i x="1"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hannel_clean" cache="Segment_Channel_clean" caption="Channel_clean" rowHeight="234950"/>
  <slicer name="Category" cache="Segment_Category" caption="Category" rowHeight="234950"/>
  <slicer name="Region" cache="Segment_Region" caption="Region" rowHeight="234950"/>
</slicers>
</file>

<file path=xl/tables/table1.xml><?xml version="1.0" encoding="utf-8"?>
<table xmlns="http://schemas.openxmlformats.org/spreadsheetml/2006/main" id="3" name="RawSalesTable" displayName="RawSalesTable" ref="A1:AK721" totalsRowShown="0">
  <autoFilter ref="A1:AK721"/>
  <sortState ref="A2:N721">
    <sortCondition sortBy="cellColor" ref="A2:A721" dxfId="65"/>
  </sortState>
  <tableColumns count="37">
    <tableColumn id="1" name="Order_ID"/>
    <tableColumn id="2" name="Order_Date"/>
    <tableColumn id="3" name="Customer_ID"/>
    <tableColumn id="4" name="Product_ID"/>
    <tableColumn id="5" name="Customer_Info"/>
    <tableColumn id="6" name="Store_Raw"/>
    <tableColumn id="7" name="Salesperson"/>
    <tableColumn id="8" name="Channel_Raw"/>
    <tableColumn id="9" name="Quantity"/>
    <tableColumn id="10" name="Unit_Price"/>
    <tableColumn id="11" name="Discount_Pct"/>
    <tableColumn id="12" name="Payment_Method_Raw"/>
    <tableColumn id="13" name="Delivery_Days"/>
    <tableColumn id="14" name="Return_Status"/>
    <tableColumn id="15" name="Channel_clean" dataDxfId="64">
      <calculatedColumnFormula>SUBSTITUTE(PROPER(TRIM(RawSalesTable[[#This Row],[Channel_Raw]])), "Market Place", "Marketplace")</calculatedColumnFormula>
    </tableColumn>
    <tableColumn id="16" name="Store_clean" dataDxfId="63">
      <calculatedColumnFormula>TRIM(RawSalesTable[[#This Row],[Store_Raw]])</calculatedColumnFormula>
    </tableColumn>
    <tableColumn id="17" name="Payment_Method_clean" dataDxfId="62">
      <calculatedColumnFormula>IF(TRIM(RawSalesTable[[#This Row],[Payment_Method_Raw]])="","Non renseigné",SUBSTITUTE(TRIM(RawSalesTable[[#This Row],[Payment_Method_Raw]]),"CC","Credit Card"))</calculatedColumnFormula>
    </tableColumn>
    <tableColumn id="18" name="Customer_ID_clean" dataDxfId="61">
      <calculatedColumnFormula>UPPER(PROPER(RawSalesTable[[#This Row],[Customer_ID]]))</calculatedColumnFormula>
    </tableColumn>
    <tableColumn id="20" name="Customer_Name" dataDxfId="60">
      <calculatedColumnFormula>TRIM(LEFT(RawSalesTable[[#This Row],[Customer_Info]],FIND(",",RawSalesTable[[#This Row],[Customer_Info]]) -1))</calculatedColumnFormula>
    </tableColumn>
    <tableColumn id="21" name="Customer_City" dataDxfId="59">
      <calculatedColumnFormula>TRIM(MID(RawSalesTable[[#This Row],[Customer_Info]],FIND(",",RawSalesTable[[#This Row],[Customer_Info]])+1,FIND(",",RawSalesTable[[#This Row],[Customer_Info]],FIND(",",RawSalesTable[[#This Row],[Customer_Info]])+1)-FIND(",",RawSalesTable[[#This Row],[Customer_Info]])-1))</calculatedColumnFormula>
    </tableColumn>
    <tableColumn id="22" name="Customer_Segment" dataDxfId="58">
      <calculatedColumnFormula>TRIM(RIGHT(RawSalesTable[[#This Row],[Customer_Info]], LEN(RawSalesTable[[#This Row],[Customer_Info]])-FIND(",",RawSalesTable[[#This Row],[Customer_Info]],FIND(",",RawSalesTable[[#This Row],[Customer_Info]])+1)))</calculatedColumnFormula>
    </tableColumn>
    <tableColumn id="23" name="Product_Name" dataDxfId="57">
      <calculatedColumnFormula>VLOOKUP(RawSalesTable[[#This Row],[Product_ID]],ProductsTable[],2,FALSE)</calculatedColumnFormula>
    </tableColumn>
    <tableColumn id="24" name="Category" dataDxfId="56">
      <calculatedColumnFormula>VLOOKUP(RawSalesTable[[#This Row],[Product_ID]],ProductsTable[],3,FALSE)</calculatedColumnFormula>
    </tableColumn>
    <tableColumn id="25" name="Unit_Cost" dataDxfId="55">
      <calculatedColumnFormula>VLOOKUP(RawSalesTable[[#This Row],[Product_ID]],ProductsTable[],5,FALSE)</calculatedColumnFormula>
    </tableColumn>
    <tableColumn id="26" name="Gross_Sales" dataDxfId="54">
      <calculatedColumnFormula>RawSalesTable[[#This Row],[Quantity]]*RawSalesTable[[#This Row],[Unit_Price]]</calculatedColumnFormula>
    </tableColumn>
    <tableColumn id="27" name="Discount_Amount" dataDxfId="53">
      <calculatedColumnFormula>RawSalesTable[[#This Row],[Gross_Sales]]*RawSalesTable[[#This Row],[Discount_Pct]]</calculatedColumnFormula>
    </tableColumn>
    <tableColumn id="28" name="Net_Sales" dataDxfId="52">
      <calculatedColumnFormula>RawSalesTable[[#This Row],[Gross_Sales]]-RawSalesTable[[#This Row],[Discount_Amount]]</calculatedColumnFormula>
    </tableColumn>
    <tableColumn id="29" name="Total_Cost" dataDxfId="51">
      <calculatedColumnFormula>RawSalesTable[[#This Row],[Unit_Cost]]*RawSalesTable[[#This Row],[Quantity]]</calculatedColumnFormula>
    </tableColumn>
    <tableColumn id="30" name="Profit" dataDxfId="50">
      <calculatedColumnFormula>RawSalesTable[[#This Row],[Net_Sales]]-RawSalesTable[[#This Row],[Total_Cost]]</calculatedColumnFormula>
    </tableColumn>
    <tableColumn id="31" name="Profit_Margin" dataDxfId="49" dataCellStyle="Pourcentage">
      <calculatedColumnFormula>RawSalesTable[[#This Row],[Profit]]/RawSalesTable[[#This Row],[Net_Sales]]</calculatedColumnFormula>
    </tableColumn>
    <tableColumn id="32" name="Return_Flag" dataDxfId="48">
      <calculatedColumnFormula>IF(RawSalesTable[[#This Row],[Return_Status]]="Yes",1,0)</calculatedColumnFormula>
    </tableColumn>
    <tableColumn id="33" name="Year" dataDxfId="47">
      <calculatedColumnFormula>YEAR(RawSalesTable[[#This Row],[Order_Date]])</calculatedColumnFormula>
    </tableColumn>
    <tableColumn id="34" name="Month_Number" dataDxfId="46">
      <calculatedColumnFormula>MONTH(RawSalesTable[[#This Row],[Order_Date]])</calculatedColumnFormula>
    </tableColumn>
    <tableColumn id="35" name="Month" dataDxfId="45">
      <calculatedColumnFormula>TEXT(RawSalesTable[[#This Row],[Order_Date]],"mmmm")</calculatedColumnFormula>
    </tableColumn>
    <tableColumn id="36" name="Quarter" dataDxfId="44">
      <calculatedColumnFormula>IF(RawSalesTable[[#This Row],[Month_Number]]&lt;=3,"Q1",IF(RawSalesTable[[#This Row],[Month_Number]]&lt;=6,"Q2",IF(RawSalesTable[[#This Row],[Month_Number]]&lt;=9,"Q3","Q4")))</calculatedColumnFormula>
    </tableColumn>
    <tableColumn id="19" name="Month_Start" dataDxfId="43">
      <calculatedColumnFormula>DATE(YEAR(RawSalesTable[[#This Row],[Order_Date]]),MONTH(RawSalesTable[[#This Row],[Order_Date]]),1)</calculatedColumnFormula>
    </tableColumn>
    <tableColumn id="37" name="Region" dataDxfId="42">
      <calculatedColumnFormula>VLOOKUP(RawSalesTable[[#This Row],[Customer_ID_clean]],CustomersTable[],4,FALSE)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1" name="ProductsTable" displayName="ProductsTable" ref="A1:G41" totalsRowShown="0">
  <tableColumns count="7">
    <tableColumn id="1" name="Product_ID"/>
    <tableColumn id="2" name="Product_Name"/>
    <tableColumn id="3" name="Category"/>
    <tableColumn id="4" name="Subcategory"/>
    <tableColumn id="5" name="Unit_Cost"/>
    <tableColumn id="6" name="List_Price"/>
    <tableColumn id="7" name="Supplier"/>
  </tableColumns>
  <tableStyleInfo name="TableStyleMedium2" showFirstColumn="0" showLastColumn="0" showRowStripes="1" showColumnStripes="0"/>
</table>
</file>

<file path=xl/tables/table3.xml><?xml version="1.0" encoding="utf-8"?>
<table xmlns="http://schemas.openxmlformats.org/spreadsheetml/2006/main" id="2" name="CustomersTable" displayName="CustomersTable" ref="A1:F121" totalsRowShown="0">
  <tableColumns count="6">
    <tableColumn id="1" name="Customer_ID"/>
    <tableColumn id="2" name="Customer_Name"/>
    <tableColumn id="3" name="City"/>
    <tableColumn id="4" name="Region"/>
    <tableColumn id="5" name="Segment"/>
    <tableColumn id="6" name="Signup_Date"/>
  </tableColumns>
  <tableStyleInfo name="TableStyleMedium2" showFirstColumn="0" showLastColumn="0" showRowStripes="1" showColumnStripes="0"/>
</table>
</file>

<file path=xl/tables/table4.xml><?xml version="1.0" encoding="utf-8"?>
<table xmlns="http://schemas.openxmlformats.org/spreadsheetml/2006/main" id="4" name="TargetsTable" displayName="TargetsTable" ref="A1:D13" totalsRowShown="0">
  <tableColumns count="4">
    <tableColumn id="1" name="Month"/>
    <tableColumn id="2" name="Sales_Target"/>
    <tableColumn id="3" name="Profit_Target"/>
    <tableColumn id="4" name="Orders_Targe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9"/>
  <sheetViews>
    <sheetView workbookViewId="0">
      <selection sqref="A1:H2"/>
    </sheetView>
  </sheetViews>
  <sheetFormatPr baseColWidth="10" defaultColWidth="8.796875" defaultRowHeight="13.8"/>
  <cols>
    <col min="1" max="1" width="18" customWidth="1"/>
    <col min="2" max="2" width="58" customWidth="1"/>
    <col min="3" max="3" width="45" customWidth="1"/>
  </cols>
  <sheetData>
    <row r="1" spans="1:8" ht="22.35" customHeight="1">
      <c r="A1" s="25" t="s">
        <v>0</v>
      </c>
      <c r="B1" s="25"/>
      <c r="C1" s="25"/>
      <c r="D1" s="25"/>
      <c r="E1" s="25"/>
      <c r="F1" s="25"/>
      <c r="G1" s="25"/>
      <c r="H1" s="25"/>
    </row>
    <row r="2" spans="1:8" ht="22.35" customHeight="1">
      <c r="A2" s="25"/>
      <c r="B2" s="25"/>
      <c r="C2" s="25"/>
      <c r="D2" s="25"/>
      <c r="E2" s="25"/>
      <c r="F2" s="25"/>
      <c r="G2" s="25"/>
      <c r="H2" s="25"/>
    </row>
    <row r="4" spans="1:8">
      <c r="A4" s="24" t="s">
        <v>1</v>
      </c>
      <c r="B4" s="24"/>
      <c r="C4" s="24"/>
      <c r="D4" s="24"/>
      <c r="E4" s="24"/>
      <c r="F4" s="24"/>
      <c r="G4" s="24"/>
      <c r="H4" s="24"/>
    </row>
    <row r="5" spans="1:8">
      <c r="A5" s="26" t="s">
        <v>2</v>
      </c>
      <c r="B5" s="26"/>
      <c r="C5" s="26"/>
      <c r="D5" s="26"/>
      <c r="E5" s="26"/>
      <c r="F5" s="26"/>
      <c r="G5" s="26"/>
      <c r="H5" s="26"/>
    </row>
    <row r="6" spans="1:8">
      <c r="A6" s="26"/>
      <c r="B6" s="26"/>
      <c r="C6" s="26"/>
      <c r="D6" s="26"/>
      <c r="E6" s="26"/>
      <c r="F6" s="26"/>
      <c r="G6" s="26"/>
      <c r="H6" s="26"/>
    </row>
    <row r="7" spans="1:8">
      <c r="A7" s="26"/>
      <c r="B7" s="26"/>
      <c r="C7" s="26"/>
      <c r="D7" s="26"/>
      <c r="E7" s="26"/>
      <c r="F7" s="26"/>
      <c r="G7" s="26"/>
      <c r="H7" s="26"/>
    </row>
    <row r="9" spans="1:8">
      <c r="A9" s="24" t="s">
        <v>3</v>
      </c>
      <c r="B9" s="24"/>
      <c r="C9" s="24"/>
      <c r="D9" s="24"/>
      <c r="E9" s="24"/>
      <c r="F9" s="24"/>
      <c r="G9" s="24"/>
      <c r="H9" s="24"/>
    </row>
    <row r="10" spans="1:8">
      <c r="A10" s="1" t="s">
        <v>4</v>
      </c>
      <c r="B10" s="1" t="s">
        <v>5</v>
      </c>
      <c r="C10" s="1" t="s">
        <v>6</v>
      </c>
    </row>
    <row r="11" spans="1:8" ht="27.6">
      <c r="A11" s="7" t="s">
        <v>7</v>
      </c>
      <c r="B11" s="7" t="s">
        <v>8</v>
      </c>
      <c r="C11" s="7" t="s">
        <v>9</v>
      </c>
    </row>
    <row r="12" spans="1:8" ht="27.6">
      <c r="A12" s="7" t="s">
        <v>10</v>
      </c>
      <c r="B12" s="7" t="s">
        <v>11</v>
      </c>
      <c r="C12" s="7" t="s">
        <v>12</v>
      </c>
    </row>
    <row r="13" spans="1:8" ht="27.6">
      <c r="A13" s="7" t="s">
        <v>13</v>
      </c>
      <c r="B13" s="7" t="s">
        <v>14</v>
      </c>
      <c r="C13" s="7" t="s">
        <v>15</v>
      </c>
    </row>
    <row r="14" spans="1:8" ht="27.6">
      <c r="A14" s="7" t="s">
        <v>16</v>
      </c>
      <c r="B14" s="7" t="s">
        <v>17</v>
      </c>
      <c r="C14" s="7" t="s">
        <v>18</v>
      </c>
    </row>
    <row r="15" spans="1:8" ht="27.6">
      <c r="A15" s="7" t="s">
        <v>19</v>
      </c>
      <c r="B15" s="7" t="s">
        <v>20</v>
      </c>
      <c r="C15" s="7" t="s">
        <v>21</v>
      </c>
    </row>
    <row r="16" spans="1:8">
      <c r="A16" s="7" t="s">
        <v>22</v>
      </c>
      <c r="B16" s="7" t="s">
        <v>23</v>
      </c>
      <c r="C16" s="7" t="s">
        <v>24</v>
      </c>
    </row>
    <row r="17" spans="1:8" ht="27.6">
      <c r="A17" s="7" t="s">
        <v>25</v>
      </c>
      <c r="B17" s="7" t="s">
        <v>26</v>
      </c>
      <c r="C17" s="7" t="s">
        <v>27</v>
      </c>
    </row>
    <row r="18" spans="1:8">
      <c r="A18" s="7" t="s">
        <v>28</v>
      </c>
      <c r="B18" s="7" t="s">
        <v>29</v>
      </c>
      <c r="C18" s="7" t="s">
        <v>30</v>
      </c>
    </row>
    <row r="19" spans="1:8" ht="27.6">
      <c r="A19" s="7" t="s">
        <v>31</v>
      </c>
      <c r="B19" s="7" t="s">
        <v>32</v>
      </c>
      <c r="C19" s="7" t="s">
        <v>33</v>
      </c>
    </row>
    <row r="20" spans="1:8">
      <c r="A20" s="7" t="s">
        <v>34</v>
      </c>
      <c r="B20" s="7" t="s">
        <v>35</v>
      </c>
      <c r="C20" s="7" t="s">
        <v>36</v>
      </c>
    </row>
    <row r="22" spans="1:8">
      <c r="A22" s="24" t="s">
        <v>37</v>
      </c>
      <c r="B22" s="24"/>
      <c r="C22" s="24"/>
      <c r="D22" s="24"/>
      <c r="E22" s="24"/>
      <c r="F22" s="24"/>
      <c r="G22" s="24"/>
      <c r="H22" s="24"/>
    </row>
    <row r="23" spans="1:8" ht="27.6">
      <c r="A23" s="7" t="s">
        <v>38</v>
      </c>
      <c r="B23" s="7" t="s">
        <v>39</v>
      </c>
    </row>
    <row r="24" spans="1:8">
      <c r="A24" s="7" t="s">
        <v>40</v>
      </c>
      <c r="B24" s="7" t="s">
        <v>41</v>
      </c>
    </row>
    <row r="25" spans="1:8" ht="27.6">
      <c r="A25" s="7" t="s">
        <v>42</v>
      </c>
      <c r="B25" s="7" t="s">
        <v>43</v>
      </c>
    </row>
    <row r="26" spans="1:8">
      <c r="A26" s="7" t="s">
        <v>44</v>
      </c>
      <c r="B26" s="7" t="s">
        <v>45</v>
      </c>
    </row>
    <row r="27" spans="1:8">
      <c r="A27" s="7" t="s">
        <v>46</v>
      </c>
      <c r="B27" s="7" t="s">
        <v>47</v>
      </c>
    </row>
    <row r="28" spans="1:8">
      <c r="A28" s="7" t="s">
        <v>48</v>
      </c>
      <c r="B28" s="7" t="s">
        <v>49</v>
      </c>
    </row>
    <row r="29" spans="1:8" ht="27.6">
      <c r="A29" s="7" t="s">
        <v>50</v>
      </c>
      <c r="B29" s="7" t="s">
        <v>51</v>
      </c>
    </row>
    <row r="30" spans="1:8">
      <c r="A30" s="7" t="s">
        <v>52</v>
      </c>
      <c r="B30" s="7" t="s">
        <v>53</v>
      </c>
    </row>
    <row r="31" spans="1:8">
      <c r="A31" s="7" t="s">
        <v>54</v>
      </c>
      <c r="B31" s="7" t="s">
        <v>55</v>
      </c>
    </row>
    <row r="32" spans="1:8" ht="27.6">
      <c r="A32" s="7" t="s">
        <v>56</v>
      </c>
      <c r="B32" s="7" t="s">
        <v>57</v>
      </c>
    </row>
    <row r="34" spans="1:8">
      <c r="A34" s="24" t="s">
        <v>58</v>
      </c>
      <c r="B34" s="24"/>
      <c r="C34" s="24"/>
      <c r="D34" s="24"/>
      <c r="E34" s="24"/>
      <c r="F34" s="24"/>
      <c r="G34" s="24"/>
      <c r="H34" s="24"/>
    </row>
    <row r="35" spans="1:8">
      <c r="A35" s="1" t="s">
        <v>59</v>
      </c>
      <c r="B35" s="1" t="s">
        <v>60</v>
      </c>
    </row>
    <row r="36" spans="1:8" ht="27.6">
      <c r="A36" s="7" t="s">
        <v>61</v>
      </c>
      <c r="B36" s="7" t="s">
        <v>62</v>
      </c>
    </row>
    <row r="37" spans="1:8" ht="27.6">
      <c r="A37" s="7" t="s">
        <v>63</v>
      </c>
      <c r="B37" s="7" t="s">
        <v>64</v>
      </c>
    </row>
    <row r="38" spans="1:8">
      <c r="A38" s="7" t="s">
        <v>65</v>
      </c>
      <c r="B38" s="7" t="s">
        <v>66</v>
      </c>
    </row>
    <row r="39" spans="1:8" ht="27.6">
      <c r="A39" s="7" t="s">
        <v>67</v>
      </c>
      <c r="B39" s="7" t="s">
        <v>68</v>
      </c>
    </row>
  </sheetData>
  <mergeCells count="6">
    <mergeCell ref="A34:H34"/>
    <mergeCell ref="A1:H2"/>
    <mergeCell ref="A4:H4"/>
    <mergeCell ref="A5:H7"/>
    <mergeCell ref="A9:H9"/>
    <mergeCell ref="A22:H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721"/>
  <sheetViews>
    <sheetView topLeftCell="A2" zoomScaleNormal="100" workbookViewId="0">
      <selection activeCell="AK2" sqref="AK2"/>
    </sheetView>
  </sheetViews>
  <sheetFormatPr baseColWidth="10" defaultColWidth="8.796875" defaultRowHeight="13.8"/>
  <cols>
    <col min="1" max="1" width="18" customWidth="1"/>
    <col min="2" max="2" width="12" customWidth="1"/>
    <col min="3" max="3" width="13" customWidth="1"/>
    <col min="4" max="4" width="11.59765625" customWidth="1"/>
    <col min="5" max="5" width="34" customWidth="1"/>
    <col min="6" max="6" width="22" customWidth="1"/>
    <col min="7" max="7" width="16" customWidth="1"/>
    <col min="8" max="8" width="18" customWidth="1"/>
    <col min="9" max="9" width="9.69921875" customWidth="1"/>
    <col min="10" max="10" width="11" customWidth="1"/>
    <col min="11" max="11" width="13" customWidth="1"/>
    <col min="12" max="12" width="20" customWidth="1"/>
    <col min="13" max="14" width="13.8984375" customWidth="1"/>
    <col min="15" max="15" width="15.796875" bestFit="1" customWidth="1"/>
    <col min="16" max="16" width="18.19921875" bestFit="1" customWidth="1"/>
    <col min="17" max="17" width="24.09765625" bestFit="1" customWidth="1"/>
    <col min="18" max="18" width="20.09765625" bestFit="1" customWidth="1"/>
    <col min="19" max="19" width="17.59765625" bestFit="1" customWidth="1"/>
    <col min="20" max="20" width="16" bestFit="1" customWidth="1"/>
    <col min="21" max="21" width="20.5" bestFit="1" customWidth="1"/>
    <col min="22" max="22" width="15.796875" bestFit="1" customWidth="1"/>
    <col min="23" max="23" width="10.8984375" bestFit="1" customWidth="1"/>
    <col min="24" max="24" width="11.3984375" bestFit="1" customWidth="1"/>
    <col min="25" max="25" width="13.8984375" bestFit="1" customWidth="1"/>
    <col min="26" max="26" width="18.59765625" bestFit="1" customWidth="1"/>
    <col min="27" max="27" width="11.69921875" bestFit="1" customWidth="1"/>
    <col min="28" max="28" width="12.19921875" bestFit="1" customWidth="1"/>
    <col min="30" max="30" width="14.5" style="9" bestFit="1" customWidth="1"/>
    <col min="31" max="31" width="13" bestFit="1" customWidth="1"/>
    <col min="33" max="33" width="15.5" bestFit="1" customWidth="1"/>
    <col min="34" max="34" width="9.296875" bestFit="1" customWidth="1"/>
    <col min="36" max="36" width="13.796875" style="13" bestFit="1" customWidth="1"/>
    <col min="37" max="37" width="13.8984375" bestFit="1" customWidth="1"/>
  </cols>
  <sheetData>
    <row r="1" spans="1:37" ht="27.6">
      <c r="A1" s="1" t="s">
        <v>69</v>
      </c>
      <c r="B1" s="1" t="s">
        <v>70</v>
      </c>
      <c r="C1" s="1" t="s">
        <v>71</v>
      </c>
      <c r="D1" s="1" t="s">
        <v>72</v>
      </c>
      <c r="E1" s="1" t="s">
        <v>73</v>
      </c>
      <c r="F1" s="1" t="s">
        <v>74</v>
      </c>
      <c r="G1" s="1" t="s">
        <v>75</v>
      </c>
      <c r="H1" s="1" t="s">
        <v>76</v>
      </c>
      <c r="I1" s="1" t="s">
        <v>77</v>
      </c>
      <c r="J1" s="1" t="s">
        <v>78</v>
      </c>
      <c r="K1" s="1" t="s">
        <v>79</v>
      </c>
      <c r="L1" s="1" t="s">
        <v>80</v>
      </c>
      <c r="M1" s="1" t="s">
        <v>81</v>
      </c>
      <c r="N1" s="1" t="s">
        <v>82</v>
      </c>
      <c r="O1" t="s">
        <v>1389</v>
      </c>
      <c r="P1" t="s">
        <v>1390</v>
      </c>
      <c r="Q1" t="s">
        <v>1391</v>
      </c>
      <c r="R1" t="s">
        <v>1392</v>
      </c>
      <c r="S1" t="s">
        <v>1229</v>
      </c>
      <c r="T1" t="s">
        <v>1393</v>
      </c>
      <c r="U1" t="s">
        <v>1394</v>
      </c>
      <c r="V1" t="s">
        <v>1173</v>
      </c>
      <c r="W1" t="s">
        <v>1174</v>
      </c>
      <c r="X1" t="s">
        <v>1176</v>
      </c>
      <c r="Y1" t="s">
        <v>1395</v>
      </c>
      <c r="Z1" t="s">
        <v>1396</v>
      </c>
      <c r="AA1" t="s">
        <v>1397</v>
      </c>
      <c r="AB1" t="s">
        <v>1398</v>
      </c>
      <c r="AC1" t="s">
        <v>1399</v>
      </c>
      <c r="AD1" s="9" t="s">
        <v>1400</v>
      </c>
      <c r="AE1" s="10" t="s">
        <v>1401</v>
      </c>
      <c r="AF1" t="s">
        <v>1402</v>
      </c>
      <c r="AG1" s="10" t="s">
        <v>1403</v>
      </c>
      <c r="AH1" t="s">
        <v>1360</v>
      </c>
      <c r="AI1" t="s">
        <v>1404</v>
      </c>
      <c r="AJ1" s="13" t="s">
        <v>1409</v>
      </c>
      <c r="AK1" t="s">
        <v>1231</v>
      </c>
    </row>
    <row r="2" spans="1:37">
      <c r="A2" t="s">
        <v>434</v>
      </c>
      <c r="B2" s="3">
        <v>45661</v>
      </c>
      <c r="C2" t="s">
        <v>169</v>
      </c>
      <c r="D2" t="s">
        <v>174</v>
      </c>
      <c r="E2" t="s">
        <v>435</v>
      </c>
      <c r="F2" t="s">
        <v>103</v>
      </c>
      <c r="G2" t="s">
        <v>130</v>
      </c>
      <c r="H2" t="s">
        <v>97</v>
      </c>
      <c r="I2">
        <v>1</v>
      </c>
      <c r="J2" s="2">
        <v>38.4</v>
      </c>
      <c r="K2" s="4">
        <v>0.15</v>
      </c>
      <c r="L2" t="s">
        <v>106</v>
      </c>
      <c r="M2">
        <v>4</v>
      </c>
      <c r="N2" t="s">
        <v>91</v>
      </c>
      <c r="O2" t="str">
        <f>SUBSTITUTE(PROPER(TRIM(RawSalesTable[[#This Row],[Channel_Raw]])), "Market Place", "Marketplace")</f>
        <v>Retail Store</v>
      </c>
      <c r="P2" t="str">
        <f>TRIM(RawSalesTable[[#This Row],[Store_Raw]])</f>
        <v>Vancouver West</v>
      </c>
      <c r="Q2" t="str">
        <f>IF(TRIM(RawSalesTable[[#This Row],[Payment_Method_Raw]])="","Non renseigné",SUBSTITUTE(TRIM(RawSalesTable[[#This Row],[Payment_Method_Raw]]),"CC","Credit Card"))</f>
        <v>Credit Card</v>
      </c>
      <c r="R2" s="8" t="str">
        <f>UPPER(PROPER(RawSalesTable[[#This Row],[Customer_ID]]))</f>
        <v>C0064</v>
      </c>
      <c r="S2" s="8" t="str">
        <f>TRIM(LEFT(RawSalesTable[[#This Row],[Customer_Info]],FIND(",",RawSalesTable[[#This Row],[Customer_Info]]) -1))</f>
        <v>Amine Khan</v>
      </c>
      <c r="T2" s="8" t="str">
        <f>TRIM(MID(RawSalesTable[[#This Row],[Customer_Info]],FIND(",",RawSalesTable[[#This Row],[Customer_Info]])+1,FIND(",",RawSalesTable[[#This Row],[Customer_Info]],FIND(",",RawSalesTable[[#This Row],[Customer_Info]])+1)-FIND(",",RawSalesTable[[#This Row],[Customer_Info]])-1))</f>
        <v>Edmonton</v>
      </c>
      <c r="U2" s="8" t="str">
        <f>TRIM(RIGHT(RawSalesTable[[#This Row],[Customer_Info]], LEN(RawSalesTable[[#This Row],[Customer_Info]])-FIND(",",RawSalesTable[[#This Row],[Customer_Info]],FIND(",",RawSalesTable[[#This Row],[Customer_Info]])+1)))</f>
        <v>Consumer</v>
      </c>
      <c r="V2" s="8" t="str">
        <f>VLOOKUP(RawSalesTable[[#This Row],[Product_ID]],ProductsTable[],2,FALSE)</f>
        <v>Keyboard</v>
      </c>
      <c r="W2" s="8" t="str">
        <f>VLOOKUP(RawSalesTable[[#This Row],[Product_ID]],ProductsTable[],3,FALSE)</f>
        <v>Electronics</v>
      </c>
      <c r="X2" s="8">
        <f>VLOOKUP(RawSalesTable[[#This Row],[Product_ID]],ProductsTable[],5,FALSE)</f>
        <v>23.5</v>
      </c>
      <c r="Y2" s="8">
        <f>RawSalesTable[[#This Row],[Quantity]]*RawSalesTable[[#This Row],[Unit_Price]]</f>
        <v>38.4</v>
      </c>
      <c r="Z2" s="8">
        <f>RawSalesTable[[#This Row],[Gross_Sales]]*RawSalesTable[[#This Row],[Discount_Pct]]</f>
        <v>5.76</v>
      </c>
      <c r="AA2" s="8">
        <f>RawSalesTable[[#This Row],[Gross_Sales]]-RawSalesTable[[#This Row],[Discount_Amount]]</f>
        <v>32.64</v>
      </c>
      <c r="AB2" s="8">
        <f>RawSalesTable[[#This Row],[Unit_Cost]]*RawSalesTable[[#This Row],[Quantity]]</f>
        <v>23.5</v>
      </c>
      <c r="AC2" s="8">
        <f>RawSalesTable[[#This Row],[Net_Sales]]-RawSalesTable[[#This Row],[Total_Cost]]</f>
        <v>9.14</v>
      </c>
      <c r="AD2" s="9">
        <f>RawSalesTable[[#This Row],[Profit]]/RawSalesTable[[#This Row],[Net_Sales]]</f>
        <v>0.28002450980392157</v>
      </c>
      <c r="AE2" s="8">
        <f>IF(RawSalesTable[[#This Row],[Return_Status]]="Yes",1,0)</f>
        <v>0</v>
      </c>
      <c r="AF2" s="8">
        <f>YEAR(RawSalesTable[[#This Row],[Order_Date]])</f>
        <v>2025</v>
      </c>
      <c r="AG2" s="8">
        <f>MONTH(RawSalesTable[[#This Row],[Order_Date]])</f>
        <v>1</v>
      </c>
      <c r="AH2" s="8" t="str">
        <f>TEXT(RawSalesTable[[#This Row],[Order_Date]],"mmmm")</f>
        <v>janvier</v>
      </c>
      <c r="AI2" s="8" t="str">
        <f>IF(RawSalesTable[[#This Row],[Month_Number]]&lt;=3,"Q1",IF(RawSalesTable[[#This Row],[Month_Number]]&lt;=6,"Q2",IF(RawSalesTable[[#This Row],[Month_Number]]&lt;=9,"Q3","Q4")))</f>
        <v>Q1</v>
      </c>
      <c r="AJ2" s="13">
        <f>DATE(YEAR(RawSalesTable[[#This Row],[Order_Date]]),MONTH(RawSalesTable[[#This Row],[Order_Date]]),1)</f>
        <v>45658</v>
      </c>
      <c r="AK2" s="8" t="str">
        <f>VLOOKUP(RawSalesTable[[#This Row],[Customer_ID_clean]],CustomersTable[],4,FALSE)</f>
        <v>Alberta</v>
      </c>
    </row>
    <row r="3" spans="1:37">
      <c r="A3" t="s">
        <v>514</v>
      </c>
      <c r="B3" s="3">
        <v>45913</v>
      </c>
      <c r="C3" t="s">
        <v>138</v>
      </c>
      <c r="D3" t="s">
        <v>157</v>
      </c>
      <c r="E3" t="s">
        <v>140</v>
      </c>
      <c r="F3" t="s">
        <v>103</v>
      </c>
      <c r="G3" t="s">
        <v>130</v>
      </c>
      <c r="H3" t="s">
        <v>97</v>
      </c>
      <c r="I3">
        <v>3</v>
      </c>
      <c r="J3" s="2">
        <v>305.98</v>
      </c>
      <c r="K3" s="4">
        <v>0.15</v>
      </c>
      <c r="L3" t="s">
        <v>106</v>
      </c>
      <c r="M3">
        <v>0</v>
      </c>
      <c r="N3" t="s">
        <v>91</v>
      </c>
      <c r="O3" t="str">
        <f>SUBSTITUTE(PROPER(TRIM(RawSalesTable[[#This Row],[Channel_Raw]])), "Market Place", "Marketplace")</f>
        <v>Retail Store</v>
      </c>
      <c r="P3" t="str">
        <f>TRIM(RawSalesTable[[#This Row],[Store_Raw]])</f>
        <v>Vancouver West</v>
      </c>
      <c r="Q3" t="str">
        <f>IF(TRIM(RawSalesTable[[#This Row],[Payment_Method_Raw]])="","Non renseigné",SUBSTITUTE(TRIM(RawSalesTable[[#This Row],[Payment_Method_Raw]]),"CC","Credit Card"))</f>
        <v>Credit Card</v>
      </c>
      <c r="R3" s="8" t="str">
        <f>UPPER(PROPER(RawSalesTable[[#This Row],[Customer_ID]]))</f>
        <v>C0106</v>
      </c>
      <c r="S3" s="8" t="str">
        <f>TRIM(LEFT(RawSalesTable[[#This Row],[Customer_Info]],FIND(",",RawSalesTable[[#This Row],[Customer_Info]]) -1))</f>
        <v>Liam Gagnon</v>
      </c>
      <c r="T3" s="8" t="str">
        <f>TRIM(MID(RawSalesTable[[#This Row],[Customer_Info]],FIND(",",RawSalesTable[[#This Row],[Customer_Info]])+1,FIND(",",RawSalesTable[[#This Row],[Customer_Info]],FIND(",",RawSalesTable[[#This Row],[Customer_Info]])+1)-FIND(",",RawSalesTable[[#This Row],[Customer_Info]])-1))</f>
        <v>Ottawa</v>
      </c>
      <c r="U3" s="8" t="str">
        <f>TRIM(RIGHT(RawSalesTable[[#This Row],[Customer_Info]], LEN(RawSalesTable[[#This Row],[Customer_Info]])-FIND(",",RawSalesTable[[#This Row],[Customer_Info]],FIND(",",RawSalesTable[[#This Row],[Customer_Info]])+1)))</f>
        <v>Small Business</v>
      </c>
      <c r="V3" s="8" t="str">
        <f>VLOOKUP(RawSalesTable[[#This Row],[Product_ID]],ProductsTable[],2,FALSE)</f>
        <v>Notebook</v>
      </c>
      <c r="W3" s="8" t="str">
        <f>VLOOKUP(RawSalesTable[[#This Row],[Product_ID]],ProductsTable[],3,FALSE)</f>
        <v>Office</v>
      </c>
      <c r="X3" s="8">
        <f>VLOOKUP(RawSalesTable[[#This Row],[Product_ID]],ProductsTable[],5,FALSE)</f>
        <v>176.13</v>
      </c>
      <c r="Y3" s="8">
        <f>RawSalesTable[[#This Row],[Quantity]]*RawSalesTable[[#This Row],[Unit_Price]]</f>
        <v>917.94</v>
      </c>
      <c r="Z3" s="8">
        <f>RawSalesTable[[#This Row],[Gross_Sales]]*RawSalesTable[[#This Row],[Discount_Pct]]</f>
        <v>137.691</v>
      </c>
      <c r="AA3" s="8">
        <f>RawSalesTable[[#This Row],[Gross_Sales]]-RawSalesTable[[#This Row],[Discount_Amount]]</f>
        <v>780.24900000000002</v>
      </c>
      <c r="AB3" s="8">
        <f>RawSalesTable[[#This Row],[Unit_Cost]]*RawSalesTable[[#This Row],[Quantity]]</f>
        <v>528.39</v>
      </c>
      <c r="AC3" s="8">
        <f>RawSalesTable[[#This Row],[Net_Sales]]-RawSalesTable[[#This Row],[Total_Cost]]</f>
        <v>251.85900000000004</v>
      </c>
      <c r="AD3" s="9">
        <f>RawSalesTable[[#This Row],[Profit]]/RawSalesTable[[#This Row],[Net_Sales]]</f>
        <v>0.3227931083538717</v>
      </c>
      <c r="AE3" s="8">
        <f>IF(RawSalesTable[[#This Row],[Return_Status]]="Yes",1,0)</f>
        <v>0</v>
      </c>
      <c r="AF3" s="8">
        <f>YEAR(RawSalesTable[[#This Row],[Order_Date]])</f>
        <v>2025</v>
      </c>
      <c r="AG3" s="8">
        <f>MONTH(RawSalesTable[[#This Row],[Order_Date]])</f>
        <v>9</v>
      </c>
      <c r="AH3" s="8" t="str">
        <f>TEXT(RawSalesTable[[#This Row],[Order_Date]],"mmmm")</f>
        <v>septembre</v>
      </c>
      <c r="AI3" s="8" t="str">
        <f>IF(RawSalesTable[[#This Row],[Month_Number]]&lt;=3,"Q1",IF(RawSalesTable[[#This Row],[Month_Number]]&lt;=6,"Q2",IF(RawSalesTable[[#This Row],[Month_Number]]&lt;=9,"Q3","Q4")))</f>
        <v>Q3</v>
      </c>
      <c r="AJ3" s="13">
        <f>DATE(YEAR(RawSalesTable[[#This Row],[Order_Date]]),MONTH(RawSalesTable[[#This Row],[Order_Date]]),1)</f>
        <v>45901</v>
      </c>
      <c r="AK3" s="8" t="str">
        <f>VLOOKUP(RawSalesTable[[#This Row],[Customer_ID_clean]],CustomersTable[],4,FALSE)</f>
        <v>Ontario</v>
      </c>
    </row>
    <row r="4" spans="1:37">
      <c r="A4" t="s">
        <v>630</v>
      </c>
      <c r="B4" s="3">
        <v>45923</v>
      </c>
      <c r="C4" t="s">
        <v>257</v>
      </c>
      <c r="D4" t="s">
        <v>261</v>
      </c>
      <c r="E4" t="s">
        <v>258</v>
      </c>
      <c r="F4" t="s">
        <v>145</v>
      </c>
      <c r="G4" t="s">
        <v>96</v>
      </c>
      <c r="H4" t="s">
        <v>105</v>
      </c>
      <c r="I4">
        <v>3</v>
      </c>
      <c r="J4" s="2">
        <v>251.49</v>
      </c>
      <c r="K4" s="4">
        <v>0.15</v>
      </c>
      <c r="L4" t="s">
        <v>98</v>
      </c>
      <c r="M4">
        <v>6</v>
      </c>
      <c r="N4" t="s">
        <v>91</v>
      </c>
      <c r="O4" t="str">
        <f>SUBSTITUTE(PROPER(TRIM(RawSalesTable[[#This Row],[Channel_Raw]])), "Market Place", "Marketplace")</f>
        <v>Marketplace</v>
      </c>
      <c r="P4" t="str">
        <f>TRIM(RawSalesTable[[#This Row],[Store_Raw]])</f>
        <v>Calgary North</v>
      </c>
      <c r="Q4" t="str">
        <f>IF(TRIM(RawSalesTable[[#This Row],[Payment_Method_Raw]])="","Non renseigné",SUBSTITUTE(TRIM(RawSalesTable[[#This Row],[Payment_Method_Raw]]),"CC","Credit Card"))</f>
        <v>Debit Card</v>
      </c>
      <c r="R4" s="8" t="str">
        <f>UPPER(PROPER(RawSalesTable[[#This Row],[Customer_ID]]))</f>
        <v>C0068</v>
      </c>
      <c r="S4" s="8" t="str">
        <f>TRIM(LEFT(RawSalesTable[[#This Row],[Customer_Info]],FIND(",",RawSalesTable[[#This Row],[Customer_Info]]) -1))</f>
        <v>Yasmine Martin</v>
      </c>
      <c r="T4" s="8" t="str">
        <f>TRIM(MID(RawSalesTable[[#This Row],[Customer_Info]],FIND(",",RawSalesTable[[#This Row],[Customer_Info]])+1,FIND(",",RawSalesTable[[#This Row],[Customer_Info]],FIND(",",RawSalesTable[[#This Row],[Customer_Info]])+1)-FIND(",",RawSalesTable[[#This Row],[Customer_Info]])-1))</f>
        <v>Calgary</v>
      </c>
      <c r="U4" s="8" t="str">
        <f>TRIM(RIGHT(RawSalesTable[[#This Row],[Customer_Info]], LEN(RawSalesTable[[#This Row],[Customer_Info]])-FIND(",",RawSalesTable[[#This Row],[Customer_Info]],FIND(",",RawSalesTable[[#This Row],[Customer_Info]])+1)))</f>
        <v>Consumer</v>
      </c>
      <c r="V4" s="8" t="str">
        <f>VLOOKUP(RawSalesTable[[#This Row],[Product_ID]],ProductsTable[],2,FALSE)</f>
        <v>Dumbbell Set</v>
      </c>
      <c r="W4" s="8" t="str">
        <f>VLOOKUP(RawSalesTable[[#This Row],[Product_ID]],ProductsTable[],3,FALSE)</f>
        <v>Fitness</v>
      </c>
      <c r="X4" s="8">
        <f>VLOOKUP(RawSalesTable[[#This Row],[Product_ID]],ProductsTable[],5,FALSE)</f>
        <v>131.72999999999999</v>
      </c>
      <c r="Y4" s="8">
        <f>RawSalesTable[[#This Row],[Quantity]]*RawSalesTable[[#This Row],[Unit_Price]]</f>
        <v>754.47</v>
      </c>
      <c r="Z4" s="8">
        <f>RawSalesTable[[#This Row],[Gross_Sales]]*RawSalesTable[[#This Row],[Discount_Pct]]</f>
        <v>113.1705</v>
      </c>
      <c r="AA4" s="8">
        <f>RawSalesTable[[#This Row],[Gross_Sales]]-RawSalesTable[[#This Row],[Discount_Amount]]</f>
        <v>641.29950000000008</v>
      </c>
      <c r="AB4" s="8">
        <f>RawSalesTable[[#This Row],[Unit_Cost]]*RawSalesTable[[#This Row],[Quantity]]</f>
        <v>395.18999999999994</v>
      </c>
      <c r="AC4" s="8">
        <f>RawSalesTable[[#This Row],[Net_Sales]]-RawSalesTable[[#This Row],[Total_Cost]]</f>
        <v>246.10950000000014</v>
      </c>
      <c r="AD4" s="9">
        <f>RawSalesTable[[#This Row],[Profit]]/RawSalesTable[[#This Row],[Net_Sales]]</f>
        <v>0.38376686711902958</v>
      </c>
      <c r="AE4" s="8">
        <f>IF(RawSalesTable[[#This Row],[Return_Status]]="Yes",1,0)</f>
        <v>0</v>
      </c>
      <c r="AF4" s="8">
        <f>YEAR(RawSalesTable[[#This Row],[Order_Date]])</f>
        <v>2025</v>
      </c>
      <c r="AG4" s="8">
        <f>MONTH(RawSalesTable[[#This Row],[Order_Date]])</f>
        <v>9</v>
      </c>
      <c r="AH4" s="8" t="str">
        <f>TEXT(RawSalesTable[[#This Row],[Order_Date]],"mmmm")</f>
        <v>septembre</v>
      </c>
      <c r="AI4" s="8" t="str">
        <f>IF(RawSalesTable[[#This Row],[Month_Number]]&lt;=3,"Q1",IF(RawSalesTable[[#This Row],[Month_Number]]&lt;=6,"Q2",IF(RawSalesTable[[#This Row],[Month_Number]]&lt;=9,"Q3","Q4")))</f>
        <v>Q3</v>
      </c>
      <c r="AJ4" s="13">
        <f>DATE(YEAR(RawSalesTable[[#This Row],[Order_Date]]),MONTH(RawSalesTable[[#This Row],[Order_Date]]),1)</f>
        <v>45901</v>
      </c>
      <c r="AK4" s="8" t="str">
        <f>VLOOKUP(RawSalesTable[[#This Row],[Customer_ID_clean]],CustomersTable[],4,FALSE)</f>
        <v>Alberta</v>
      </c>
    </row>
    <row r="5" spans="1:37">
      <c r="A5" t="s">
        <v>681</v>
      </c>
      <c r="B5" s="3">
        <v>45758</v>
      </c>
      <c r="C5" t="s">
        <v>177</v>
      </c>
      <c r="D5" t="s">
        <v>249</v>
      </c>
      <c r="E5" t="s">
        <v>682</v>
      </c>
      <c r="F5" t="s">
        <v>111</v>
      </c>
      <c r="G5" t="s">
        <v>88</v>
      </c>
      <c r="H5" t="s">
        <v>97</v>
      </c>
      <c r="I5">
        <v>2</v>
      </c>
      <c r="J5" s="2">
        <v>405.16</v>
      </c>
      <c r="K5" s="4">
        <v>0</v>
      </c>
      <c r="L5" t="s">
        <v>106</v>
      </c>
      <c r="M5">
        <v>1</v>
      </c>
      <c r="N5" t="s">
        <v>91</v>
      </c>
      <c r="O5" t="str">
        <f>SUBSTITUTE(PROPER(TRIM(RawSalesTable[[#This Row],[Channel_Raw]])), "Market Place", "Marketplace")</f>
        <v>Retail Store</v>
      </c>
      <c r="P5" t="str">
        <f>TRIM(RawSalesTable[[#This Row],[Store_Raw]])</f>
        <v>Montreal Central</v>
      </c>
      <c r="Q5" t="str">
        <f>IF(TRIM(RawSalesTable[[#This Row],[Payment_Method_Raw]])="","Non renseigné",SUBSTITUTE(TRIM(RawSalesTable[[#This Row],[Payment_Method_Raw]]),"CC","Credit Card"))</f>
        <v>Credit Card</v>
      </c>
      <c r="R5" s="8" t="str">
        <f>UPPER(PROPER(RawSalesTable[[#This Row],[Customer_ID]]))</f>
        <v>C0041</v>
      </c>
      <c r="S5" s="8" t="str">
        <f>TRIM(LEFT(RawSalesTable[[#This Row],[Customer_Info]],FIND(",",RawSalesTable[[#This Row],[Customer_Info]]) -1))</f>
        <v>Amine Chen</v>
      </c>
      <c r="T5" s="8" t="str">
        <f>TRIM(MID(RawSalesTable[[#This Row],[Customer_Info]],FIND(",",RawSalesTable[[#This Row],[Customer_Info]])+1,FIND(",",RawSalesTable[[#This Row],[Customer_Info]],FIND(",",RawSalesTable[[#This Row],[Customer_Info]])+1)-FIND(",",RawSalesTable[[#This Row],[Customer_Info]])-1))</f>
        <v>Halifax</v>
      </c>
      <c r="U5" s="8" t="str">
        <f>TRIM(RIGHT(RawSalesTable[[#This Row],[Customer_Info]], LEN(RawSalesTable[[#This Row],[Customer_Info]])-FIND(",",RawSalesTable[[#This Row],[Customer_Info]],FIND(",",RawSalesTable[[#This Row],[Customer_Info]])+1)))</f>
        <v>Small Business</v>
      </c>
      <c r="V5" s="8" t="str">
        <f>VLOOKUP(RawSalesTable[[#This Row],[Product_ID]],ProductsTable[],2,FALSE)</f>
        <v>Humidifier</v>
      </c>
      <c r="W5" s="8" t="str">
        <f>VLOOKUP(RawSalesTable[[#This Row],[Product_ID]],ProductsTable[],3,FALSE)</f>
        <v>Home</v>
      </c>
      <c r="X5" s="8">
        <f>VLOOKUP(RawSalesTable[[#This Row],[Product_ID]],ProductsTable[],5,FALSE)</f>
        <v>239.67</v>
      </c>
      <c r="Y5" s="8">
        <f>RawSalesTable[[#This Row],[Quantity]]*RawSalesTable[[#This Row],[Unit_Price]]</f>
        <v>810.32</v>
      </c>
      <c r="Z5" s="8">
        <f>RawSalesTable[[#This Row],[Gross_Sales]]*RawSalesTable[[#This Row],[Discount_Pct]]</f>
        <v>0</v>
      </c>
      <c r="AA5" s="8">
        <f>RawSalesTable[[#This Row],[Gross_Sales]]-RawSalesTable[[#This Row],[Discount_Amount]]</f>
        <v>810.32</v>
      </c>
      <c r="AB5" s="8">
        <f>RawSalesTable[[#This Row],[Unit_Cost]]*RawSalesTable[[#This Row],[Quantity]]</f>
        <v>479.34</v>
      </c>
      <c r="AC5" s="8">
        <f>RawSalesTable[[#This Row],[Net_Sales]]-RawSalesTable[[#This Row],[Total_Cost]]</f>
        <v>330.98000000000008</v>
      </c>
      <c r="AD5" s="9">
        <f>RawSalesTable[[#This Row],[Profit]]/RawSalesTable[[#This Row],[Net_Sales]]</f>
        <v>0.40845591864942254</v>
      </c>
      <c r="AE5" s="8">
        <f>IF(RawSalesTable[[#This Row],[Return_Status]]="Yes",1,0)</f>
        <v>0</v>
      </c>
      <c r="AF5" s="8">
        <f>YEAR(RawSalesTable[[#This Row],[Order_Date]])</f>
        <v>2025</v>
      </c>
      <c r="AG5" s="8">
        <f>MONTH(RawSalesTable[[#This Row],[Order_Date]])</f>
        <v>4</v>
      </c>
      <c r="AH5" s="8" t="str">
        <f>TEXT(RawSalesTable[[#This Row],[Order_Date]],"mmmm")</f>
        <v>avril</v>
      </c>
      <c r="AI5" s="8" t="str">
        <f>IF(RawSalesTable[[#This Row],[Month_Number]]&lt;=3,"Q1",IF(RawSalesTable[[#This Row],[Month_Number]]&lt;=6,"Q2",IF(RawSalesTable[[#This Row],[Month_Number]]&lt;=9,"Q3","Q4")))</f>
        <v>Q2</v>
      </c>
      <c r="AJ5" s="13">
        <f>DATE(YEAR(RawSalesTable[[#This Row],[Order_Date]]),MONTH(RawSalesTable[[#This Row],[Order_Date]]),1)</f>
        <v>45748</v>
      </c>
      <c r="AK5" s="8" t="str">
        <f>VLOOKUP(RawSalesTable[[#This Row],[Customer_ID_clean]],CustomersTable[],4,FALSE)</f>
        <v>Nova Scotia</v>
      </c>
    </row>
    <row r="6" spans="1:37">
      <c r="A6" t="s">
        <v>719</v>
      </c>
      <c r="B6" s="3">
        <v>45995</v>
      </c>
      <c r="C6" t="s">
        <v>197</v>
      </c>
      <c r="D6" t="s">
        <v>133</v>
      </c>
      <c r="E6" t="s">
        <v>198</v>
      </c>
      <c r="F6" t="s">
        <v>111</v>
      </c>
      <c r="G6" t="s">
        <v>117</v>
      </c>
      <c r="H6" t="s">
        <v>89</v>
      </c>
      <c r="I6">
        <v>1</v>
      </c>
      <c r="J6" s="2">
        <v>341.39</v>
      </c>
      <c r="K6" s="4">
        <v>0</v>
      </c>
      <c r="M6">
        <v>4</v>
      </c>
      <c r="N6" t="s">
        <v>91</v>
      </c>
      <c r="O6" t="str">
        <f>SUBSTITUTE(PROPER(TRIM(RawSalesTable[[#This Row],[Channel_Raw]])), "Market Place", "Marketplace")</f>
        <v>Online</v>
      </c>
      <c r="P6" t="str">
        <f>TRIM(RawSalesTable[[#This Row],[Store_Raw]])</f>
        <v>Montreal Central</v>
      </c>
      <c r="Q6" t="str">
        <f>IF(TRIM(RawSalesTable[[#This Row],[Payment_Method_Raw]])="","Non renseigné",SUBSTITUTE(TRIM(RawSalesTable[[#This Row],[Payment_Method_Raw]]),"CC","Credit Card"))</f>
        <v>Non renseigné</v>
      </c>
      <c r="R6" s="8" t="str">
        <f>UPPER(PROPER(RawSalesTable[[#This Row],[Customer_ID]]))</f>
        <v>C0091</v>
      </c>
      <c r="S6" s="8" t="str">
        <f>TRIM(LEFT(RawSalesTable[[#This Row],[Customer_Info]],FIND(",",RawSalesTable[[#This Row],[Customer_Info]]) -1))</f>
        <v>Leo Taylor</v>
      </c>
      <c r="T6" s="8" t="str">
        <f>TRIM(MID(RawSalesTable[[#This Row],[Customer_Info]],FIND(",",RawSalesTable[[#This Row],[Customer_Info]])+1,FIND(",",RawSalesTable[[#This Row],[Customer_Info]],FIND(",",RawSalesTable[[#This Row],[Customer_Info]])+1)-FIND(",",RawSalesTable[[#This Row],[Customer_Info]])-1))</f>
        <v>Victoria</v>
      </c>
      <c r="U6" s="8" t="str">
        <f>TRIM(RIGHT(RawSalesTable[[#This Row],[Customer_Info]], LEN(RawSalesTable[[#This Row],[Customer_Info]])-FIND(",",RawSalesTable[[#This Row],[Customer_Info]],FIND(",",RawSalesTable[[#This Row],[Customer_Info]])+1)))</f>
        <v>Small Business</v>
      </c>
      <c r="V6" s="8" t="str">
        <f>VLOOKUP(RawSalesTable[[#This Row],[Product_ID]],ProductsTable[],2,FALSE)</f>
        <v>Travel Adapter</v>
      </c>
      <c r="W6" s="8" t="str">
        <f>VLOOKUP(RawSalesTable[[#This Row],[Product_ID]],ProductsTable[],3,FALSE)</f>
        <v>Accessories</v>
      </c>
      <c r="X6" s="8">
        <f>VLOOKUP(RawSalesTable[[#This Row],[Product_ID]],ProductsTable[],5,FALSE)</f>
        <v>229.86</v>
      </c>
      <c r="Y6" s="8">
        <f>RawSalesTable[[#This Row],[Quantity]]*RawSalesTable[[#This Row],[Unit_Price]]</f>
        <v>341.39</v>
      </c>
      <c r="Z6" s="8">
        <f>RawSalesTable[[#This Row],[Gross_Sales]]*RawSalesTable[[#This Row],[Discount_Pct]]</f>
        <v>0</v>
      </c>
      <c r="AA6" s="8">
        <f>RawSalesTable[[#This Row],[Gross_Sales]]-RawSalesTable[[#This Row],[Discount_Amount]]</f>
        <v>341.39</v>
      </c>
      <c r="AB6" s="8">
        <f>RawSalesTable[[#This Row],[Unit_Cost]]*RawSalesTable[[#This Row],[Quantity]]</f>
        <v>229.86</v>
      </c>
      <c r="AC6" s="8">
        <f>RawSalesTable[[#This Row],[Net_Sales]]-RawSalesTable[[#This Row],[Total_Cost]]</f>
        <v>111.52999999999997</v>
      </c>
      <c r="AD6" s="9">
        <f>RawSalesTable[[#This Row],[Profit]]/RawSalesTable[[#This Row],[Net_Sales]]</f>
        <v>0.32669381059784991</v>
      </c>
      <c r="AE6" s="8">
        <f>IF(RawSalesTable[[#This Row],[Return_Status]]="Yes",1,0)</f>
        <v>0</v>
      </c>
      <c r="AF6" s="8">
        <f>YEAR(RawSalesTable[[#This Row],[Order_Date]])</f>
        <v>2025</v>
      </c>
      <c r="AG6" s="8">
        <f>MONTH(RawSalesTable[[#This Row],[Order_Date]])</f>
        <v>12</v>
      </c>
      <c r="AH6" s="8" t="str">
        <f>TEXT(RawSalesTable[[#This Row],[Order_Date]],"mmmm")</f>
        <v>décembre</v>
      </c>
      <c r="AI6" s="8" t="str">
        <f>IF(RawSalesTable[[#This Row],[Month_Number]]&lt;=3,"Q1",IF(RawSalesTable[[#This Row],[Month_Number]]&lt;=6,"Q2",IF(RawSalesTable[[#This Row],[Month_Number]]&lt;=9,"Q3","Q4")))</f>
        <v>Q4</v>
      </c>
      <c r="AJ6" s="13">
        <f>DATE(YEAR(RawSalesTable[[#This Row],[Order_Date]]),MONTH(RawSalesTable[[#This Row],[Order_Date]]),1)</f>
        <v>45992</v>
      </c>
      <c r="AK6" s="8" t="str">
        <f>VLOOKUP(RawSalesTable[[#This Row],[Customer_ID_clean]],CustomersTable[],4,FALSE)</f>
        <v>British Columbia</v>
      </c>
    </row>
    <row r="7" spans="1:37">
      <c r="A7" t="s">
        <v>894</v>
      </c>
      <c r="B7" s="3">
        <v>45781</v>
      </c>
      <c r="C7" t="s">
        <v>338</v>
      </c>
      <c r="D7" t="s">
        <v>143</v>
      </c>
      <c r="E7" t="s">
        <v>339</v>
      </c>
      <c r="F7" t="s">
        <v>111</v>
      </c>
      <c r="G7" t="s">
        <v>122</v>
      </c>
      <c r="H7" t="s">
        <v>97</v>
      </c>
      <c r="I7">
        <v>1</v>
      </c>
      <c r="J7" s="2">
        <v>273.39</v>
      </c>
      <c r="K7" s="4">
        <v>0.1</v>
      </c>
      <c r="L7" t="s">
        <v>90</v>
      </c>
      <c r="M7">
        <v>3</v>
      </c>
      <c r="N7" t="s">
        <v>91</v>
      </c>
      <c r="O7" t="str">
        <f>SUBSTITUTE(PROPER(TRIM(RawSalesTable[[#This Row],[Channel_Raw]])), "Market Place", "Marketplace")</f>
        <v>Retail Store</v>
      </c>
      <c r="P7" t="str">
        <f>TRIM(RawSalesTable[[#This Row],[Store_Raw]])</f>
        <v>Montreal Central</v>
      </c>
      <c r="Q7" t="str">
        <f>IF(TRIM(RawSalesTable[[#This Row],[Payment_Method_Raw]])="","Non renseigné",SUBSTITUTE(TRIM(RawSalesTable[[#This Row],[Payment_Method_Raw]]),"CC","Credit Card"))</f>
        <v>PayPal</v>
      </c>
      <c r="R7" s="8" t="str">
        <f>UPPER(PROPER(RawSalesTable[[#This Row],[Customer_ID]]))</f>
        <v>C0047</v>
      </c>
      <c r="S7" s="8" t="str">
        <f>TRIM(LEFT(RawSalesTable[[#This Row],[Customer_Info]],FIND(",",RawSalesTable[[#This Row],[Customer_Info]]) -1))</f>
        <v>Amine King</v>
      </c>
      <c r="T7" s="8" t="str">
        <f>TRIM(MID(RawSalesTable[[#This Row],[Customer_Info]],FIND(",",RawSalesTable[[#This Row],[Customer_Info]])+1,FIND(",",RawSalesTable[[#This Row],[Customer_Info]],FIND(",",RawSalesTable[[#This Row],[Customer_Info]])+1)-FIND(",",RawSalesTable[[#This Row],[Customer_Info]])-1))</f>
        <v>Victoria</v>
      </c>
      <c r="U7" s="8" t="str">
        <f>TRIM(RIGHT(RawSalesTable[[#This Row],[Customer_Info]], LEN(RawSalesTable[[#This Row],[Customer_Info]])-FIND(",",RawSalesTable[[#This Row],[Customer_Info]],FIND(",",RawSalesTable[[#This Row],[Customer_Info]])+1)))</f>
        <v>Consumer</v>
      </c>
      <c r="V7" s="8" t="str">
        <f>VLOOKUP(RawSalesTable[[#This Row],[Product_ID]],ProductsTable[],2,FALSE)</f>
        <v>Water Bottle</v>
      </c>
      <c r="W7" s="8" t="str">
        <f>VLOOKUP(RawSalesTable[[#This Row],[Product_ID]],ProductsTable[],3,FALSE)</f>
        <v>Accessories</v>
      </c>
      <c r="X7" s="8">
        <f>VLOOKUP(RawSalesTable[[#This Row],[Product_ID]],ProductsTable[],5,FALSE)</f>
        <v>119.16</v>
      </c>
      <c r="Y7" s="8">
        <f>RawSalesTable[[#This Row],[Quantity]]*RawSalesTable[[#This Row],[Unit_Price]]</f>
        <v>273.39</v>
      </c>
      <c r="Z7" s="8">
        <f>RawSalesTable[[#This Row],[Gross_Sales]]*RawSalesTable[[#This Row],[Discount_Pct]]</f>
        <v>27.338999999999999</v>
      </c>
      <c r="AA7" s="8">
        <f>RawSalesTable[[#This Row],[Gross_Sales]]-RawSalesTable[[#This Row],[Discount_Amount]]</f>
        <v>246.05099999999999</v>
      </c>
      <c r="AB7" s="8">
        <f>RawSalesTable[[#This Row],[Unit_Cost]]*RawSalesTable[[#This Row],[Quantity]]</f>
        <v>119.16</v>
      </c>
      <c r="AC7" s="8">
        <f>RawSalesTable[[#This Row],[Net_Sales]]-RawSalesTable[[#This Row],[Total_Cost]]</f>
        <v>126.89099999999999</v>
      </c>
      <c r="AD7" s="9">
        <f>RawSalesTable[[#This Row],[Profit]]/RawSalesTable[[#This Row],[Net_Sales]]</f>
        <v>0.51571015765024319</v>
      </c>
      <c r="AE7" s="8">
        <f>IF(RawSalesTable[[#This Row],[Return_Status]]="Yes",1,0)</f>
        <v>0</v>
      </c>
      <c r="AF7" s="8">
        <f>YEAR(RawSalesTable[[#This Row],[Order_Date]])</f>
        <v>2025</v>
      </c>
      <c r="AG7" s="8">
        <f>MONTH(RawSalesTable[[#This Row],[Order_Date]])</f>
        <v>5</v>
      </c>
      <c r="AH7" s="8" t="str">
        <f>TEXT(RawSalesTable[[#This Row],[Order_Date]],"mmmm")</f>
        <v>mai</v>
      </c>
      <c r="AI7" s="8" t="str">
        <f>IF(RawSalesTable[[#This Row],[Month_Number]]&lt;=3,"Q1",IF(RawSalesTable[[#This Row],[Month_Number]]&lt;=6,"Q2",IF(RawSalesTable[[#This Row],[Month_Number]]&lt;=9,"Q3","Q4")))</f>
        <v>Q2</v>
      </c>
      <c r="AJ7" s="13">
        <f>DATE(YEAR(RawSalesTable[[#This Row],[Order_Date]]),MONTH(RawSalesTable[[#This Row],[Order_Date]]),1)</f>
        <v>45778</v>
      </c>
      <c r="AK7" s="8" t="str">
        <f>VLOOKUP(RawSalesTable[[#This Row],[Customer_ID_clean]],CustomersTable[],4,FALSE)</f>
        <v>British Columbia</v>
      </c>
    </row>
    <row r="8" spans="1:37">
      <c r="A8" t="s">
        <v>956</v>
      </c>
      <c r="B8" s="3">
        <v>45993</v>
      </c>
      <c r="C8" t="s">
        <v>500</v>
      </c>
      <c r="D8" t="s">
        <v>249</v>
      </c>
      <c r="E8" t="s">
        <v>501</v>
      </c>
      <c r="F8" t="s">
        <v>655</v>
      </c>
      <c r="G8" t="s">
        <v>117</v>
      </c>
      <c r="H8" t="s">
        <v>89</v>
      </c>
      <c r="I8">
        <v>2</v>
      </c>
      <c r="J8" s="2">
        <v>416.28</v>
      </c>
      <c r="K8" s="4">
        <v>0</v>
      </c>
      <c r="L8" t="s">
        <v>90</v>
      </c>
      <c r="M8">
        <v>9</v>
      </c>
      <c r="N8" t="s">
        <v>91</v>
      </c>
      <c r="O8" t="str">
        <f>SUBSTITUTE(PROPER(TRIM(RawSalesTable[[#This Row],[Channel_Raw]])), "Market Place", "Marketplace")</f>
        <v>Online</v>
      </c>
      <c r="P8" t="str">
        <f>TRIM(RawSalesTable[[#This Row],[Store_Raw]])</f>
        <v>Online Fulfillment</v>
      </c>
      <c r="Q8" t="str">
        <f>IF(TRIM(RawSalesTable[[#This Row],[Payment_Method_Raw]])="","Non renseigné",SUBSTITUTE(TRIM(RawSalesTable[[#This Row],[Payment_Method_Raw]]),"CC","Credit Card"))</f>
        <v>PayPal</v>
      </c>
      <c r="R8" s="8" t="str">
        <f>UPPER(PROPER(RawSalesTable[[#This Row],[Customer_ID]]))</f>
        <v>C0059</v>
      </c>
      <c r="S8" s="8" t="str">
        <f>TRIM(LEFT(RawSalesTable[[#This Row],[Customer_Info]],FIND(",",RawSalesTable[[#This Row],[Customer_Info]]) -1))</f>
        <v>Lucas Chen</v>
      </c>
      <c r="T8" s="8" t="str">
        <f>TRIM(MID(RawSalesTable[[#This Row],[Customer_Info]],FIND(",",RawSalesTable[[#This Row],[Customer_Info]])+1,FIND(",",RawSalesTable[[#This Row],[Customer_Info]],FIND(",",RawSalesTable[[#This Row],[Customer_Info]])+1)-FIND(",",RawSalesTable[[#This Row],[Customer_Info]])-1))</f>
        <v>Vancouver</v>
      </c>
      <c r="U8" s="8" t="str">
        <f>TRIM(RIGHT(RawSalesTable[[#This Row],[Customer_Info]], LEN(RawSalesTable[[#This Row],[Customer_Info]])-FIND(",",RawSalesTable[[#This Row],[Customer_Info]],FIND(",",RawSalesTable[[#This Row],[Customer_Info]])+1)))</f>
        <v>Corporate</v>
      </c>
      <c r="V8" s="8" t="str">
        <f>VLOOKUP(RawSalesTable[[#This Row],[Product_ID]],ProductsTable[],2,FALSE)</f>
        <v>Humidifier</v>
      </c>
      <c r="W8" s="8" t="str">
        <f>VLOOKUP(RawSalesTable[[#This Row],[Product_ID]],ProductsTable[],3,FALSE)</f>
        <v>Home</v>
      </c>
      <c r="X8" s="8">
        <f>VLOOKUP(RawSalesTable[[#This Row],[Product_ID]],ProductsTable[],5,FALSE)</f>
        <v>239.67</v>
      </c>
      <c r="Y8" s="8">
        <f>RawSalesTable[[#This Row],[Quantity]]*RawSalesTable[[#This Row],[Unit_Price]]</f>
        <v>832.56</v>
      </c>
      <c r="Z8" s="8">
        <f>RawSalesTable[[#This Row],[Gross_Sales]]*RawSalesTable[[#This Row],[Discount_Pct]]</f>
        <v>0</v>
      </c>
      <c r="AA8" s="8">
        <f>RawSalesTable[[#This Row],[Gross_Sales]]-RawSalesTable[[#This Row],[Discount_Amount]]</f>
        <v>832.56</v>
      </c>
      <c r="AB8" s="8">
        <f>RawSalesTable[[#This Row],[Unit_Cost]]*RawSalesTable[[#This Row],[Quantity]]</f>
        <v>479.34</v>
      </c>
      <c r="AC8" s="8">
        <f>RawSalesTable[[#This Row],[Net_Sales]]-RawSalesTable[[#This Row],[Total_Cost]]</f>
        <v>353.21999999999997</v>
      </c>
      <c r="AD8" s="9">
        <f>RawSalesTable[[#This Row],[Profit]]/RawSalesTable[[#This Row],[Net_Sales]]</f>
        <v>0.42425771115595273</v>
      </c>
      <c r="AE8" s="8">
        <f>IF(RawSalesTable[[#This Row],[Return_Status]]="Yes",1,0)</f>
        <v>0</v>
      </c>
      <c r="AF8" s="8">
        <f>YEAR(RawSalesTable[[#This Row],[Order_Date]])</f>
        <v>2025</v>
      </c>
      <c r="AG8" s="8">
        <f>MONTH(RawSalesTable[[#This Row],[Order_Date]])</f>
        <v>12</v>
      </c>
      <c r="AH8" s="8" t="str">
        <f>TEXT(RawSalesTable[[#This Row],[Order_Date]],"mmmm")</f>
        <v>décembre</v>
      </c>
      <c r="AI8" s="8" t="str">
        <f>IF(RawSalesTable[[#This Row],[Month_Number]]&lt;=3,"Q1",IF(RawSalesTable[[#This Row],[Month_Number]]&lt;=6,"Q2",IF(RawSalesTable[[#This Row],[Month_Number]]&lt;=9,"Q3","Q4")))</f>
        <v>Q4</v>
      </c>
      <c r="AJ8" s="13">
        <f>DATE(YEAR(RawSalesTable[[#This Row],[Order_Date]]),MONTH(RawSalesTable[[#This Row],[Order_Date]]),1)</f>
        <v>45992</v>
      </c>
      <c r="AK8" s="8" t="str">
        <f>VLOOKUP(RawSalesTable[[#This Row],[Customer_ID_clean]],CustomersTable[],4,FALSE)</f>
        <v>British Columbia</v>
      </c>
    </row>
    <row r="9" spans="1:37">
      <c r="A9" t="s">
        <v>971</v>
      </c>
      <c r="B9" s="3">
        <v>45669</v>
      </c>
      <c r="C9" t="s">
        <v>610</v>
      </c>
      <c r="D9" t="s">
        <v>231</v>
      </c>
      <c r="E9" t="s">
        <v>611</v>
      </c>
      <c r="F9" t="s">
        <v>103</v>
      </c>
      <c r="G9" t="s">
        <v>88</v>
      </c>
      <c r="H9" t="s">
        <v>89</v>
      </c>
      <c r="I9">
        <v>2</v>
      </c>
      <c r="J9" s="2">
        <v>370.98</v>
      </c>
      <c r="K9" s="4">
        <v>0.15</v>
      </c>
      <c r="L9" t="s">
        <v>106</v>
      </c>
      <c r="M9">
        <v>5</v>
      </c>
      <c r="N9" t="s">
        <v>91</v>
      </c>
      <c r="O9" t="str">
        <f>SUBSTITUTE(PROPER(TRIM(RawSalesTable[[#This Row],[Channel_Raw]])), "Market Place", "Marketplace")</f>
        <v>Online</v>
      </c>
      <c r="P9" t="str">
        <f>TRIM(RawSalesTable[[#This Row],[Store_Raw]])</f>
        <v>Vancouver West</v>
      </c>
      <c r="Q9" t="str">
        <f>IF(TRIM(RawSalesTable[[#This Row],[Payment_Method_Raw]])="","Non renseigné",SUBSTITUTE(TRIM(RawSalesTable[[#This Row],[Payment_Method_Raw]]),"CC","Credit Card"))</f>
        <v>Credit Card</v>
      </c>
      <c r="R9" s="8" t="str">
        <f>UPPER(PROPER(RawSalesTable[[#This Row],[Customer_ID]]))</f>
        <v>C0051</v>
      </c>
      <c r="S9" s="8" t="str">
        <f>TRIM(LEFT(RawSalesTable[[#This Row],[Customer_Info]],FIND(",",RawSalesTable[[#This Row],[Customer_Info]]) -1))</f>
        <v>Daniel Brown</v>
      </c>
      <c r="T9" s="8" t="str">
        <f>TRIM(MID(RawSalesTable[[#This Row],[Customer_Info]],FIND(",",RawSalesTable[[#This Row],[Customer_Info]])+1,FIND(",",RawSalesTable[[#This Row],[Customer_Info]],FIND(",",RawSalesTable[[#This Row],[Customer_Info]])+1)-FIND(",",RawSalesTable[[#This Row],[Customer_Info]])-1))</f>
        <v>Vancouver</v>
      </c>
      <c r="U9" s="8" t="str">
        <f>TRIM(RIGHT(RawSalesTable[[#This Row],[Customer_Info]], LEN(RawSalesTable[[#This Row],[Customer_Info]])-FIND(",",RawSalesTable[[#This Row],[Customer_Info]],FIND(",",RawSalesTable[[#This Row],[Customer_Info]])+1)))</f>
        <v>Small Business</v>
      </c>
      <c r="V9" s="8" t="str">
        <f>VLOOKUP(RawSalesTable[[#This Row],[Product_ID]],ProductsTable[],2,FALSE)</f>
        <v>Cable Set</v>
      </c>
      <c r="W9" s="8" t="str">
        <f>VLOOKUP(RawSalesTable[[#This Row],[Product_ID]],ProductsTable[],3,FALSE)</f>
        <v>Accessories</v>
      </c>
      <c r="X9" s="8">
        <f>VLOOKUP(RawSalesTable[[#This Row],[Product_ID]],ProductsTable[],5,FALSE)</f>
        <v>200.16</v>
      </c>
      <c r="Y9" s="8">
        <f>RawSalesTable[[#This Row],[Quantity]]*RawSalesTable[[#This Row],[Unit_Price]]</f>
        <v>741.96</v>
      </c>
      <c r="Z9" s="8">
        <f>RawSalesTable[[#This Row],[Gross_Sales]]*RawSalesTable[[#This Row],[Discount_Pct]]</f>
        <v>111.294</v>
      </c>
      <c r="AA9" s="8">
        <f>RawSalesTable[[#This Row],[Gross_Sales]]-RawSalesTable[[#This Row],[Discount_Amount]]</f>
        <v>630.66600000000005</v>
      </c>
      <c r="AB9" s="8">
        <f>RawSalesTable[[#This Row],[Unit_Cost]]*RawSalesTable[[#This Row],[Quantity]]</f>
        <v>400.32</v>
      </c>
      <c r="AC9" s="8">
        <f>RawSalesTable[[#This Row],[Net_Sales]]-RawSalesTable[[#This Row],[Total_Cost]]</f>
        <v>230.34600000000006</v>
      </c>
      <c r="AD9" s="9">
        <f>RawSalesTable[[#This Row],[Profit]]/RawSalesTable[[#This Row],[Net_Sales]]</f>
        <v>0.36524245797300003</v>
      </c>
      <c r="AE9" s="8">
        <f>IF(RawSalesTable[[#This Row],[Return_Status]]="Yes",1,0)</f>
        <v>0</v>
      </c>
      <c r="AF9" s="8">
        <f>YEAR(RawSalesTable[[#This Row],[Order_Date]])</f>
        <v>2025</v>
      </c>
      <c r="AG9" s="8">
        <f>MONTH(RawSalesTable[[#This Row],[Order_Date]])</f>
        <v>1</v>
      </c>
      <c r="AH9" s="8" t="str">
        <f>TEXT(RawSalesTable[[#This Row],[Order_Date]],"mmmm")</f>
        <v>janvier</v>
      </c>
      <c r="AI9" s="8" t="str">
        <f>IF(RawSalesTable[[#This Row],[Month_Number]]&lt;=3,"Q1",IF(RawSalesTable[[#This Row],[Month_Number]]&lt;=6,"Q2",IF(RawSalesTable[[#This Row],[Month_Number]]&lt;=9,"Q3","Q4")))</f>
        <v>Q1</v>
      </c>
      <c r="AJ9" s="13">
        <f>DATE(YEAR(RawSalesTable[[#This Row],[Order_Date]]),MONTH(RawSalesTable[[#This Row],[Order_Date]]),1)</f>
        <v>45658</v>
      </c>
      <c r="AK9" s="8" t="str">
        <f>VLOOKUP(RawSalesTable[[#This Row],[Customer_ID_clean]],CustomersTable[],4,FALSE)</f>
        <v>British Columbia</v>
      </c>
    </row>
    <row r="10" spans="1:37">
      <c r="A10" t="s">
        <v>990</v>
      </c>
      <c r="B10" s="3">
        <v>45684</v>
      </c>
      <c r="C10" t="s">
        <v>487</v>
      </c>
      <c r="D10" t="s">
        <v>244</v>
      </c>
      <c r="E10" t="s">
        <v>488</v>
      </c>
      <c r="F10" t="s">
        <v>87</v>
      </c>
      <c r="G10" t="s">
        <v>171</v>
      </c>
      <c r="H10" t="s">
        <v>105</v>
      </c>
      <c r="I10">
        <v>1</v>
      </c>
      <c r="J10" s="2">
        <v>250.61</v>
      </c>
      <c r="K10" s="4">
        <v>0</v>
      </c>
      <c r="L10" t="s">
        <v>98</v>
      </c>
      <c r="M10">
        <v>2</v>
      </c>
      <c r="N10" t="s">
        <v>91</v>
      </c>
      <c r="O10" t="str">
        <f>SUBSTITUTE(PROPER(TRIM(RawSalesTable[[#This Row],[Channel_Raw]])), "Market Place", "Marketplace")</f>
        <v>Marketplace</v>
      </c>
      <c r="P10" t="str">
        <f>TRIM(RawSalesTable[[#This Row],[Store_Raw]])</f>
        <v>Online Fulfillment</v>
      </c>
      <c r="Q10" t="str">
        <f>IF(TRIM(RawSalesTable[[#This Row],[Payment_Method_Raw]])="","Non renseigné",SUBSTITUTE(TRIM(RawSalesTable[[#This Row],[Payment_Method_Raw]]),"CC","Credit Card"))</f>
        <v>Debit Card</v>
      </c>
      <c r="R10" s="8" t="str">
        <f>UPPER(PROPER(RawSalesTable[[#This Row],[Customer_ID]]))</f>
        <v>C0105</v>
      </c>
      <c r="S10" s="8" t="str">
        <f>TRIM(LEFT(RawSalesTable[[#This Row],[Customer_Info]],FIND(",",RawSalesTable[[#This Row],[Customer_Info]]) -1))</f>
        <v>Liam Martin</v>
      </c>
      <c r="T10" s="8" t="str">
        <f>TRIM(MID(RawSalesTable[[#This Row],[Customer_Info]],FIND(",",RawSalesTable[[#This Row],[Customer_Info]])+1,FIND(",",RawSalesTable[[#This Row],[Customer_Info]],FIND(",",RawSalesTable[[#This Row],[Customer_Info]])+1)-FIND(",",RawSalesTable[[#This Row],[Customer_Info]])-1))</f>
        <v>Calgary</v>
      </c>
      <c r="U10" s="8" t="str">
        <f>TRIM(RIGHT(RawSalesTable[[#This Row],[Customer_Info]], LEN(RawSalesTable[[#This Row],[Customer_Info]])-FIND(",",RawSalesTable[[#This Row],[Customer_Info]],FIND(",",RawSalesTable[[#This Row],[Customer_Info]])+1)))</f>
        <v>Consumer</v>
      </c>
      <c r="V10" s="8" t="str">
        <f>VLOOKUP(RawSalesTable[[#This Row],[Product_ID]],ProductsTable[],2,FALSE)</f>
        <v>Portable SSD</v>
      </c>
      <c r="W10" s="8" t="str">
        <f>VLOOKUP(RawSalesTable[[#This Row],[Product_ID]],ProductsTable[],3,FALSE)</f>
        <v>Electronics</v>
      </c>
      <c r="X10" s="8">
        <f>VLOOKUP(RawSalesTable[[#This Row],[Product_ID]],ProductsTable[],5,FALSE)</f>
        <v>131.19</v>
      </c>
      <c r="Y10" s="8">
        <f>RawSalesTable[[#This Row],[Quantity]]*RawSalesTable[[#This Row],[Unit_Price]]</f>
        <v>250.61</v>
      </c>
      <c r="Z10" s="8">
        <f>RawSalesTable[[#This Row],[Gross_Sales]]*RawSalesTable[[#This Row],[Discount_Pct]]</f>
        <v>0</v>
      </c>
      <c r="AA10" s="8">
        <f>RawSalesTable[[#This Row],[Gross_Sales]]-RawSalesTable[[#This Row],[Discount_Amount]]</f>
        <v>250.61</v>
      </c>
      <c r="AB10" s="8">
        <f>RawSalesTable[[#This Row],[Unit_Cost]]*RawSalesTable[[#This Row],[Quantity]]</f>
        <v>131.19</v>
      </c>
      <c r="AC10" s="8">
        <f>RawSalesTable[[#This Row],[Net_Sales]]-RawSalesTable[[#This Row],[Total_Cost]]</f>
        <v>119.42000000000002</v>
      </c>
      <c r="AD10" s="9">
        <f>RawSalesTable[[#This Row],[Profit]]/RawSalesTable[[#This Row],[Net_Sales]]</f>
        <v>0.4765172977933842</v>
      </c>
      <c r="AE10" s="8">
        <f>IF(RawSalesTable[[#This Row],[Return_Status]]="Yes",1,0)</f>
        <v>0</v>
      </c>
      <c r="AF10" s="8">
        <f>YEAR(RawSalesTable[[#This Row],[Order_Date]])</f>
        <v>2025</v>
      </c>
      <c r="AG10" s="8">
        <f>MONTH(RawSalesTable[[#This Row],[Order_Date]])</f>
        <v>1</v>
      </c>
      <c r="AH10" s="8" t="str">
        <f>TEXT(RawSalesTable[[#This Row],[Order_Date]],"mmmm")</f>
        <v>janvier</v>
      </c>
      <c r="AI10" s="8" t="str">
        <f>IF(RawSalesTable[[#This Row],[Month_Number]]&lt;=3,"Q1",IF(RawSalesTable[[#This Row],[Month_Number]]&lt;=6,"Q2",IF(RawSalesTable[[#This Row],[Month_Number]]&lt;=9,"Q3","Q4")))</f>
        <v>Q1</v>
      </c>
      <c r="AJ10" s="13">
        <f>DATE(YEAR(RawSalesTable[[#This Row],[Order_Date]]),MONTH(RawSalesTable[[#This Row],[Order_Date]]),1)</f>
        <v>45658</v>
      </c>
      <c r="AK10" s="8" t="str">
        <f>VLOOKUP(RawSalesTable[[#This Row],[Customer_ID_clean]],CustomersTable[],4,FALSE)</f>
        <v>Alberta</v>
      </c>
    </row>
    <row r="11" spans="1:37">
      <c r="A11" t="s">
        <v>1011</v>
      </c>
      <c r="B11" s="3">
        <v>45746</v>
      </c>
      <c r="C11" t="s">
        <v>164</v>
      </c>
      <c r="D11" t="s">
        <v>101</v>
      </c>
      <c r="E11" t="s">
        <v>166</v>
      </c>
      <c r="F11" t="s">
        <v>87</v>
      </c>
      <c r="G11" t="s">
        <v>122</v>
      </c>
      <c r="H11" t="s">
        <v>89</v>
      </c>
      <c r="I11">
        <v>1</v>
      </c>
      <c r="J11" s="2">
        <v>298.7</v>
      </c>
      <c r="K11" s="4">
        <v>0</v>
      </c>
      <c r="L11" t="s">
        <v>504</v>
      </c>
      <c r="M11">
        <v>6</v>
      </c>
      <c r="N11" t="s">
        <v>91</v>
      </c>
      <c r="O11" t="str">
        <f>SUBSTITUTE(PROPER(TRIM(RawSalesTable[[#This Row],[Channel_Raw]])), "Market Place", "Marketplace")</f>
        <v>Online</v>
      </c>
      <c r="P11" t="str">
        <f>TRIM(RawSalesTable[[#This Row],[Store_Raw]])</f>
        <v>Online Fulfillment</v>
      </c>
      <c r="Q11" t="str">
        <f>IF(TRIM(RawSalesTable[[#This Row],[Payment_Method_Raw]])="","Non renseigné",SUBSTITUTE(TRIM(RawSalesTable[[#This Row],[Payment_Method_Raw]]),"CC","Credit Card"))</f>
        <v>Debit Card</v>
      </c>
      <c r="R11" s="8" t="str">
        <f>UPPER(PROPER(RawSalesTable[[#This Row],[Customer_ID]]))</f>
        <v>C0032</v>
      </c>
      <c r="S11" s="8" t="str">
        <f>TRIM(LEFT(RawSalesTable[[#This Row],[Customer_Info]],FIND(",",RawSalesTable[[#This Row],[Customer_Info]]) -1))</f>
        <v>Nora Bennett</v>
      </c>
      <c r="T11" s="8" t="str">
        <f>TRIM(MID(RawSalesTable[[#This Row],[Customer_Info]],FIND(",",RawSalesTable[[#This Row],[Customer_Info]])+1,FIND(",",RawSalesTable[[#This Row],[Customer_Info]],FIND(",",RawSalesTable[[#This Row],[Customer_Info]])+1)-FIND(",",RawSalesTable[[#This Row],[Customer_Info]])-1))</f>
        <v>Surrey</v>
      </c>
      <c r="U11" s="8" t="str">
        <f>TRIM(RIGHT(RawSalesTable[[#This Row],[Customer_Info]], LEN(RawSalesTable[[#This Row],[Customer_Info]])-FIND(",",RawSalesTable[[#This Row],[Customer_Info]],FIND(",",RawSalesTable[[#This Row],[Customer_Info]])+1)))</f>
        <v>Consumer</v>
      </c>
      <c r="V11" s="8" t="str">
        <f>VLOOKUP(RawSalesTable[[#This Row],[Product_ID]],ProductsTable[],2,FALSE)</f>
        <v>Kettle</v>
      </c>
      <c r="W11" s="8" t="str">
        <f>VLOOKUP(RawSalesTable[[#This Row],[Product_ID]],ProductsTable[],3,FALSE)</f>
        <v>Home</v>
      </c>
      <c r="X11" s="8">
        <f>VLOOKUP(RawSalesTable[[#This Row],[Product_ID]],ProductsTable[],5,FALSE)</f>
        <v>139.86000000000001</v>
      </c>
      <c r="Y11" s="8">
        <f>RawSalesTable[[#This Row],[Quantity]]*RawSalesTable[[#This Row],[Unit_Price]]</f>
        <v>298.7</v>
      </c>
      <c r="Z11" s="8">
        <f>RawSalesTable[[#This Row],[Gross_Sales]]*RawSalesTable[[#This Row],[Discount_Pct]]</f>
        <v>0</v>
      </c>
      <c r="AA11" s="8">
        <f>RawSalesTable[[#This Row],[Gross_Sales]]-RawSalesTable[[#This Row],[Discount_Amount]]</f>
        <v>298.7</v>
      </c>
      <c r="AB11" s="8">
        <f>RawSalesTable[[#This Row],[Unit_Cost]]*RawSalesTable[[#This Row],[Quantity]]</f>
        <v>139.86000000000001</v>
      </c>
      <c r="AC11" s="8">
        <f>RawSalesTable[[#This Row],[Net_Sales]]-RawSalesTable[[#This Row],[Total_Cost]]</f>
        <v>158.83999999999997</v>
      </c>
      <c r="AD11" s="9">
        <f>RawSalesTable[[#This Row],[Profit]]/RawSalesTable[[#This Row],[Net_Sales]]</f>
        <v>0.53177100770003338</v>
      </c>
      <c r="AE11" s="8">
        <f>IF(RawSalesTable[[#This Row],[Return_Status]]="Yes",1,0)</f>
        <v>0</v>
      </c>
      <c r="AF11" s="8">
        <f>YEAR(RawSalesTable[[#This Row],[Order_Date]])</f>
        <v>2025</v>
      </c>
      <c r="AG11" s="8">
        <f>MONTH(RawSalesTable[[#This Row],[Order_Date]])</f>
        <v>3</v>
      </c>
      <c r="AH11" s="8" t="str">
        <f>TEXT(RawSalesTable[[#This Row],[Order_Date]],"mmmm")</f>
        <v>mars</v>
      </c>
      <c r="AI11" s="8" t="str">
        <f>IF(RawSalesTable[[#This Row],[Month_Number]]&lt;=3,"Q1",IF(RawSalesTable[[#This Row],[Month_Number]]&lt;=6,"Q2",IF(RawSalesTable[[#This Row],[Month_Number]]&lt;=9,"Q3","Q4")))</f>
        <v>Q1</v>
      </c>
      <c r="AJ11" s="13">
        <f>DATE(YEAR(RawSalesTable[[#This Row],[Order_Date]]),MONTH(RawSalesTable[[#This Row],[Order_Date]]),1)</f>
        <v>45717</v>
      </c>
      <c r="AK11" s="8" t="str">
        <f>VLOOKUP(RawSalesTable[[#This Row],[Customer_ID_clean]],CustomersTable[],4,FALSE)</f>
        <v>British Columbia</v>
      </c>
    </row>
    <row r="12" spans="1:37">
      <c r="A12" t="s">
        <v>1089</v>
      </c>
      <c r="B12" s="3">
        <v>46005</v>
      </c>
      <c r="C12" t="s">
        <v>236</v>
      </c>
      <c r="D12" t="s">
        <v>277</v>
      </c>
      <c r="E12" t="s">
        <v>1090</v>
      </c>
      <c r="F12" t="s">
        <v>111</v>
      </c>
      <c r="G12" t="s">
        <v>104</v>
      </c>
      <c r="H12" t="s">
        <v>89</v>
      </c>
      <c r="I12">
        <v>1</v>
      </c>
      <c r="J12" s="2">
        <v>379.66</v>
      </c>
      <c r="K12" s="4">
        <v>0</v>
      </c>
      <c r="L12" t="s">
        <v>90</v>
      </c>
      <c r="M12">
        <v>5</v>
      </c>
      <c r="N12" t="s">
        <v>91</v>
      </c>
      <c r="O12" t="str">
        <f>SUBSTITUTE(PROPER(TRIM(RawSalesTable[[#This Row],[Channel_Raw]])), "Market Place", "Marketplace")</f>
        <v>Online</v>
      </c>
      <c r="P12" t="str">
        <f>TRIM(RawSalesTable[[#This Row],[Store_Raw]])</f>
        <v>Montreal Central</v>
      </c>
      <c r="Q12" t="str">
        <f>IF(TRIM(RawSalesTable[[#This Row],[Payment_Method_Raw]])="","Non renseigné",SUBSTITUTE(TRIM(RawSalesTable[[#This Row],[Payment_Method_Raw]]),"CC","Credit Card"))</f>
        <v>PayPal</v>
      </c>
      <c r="R12" s="8" t="str">
        <f>UPPER(PROPER(RawSalesTable[[#This Row],[Customer_ID]]))</f>
        <v>C0102</v>
      </c>
      <c r="S12" s="8" t="str">
        <f>TRIM(LEFT(RawSalesTable[[#This Row],[Customer_Info]],FIND(",",RawSalesTable[[#This Row],[Customer_Info]]) -1))</f>
        <v>Adam Roy</v>
      </c>
      <c r="T12" s="8" t="str">
        <f>TRIM(MID(RawSalesTable[[#This Row],[Customer_Info]],FIND(",",RawSalesTable[[#This Row],[Customer_Info]])+1,FIND(",",RawSalesTable[[#This Row],[Customer_Info]],FIND(",",RawSalesTable[[#This Row],[Customer_Info]])+1)-FIND(",",RawSalesTable[[#This Row],[Customer_Info]])-1))</f>
        <v>Edmonton</v>
      </c>
      <c r="U12" s="8" t="str">
        <f>TRIM(RIGHT(RawSalesTable[[#This Row],[Customer_Info]], LEN(RawSalesTable[[#This Row],[Customer_Info]])-FIND(",",RawSalesTable[[#This Row],[Customer_Info]],FIND(",",RawSalesTable[[#This Row],[Customer_Info]])+1)))</f>
        <v>Corporate</v>
      </c>
      <c r="V12" s="8" t="str">
        <f>VLOOKUP(RawSalesTable[[#This Row],[Product_ID]],ProductsTable[],2,FALSE)</f>
        <v>Headphones</v>
      </c>
      <c r="W12" s="8" t="str">
        <f>VLOOKUP(RawSalesTable[[#This Row],[Product_ID]],ProductsTable[],3,FALSE)</f>
        <v>Electronics</v>
      </c>
      <c r="X12" s="8">
        <f>VLOOKUP(RawSalesTable[[#This Row],[Product_ID]],ProductsTable[],5,FALSE)</f>
        <v>254.6</v>
      </c>
      <c r="Y12" s="8">
        <f>RawSalesTable[[#This Row],[Quantity]]*RawSalesTable[[#This Row],[Unit_Price]]</f>
        <v>379.66</v>
      </c>
      <c r="Z12" s="8">
        <f>RawSalesTable[[#This Row],[Gross_Sales]]*RawSalesTable[[#This Row],[Discount_Pct]]</f>
        <v>0</v>
      </c>
      <c r="AA12" s="8">
        <f>RawSalesTable[[#This Row],[Gross_Sales]]-RawSalesTable[[#This Row],[Discount_Amount]]</f>
        <v>379.66</v>
      </c>
      <c r="AB12" s="8">
        <f>RawSalesTable[[#This Row],[Unit_Cost]]*RawSalesTable[[#This Row],[Quantity]]</f>
        <v>254.6</v>
      </c>
      <c r="AC12" s="8">
        <f>RawSalesTable[[#This Row],[Net_Sales]]-RawSalesTable[[#This Row],[Total_Cost]]</f>
        <v>125.06000000000003</v>
      </c>
      <c r="AD12" s="9">
        <f>RawSalesTable[[#This Row],[Profit]]/RawSalesTable[[#This Row],[Net_Sales]]</f>
        <v>0.32939998946425753</v>
      </c>
      <c r="AE12" s="8">
        <f>IF(RawSalesTable[[#This Row],[Return_Status]]="Yes",1,0)</f>
        <v>0</v>
      </c>
      <c r="AF12" s="8">
        <f>YEAR(RawSalesTable[[#This Row],[Order_Date]])</f>
        <v>2025</v>
      </c>
      <c r="AG12" s="8">
        <f>MONTH(RawSalesTable[[#This Row],[Order_Date]])</f>
        <v>12</v>
      </c>
      <c r="AH12" s="8" t="str">
        <f>TEXT(RawSalesTable[[#This Row],[Order_Date]],"mmmm")</f>
        <v>décembre</v>
      </c>
      <c r="AI12" s="8" t="str">
        <f>IF(RawSalesTable[[#This Row],[Month_Number]]&lt;=3,"Q1",IF(RawSalesTable[[#This Row],[Month_Number]]&lt;=6,"Q2",IF(RawSalesTable[[#This Row],[Month_Number]]&lt;=9,"Q3","Q4")))</f>
        <v>Q4</v>
      </c>
      <c r="AJ12" s="13">
        <f>DATE(YEAR(RawSalesTable[[#This Row],[Order_Date]]),MONTH(RawSalesTable[[#This Row],[Order_Date]]),1)</f>
        <v>45992</v>
      </c>
      <c r="AK12" s="8" t="str">
        <f>VLOOKUP(RawSalesTable[[#This Row],[Customer_ID_clean]],CustomersTable[],4,FALSE)</f>
        <v>Alberta</v>
      </c>
    </row>
    <row r="13" spans="1:37">
      <c r="A13" t="s">
        <v>1163</v>
      </c>
      <c r="B13" s="3">
        <v>45750</v>
      </c>
      <c r="C13" t="s">
        <v>706</v>
      </c>
      <c r="D13" t="s">
        <v>136</v>
      </c>
      <c r="E13" t="s">
        <v>707</v>
      </c>
      <c r="F13" t="s">
        <v>111</v>
      </c>
      <c r="G13" t="s">
        <v>130</v>
      </c>
      <c r="H13" t="s">
        <v>89</v>
      </c>
      <c r="I13">
        <v>1</v>
      </c>
      <c r="J13" s="2">
        <v>153</v>
      </c>
      <c r="K13" s="4">
        <v>0</v>
      </c>
      <c r="L13" t="s">
        <v>90</v>
      </c>
      <c r="M13">
        <v>6</v>
      </c>
      <c r="N13" t="s">
        <v>91</v>
      </c>
      <c r="O13" t="str">
        <f>SUBSTITUTE(PROPER(TRIM(RawSalesTable[[#This Row],[Channel_Raw]])), "Market Place", "Marketplace")</f>
        <v>Online</v>
      </c>
      <c r="P13" t="str">
        <f>TRIM(RawSalesTable[[#This Row],[Store_Raw]])</f>
        <v>Montreal Central</v>
      </c>
      <c r="Q13" t="str">
        <f>IF(TRIM(RawSalesTable[[#This Row],[Payment_Method_Raw]])="","Non renseigné",SUBSTITUTE(TRIM(RawSalesTable[[#This Row],[Payment_Method_Raw]]),"CC","Credit Card"))</f>
        <v>PayPal</v>
      </c>
      <c r="R13" s="8" t="str">
        <f>UPPER(PROPER(RawSalesTable[[#This Row],[Customer_ID]]))</f>
        <v>C0006</v>
      </c>
      <c r="S13" s="8" t="str">
        <f>TRIM(LEFT(RawSalesTable[[#This Row],[Customer_Info]],FIND(",",RawSalesTable[[#This Row],[Customer_Info]]) -1))</f>
        <v>Nora Wilson</v>
      </c>
      <c r="T13" s="8" t="str">
        <f>TRIM(MID(RawSalesTable[[#This Row],[Customer_Info]],FIND(",",RawSalesTable[[#This Row],[Customer_Info]])+1,FIND(",",RawSalesTable[[#This Row],[Customer_Info]],FIND(",",RawSalesTable[[#This Row],[Customer_Info]])+1)-FIND(",",RawSalesTable[[#This Row],[Customer_Info]])-1))</f>
        <v>Laval</v>
      </c>
      <c r="U13" s="8" t="str">
        <f>TRIM(RIGHT(RawSalesTable[[#This Row],[Customer_Info]], LEN(RawSalesTable[[#This Row],[Customer_Info]])-FIND(",",RawSalesTable[[#This Row],[Customer_Info]],FIND(",",RawSalesTable[[#This Row],[Customer_Info]])+1)))</f>
        <v>Consumer</v>
      </c>
      <c r="V13" s="8" t="str">
        <f>VLOOKUP(RawSalesTable[[#This Row],[Product_ID]],ProductsTable[],2,FALSE)</f>
        <v>Mouse</v>
      </c>
      <c r="W13" s="8" t="str">
        <f>VLOOKUP(RawSalesTable[[#This Row],[Product_ID]],ProductsTable[],3,FALSE)</f>
        <v>Electronics</v>
      </c>
      <c r="X13" s="8">
        <f>VLOOKUP(RawSalesTable[[#This Row],[Product_ID]],ProductsTable[],5,FALSE)</f>
        <v>106.4</v>
      </c>
      <c r="Y13" s="8">
        <f>RawSalesTable[[#This Row],[Quantity]]*RawSalesTable[[#This Row],[Unit_Price]]</f>
        <v>153</v>
      </c>
      <c r="Z13" s="8">
        <f>RawSalesTable[[#This Row],[Gross_Sales]]*RawSalesTable[[#This Row],[Discount_Pct]]</f>
        <v>0</v>
      </c>
      <c r="AA13" s="8">
        <f>RawSalesTable[[#This Row],[Gross_Sales]]-RawSalesTable[[#This Row],[Discount_Amount]]</f>
        <v>153</v>
      </c>
      <c r="AB13" s="8">
        <f>RawSalesTable[[#This Row],[Unit_Cost]]*RawSalesTable[[#This Row],[Quantity]]</f>
        <v>106.4</v>
      </c>
      <c r="AC13" s="8">
        <f>RawSalesTable[[#This Row],[Net_Sales]]-RawSalesTable[[#This Row],[Total_Cost]]</f>
        <v>46.599999999999994</v>
      </c>
      <c r="AD13" s="9">
        <f>RawSalesTable[[#This Row],[Profit]]/RawSalesTable[[#This Row],[Net_Sales]]</f>
        <v>0.30457516339869278</v>
      </c>
      <c r="AE13" s="8">
        <f>IF(RawSalesTable[[#This Row],[Return_Status]]="Yes",1,0)</f>
        <v>0</v>
      </c>
      <c r="AF13" s="8">
        <f>YEAR(RawSalesTable[[#This Row],[Order_Date]])</f>
        <v>2025</v>
      </c>
      <c r="AG13" s="8">
        <f>MONTH(RawSalesTable[[#This Row],[Order_Date]])</f>
        <v>4</v>
      </c>
      <c r="AH13" s="8" t="str">
        <f>TEXT(RawSalesTable[[#This Row],[Order_Date]],"mmmm")</f>
        <v>avril</v>
      </c>
      <c r="AI13" s="8" t="str">
        <f>IF(RawSalesTable[[#This Row],[Month_Number]]&lt;=3,"Q1",IF(RawSalesTable[[#This Row],[Month_Number]]&lt;=6,"Q2",IF(RawSalesTable[[#This Row],[Month_Number]]&lt;=9,"Q3","Q4")))</f>
        <v>Q2</v>
      </c>
      <c r="AJ13" s="13">
        <f>DATE(YEAR(RawSalesTable[[#This Row],[Order_Date]]),MONTH(RawSalesTable[[#This Row],[Order_Date]]),1)</f>
        <v>45748</v>
      </c>
      <c r="AK13" s="8" t="str">
        <f>VLOOKUP(RawSalesTable[[#This Row],[Customer_ID_clean]],CustomersTable[],4,FALSE)</f>
        <v>Quebec</v>
      </c>
    </row>
    <row r="14" spans="1:37">
      <c r="A14" t="s">
        <v>83</v>
      </c>
      <c r="B14" s="3">
        <v>45921</v>
      </c>
      <c r="C14" t="s">
        <v>84</v>
      </c>
      <c r="D14" t="s">
        <v>85</v>
      </c>
      <c r="E14" t="s">
        <v>86</v>
      </c>
      <c r="F14" t="s">
        <v>87</v>
      </c>
      <c r="G14" t="s">
        <v>88</v>
      </c>
      <c r="H14" t="s">
        <v>89</v>
      </c>
      <c r="I14">
        <v>1</v>
      </c>
      <c r="J14" s="2">
        <v>321.89</v>
      </c>
      <c r="K14" s="4">
        <v>0</v>
      </c>
      <c r="L14" t="s">
        <v>90</v>
      </c>
      <c r="M14">
        <v>1</v>
      </c>
      <c r="N14" t="s">
        <v>91</v>
      </c>
      <c r="O14" t="str">
        <f>SUBSTITUTE(PROPER(TRIM(RawSalesTable[[#This Row],[Channel_Raw]])), "Market Place", "Marketplace")</f>
        <v>Online</v>
      </c>
      <c r="P14" t="str">
        <f>TRIM(RawSalesTable[[#This Row],[Store_Raw]])</f>
        <v>Online Fulfillment</v>
      </c>
      <c r="Q14" t="str">
        <f>IF(TRIM(RawSalesTable[[#This Row],[Payment_Method_Raw]])="","Non renseigné",SUBSTITUTE(TRIM(RawSalesTable[[#This Row],[Payment_Method_Raw]]),"CC","Credit Card"))</f>
        <v>PayPal</v>
      </c>
      <c r="R14" s="8" t="str">
        <f>UPPER(PROPER(RawSalesTable[[#This Row],[Customer_ID]]))</f>
        <v>C0113</v>
      </c>
      <c r="S14" s="8" t="str">
        <f>TRIM(LEFT(RawSalesTable[[#This Row],[Customer_Info]],FIND(",",RawSalesTable[[#This Row],[Customer_Info]]) -1))</f>
        <v>Olivia Johnson</v>
      </c>
      <c r="T14" s="8" t="str">
        <f>TRIM(MID(RawSalesTable[[#This Row],[Customer_Info]],FIND(",",RawSalesTable[[#This Row],[Customer_Info]])+1,FIND(",",RawSalesTable[[#This Row],[Customer_Info]],FIND(",",RawSalesTable[[#This Row],[Customer_Info]])+1)-FIND(",",RawSalesTable[[#This Row],[Customer_Info]])-1))</f>
        <v>Surrey</v>
      </c>
      <c r="U14" s="8" t="str">
        <f>TRIM(RIGHT(RawSalesTable[[#This Row],[Customer_Info]], LEN(RawSalesTable[[#This Row],[Customer_Info]])-FIND(",",RawSalesTable[[#This Row],[Customer_Info]],FIND(",",RawSalesTable[[#This Row],[Customer_Info]])+1)))</f>
        <v>Consumer</v>
      </c>
      <c r="V14" s="8" t="str">
        <f>VLOOKUP(RawSalesTable[[#This Row],[Product_ID]],ProductsTable[],2,FALSE)</f>
        <v>Yoga Mat</v>
      </c>
      <c r="W14" s="8" t="str">
        <f>VLOOKUP(RawSalesTable[[#This Row],[Product_ID]],ProductsTable[],3,FALSE)</f>
        <v>Fitness</v>
      </c>
      <c r="X14" s="8">
        <f>VLOOKUP(RawSalesTable[[#This Row],[Product_ID]],ProductsTable[],5,FALSE)</f>
        <v>197.33</v>
      </c>
      <c r="Y14" s="8">
        <f>RawSalesTable[[#This Row],[Quantity]]*RawSalesTable[[#This Row],[Unit_Price]]</f>
        <v>321.89</v>
      </c>
      <c r="Z14" s="8">
        <f>RawSalesTable[[#This Row],[Gross_Sales]]*RawSalesTable[[#This Row],[Discount_Pct]]</f>
        <v>0</v>
      </c>
      <c r="AA14" s="8">
        <f>RawSalesTable[[#This Row],[Gross_Sales]]-RawSalesTable[[#This Row],[Discount_Amount]]</f>
        <v>321.89</v>
      </c>
      <c r="AB14" s="8">
        <f>RawSalesTable[[#This Row],[Unit_Cost]]*RawSalesTable[[#This Row],[Quantity]]</f>
        <v>197.33</v>
      </c>
      <c r="AC14" s="8">
        <f>RawSalesTable[[#This Row],[Net_Sales]]-RawSalesTable[[#This Row],[Total_Cost]]</f>
        <v>124.55999999999997</v>
      </c>
      <c r="AD14" s="9">
        <f>RawSalesTable[[#This Row],[Profit]]/RawSalesTable[[#This Row],[Net_Sales]]</f>
        <v>0.38696449097517777</v>
      </c>
      <c r="AE14" s="8">
        <f>IF(RawSalesTable[[#This Row],[Return_Status]]="Yes",1,0)</f>
        <v>0</v>
      </c>
      <c r="AF14" s="8">
        <f>YEAR(RawSalesTable[[#This Row],[Order_Date]])</f>
        <v>2025</v>
      </c>
      <c r="AG14" s="8">
        <f>MONTH(RawSalesTable[[#This Row],[Order_Date]])</f>
        <v>9</v>
      </c>
      <c r="AH14" s="8" t="str">
        <f>TEXT(RawSalesTable[[#This Row],[Order_Date]],"mmmm")</f>
        <v>septembre</v>
      </c>
      <c r="AI14" s="8" t="str">
        <f>IF(RawSalesTable[[#This Row],[Month_Number]]&lt;=3,"Q1",IF(RawSalesTable[[#This Row],[Month_Number]]&lt;=6,"Q2",IF(RawSalesTable[[#This Row],[Month_Number]]&lt;=9,"Q3","Q4")))</f>
        <v>Q3</v>
      </c>
      <c r="AJ14" s="13">
        <f>DATE(YEAR(RawSalesTable[[#This Row],[Order_Date]]),MONTH(RawSalesTable[[#This Row],[Order_Date]]),1)</f>
        <v>45901</v>
      </c>
      <c r="AK14" s="8" t="str">
        <f>VLOOKUP(RawSalesTable[[#This Row],[Customer_ID_clean]],CustomersTable[],4,FALSE)</f>
        <v>British Columbia</v>
      </c>
    </row>
    <row r="15" spans="1:37">
      <c r="A15" t="s">
        <v>92</v>
      </c>
      <c r="B15" s="3">
        <v>45801</v>
      </c>
      <c r="C15" t="s">
        <v>93</v>
      </c>
      <c r="D15" t="s">
        <v>94</v>
      </c>
      <c r="E15" t="s">
        <v>95</v>
      </c>
      <c r="F15" t="s">
        <v>87</v>
      </c>
      <c r="G15" t="s">
        <v>96</v>
      </c>
      <c r="H15" t="s">
        <v>97</v>
      </c>
      <c r="I15">
        <v>4</v>
      </c>
      <c r="J15" s="2">
        <v>316.17</v>
      </c>
      <c r="K15" s="4">
        <v>0.15</v>
      </c>
      <c r="L15" t="s">
        <v>98</v>
      </c>
      <c r="M15">
        <v>3</v>
      </c>
      <c r="N15" t="s">
        <v>91</v>
      </c>
      <c r="O15" t="str">
        <f>SUBSTITUTE(PROPER(TRIM(RawSalesTable[[#This Row],[Channel_Raw]])), "Market Place", "Marketplace")</f>
        <v>Retail Store</v>
      </c>
      <c r="P15" t="str">
        <f>TRIM(RawSalesTable[[#This Row],[Store_Raw]])</f>
        <v>Online Fulfillment</v>
      </c>
      <c r="Q15" t="str">
        <f>IF(TRIM(RawSalesTable[[#This Row],[Payment_Method_Raw]])="","Non renseigné",SUBSTITUTE(TRIM(RawSalesTable[[#This Row],[Payment_Method_Raw]]),"CC","Credit Card"))</f>
        <v>Debit Card</v>
      </c>
      <c r="R15" s="8" t="str">
        <f>UPPER(PROPER(RawSalesTable[[#This Row],[Customer_ID]]))</f>
        <v>C0084</v>
      </c>
      <c r="S15" s="8" t="str">
        <f>TRIM(LEFT(RawSalesTable[[#This Row],[Customer_Info]],FIND(",",RawSalesTable[[#This Row],[Customer_Info]]) -1))</f>
        <v>Ryan Clark</v>
      </c>
      <c r="T15" s="8" t="str">
        <f>TRIM(MID(RawSalesTable[[#This Row],[Customer_Info]],FIND(",",RawSalesTable[[#This Row],[Customer_Info]])+1,FIND(",",RawSalesTable[[#This Row],[Customer_Info]],FIND(",",RawSalesTable[[#This Row],[Customer_Info]])+1)-FIND(",",RawSalesTable[[#This Row],[Customer_Info]])-1))</f>
        <v>Montreal</v>
      </c>
      <c r="U15" s="8" t="str">
        <f>TRIM(RIGHT(RawSalesTable[[#This Row],[Customer_Info]], LEN(RawSalesTable[[#This Row],[Customer_Info]])-FIND(",",RawSalesTable[[#This Row],[Customer_Info]],FIND(",",RawSalesTable[[#This Row],[Customer_Info]])+1)))</f>
        <v>Corporate</v>
      </c>
      <c r="V15" s="8" t="str">
        <f>VLOOKUP(RawSalesTable[[#This Row],[Product_ID]],ProductsTable[],2,FALSE)</f>
        <v>Backpack</v>
      </c>
      <c r="W15" s="8" t="str">
        <f>VLOOKUP(RawSalesTable[[#This Row],[Product_ID]],ProductsTable[],3,FALSE)</f>
        <v>Accessories</v>
      </c>
      <c r="X15" s="8">
        <f>VLOOKUP(RawSalesTable[[#This Row],[Product_ID]],ProductsTable[],5,FALSE)</f>
        <v>152.55000000000001</v>
      </c>
      <c r="Y15" s="8">
        <f>RawSalesTable[[#This Row],[Quantity]]*RawSalesTable[[#This Row],[Unit_Price]]</f>
        <v>1264.68</v>
      </c>
      <c r="Z15" s="8">
        <f>RawSalesTable[[#This Row],[Gross_Sales]]*RawSalesTable[[#This Row],[Discount_Pct]]</f>
        <v>189.702</v>
      </c>
      <c r="AA15" s="8">
        <f>RawSalesTable[[#This Row],[Gross_Sales]]-RawSalesTable[[#This Row],[Discount_Amount]]</f>
        <v>1074.9780000000001</v>
      </c>
      <c r="AB15" s="8">
        <f>RawSalesTable[[#This Row],[Unit_Cost]]*RawSalesTable[[#This Row],[Quantity]]</f>
        <v>610.20000000000005</v>
      </c>
      <c r="AC15" s="8">
        <f>RawSalesTable[[#This Row],[Net_Sales]]-RawSalesTable[[#This Row],[Total_Cost]]</f>
        <v>464.77800000000002</v>
      </c>
      <c r="AD15" s="9">
        <f>RawSalesTable[[#This Row],[Profit]]/RawSalesTable[[#This Row],[Net_Sales]]</f>
        <v>0.43236047621439694</v>
      </c>
      <c r="AE15" s="8">
        <f>IF(RawSalesTable[[#This Row],[Return_Status]]="Yes",1,0)</f>
        <v>0</v>
      </c>
      <c r="AF15" s="8">
        <f>YEAR(RawSalesTable[[#This Row],[Order_Date]])</f>
        <v>2025</v>
      </c>
      <c r="AG15" s="8">
        <f>MONTH(RawSalesTable[[#This Row],[Order_Date]])</f>
        <v>5</v>
      </c>
      <c r="AH15" s="8" t="str">
        <f>TEXT(RawSalesTable[[#This Row],[Order_Date]],"mmmm")</f>
        <v>mai</v>
      </c>
      <c r="AI15" s="8" t="str">
        <f>IF(RawSalesTable[[#This Row],[Month_Number]]&lt;=3,"Q1",IF(RawSalesTable[[#This Row],[Month_Number]]&lt;=6,"Q2",IF(RawSalesTable[[#This Row],[Month_Number]]&lt;=9,"Q3","Q4")))</f>
        <v>Q2</v>
      </c>
      <c r="AJ15" s="13">
        <f>DATE(YEAR(RawSalesTable[[#This Row],[Order_Date]]),MONTH(RawSalesTable[[#This Row],[Order_Date]]),1)</f>
        <v>45778</v>
      </c>
      <c r="AK15" s="8" t="str">
        <f>VLOOKUP(RawSalesTable[[#This Row],[Customer_ID_clean]],CustomersTable[],4,FALSE)</f>
        <v>Quebec</v>
      </c>
    </row>
    <row r="16" spans="1:37">
      <c r="A16" t="s">
        <v>99</v>
      </c>
      <c r="B16" s="3">
        <v>45694</v>
      </c>
      <c r="C16" t="s">
        <v>100</v>
      </c>
      <c r="D16" t="s">
        <v>101</v>
      </c>
      <c r="E16" t="s">
        <v>102</v>
      </c>
      <c r="F16" t="s">
        <v>103</v>
      </c>
      <c r="G16" t="s">
        <v>104</v>
      </c>
      <c r="H16" t="s">
        <v>105</v>
      </c>
      <c r="I16">
        <v>2</v>
      </c>
      <c r="J16" s="2">
        <v>302.17</v>
      </c>
      <c r="K16" s="4">
        <v>0</v>
      </c>
      <c r="L16" t="s">
        <v>106</v>
      </c>
      <c r="M16">
        <v>7</v>
      </c>
      <c r="N16" t="s">
        <v>91</v>
      </c>
      <c r="O16" t="str">
        <f>SUBSTITUTE(PROPER(TRIM(RawSalesTable[[#This Row],[Channel_Raw]])), "Market Place", "Marketplace")</f>
        <v>Marketplace</v>
      </c>
      <c r="P16" t="str">
        <f>TRIM(RawSalesTable[[#This Row],[Store_Raw]])</f>
        <v>Vancouver West</v>
      </c>
      <c r="Q16" t="str">
        <f>IF(TRIM(RawSalesTable[[#This Row],[Payment_Method_Raw]])="","Non renseigné",SUBSTITUTE(TRIM(RawSalesTable[[#This Row],[Payment_Method_Raw]]),"CC","Credit Card"))</f>
        <v>Credit Card</v>
      </c>
      <c r="R16" s="8" t="str">
        <f>UPPER(PROPER(RawSalesTable[[#This Row],[Customer_ID]]))</f>
        <v>C0003</v>
      </c>
      <c r="S16" s="8" t="str">
        <f>TRIM(LEFT(RawSalesTable[[#This Row],[Customer_Info]],FIND(",",RawSalesTable[[#This Row],[Customer_Info]]) -1))</f>
        <v>Amelia Young</v>
      </c>
      <c r="T16" s="8" t="str">
        <f>TRIM(MID(RawSalesTable[[#This Row],[Customer_Info]],FIND(",",RawSalesTable[[#This Row],[Customer_Info]])+1,FIND(",",RawSalesTable[[#This Row],[Customer_Info]],FIND(",",RawSalesTable[[#This Row],[Customer_Info]])+1)-FIND(",",RawSalesTable[[#This Row],[Customer_Info]])-1))</f>
        <v>Ottawa</v>
      </c>
      <c r="U16" s="8" t="str">
        <f>TRIM(RIGHT(RawSalesTable[[#This Row],[Customer_Info]], LEN(RawSalesTable[[#This Row],[Customer_Info]])-FIND(",",RawSalesTable[[#This Row],[Customer_Info]],FIND(",",RawSalesTable[[#This Row],[Customer_Info]])+1)))</f>
        <v>Corporate</v>
      </c>
      <c r="V16" s="8" t="str">
        <f>VLOOKUP(RawSalesTable[[#This Row],[Product_ID]],ProductsTable[],2,FALSE)</f>
        <v>Kettle</v>
      </c>
      <c r="W16" s="8" t="str">
        <f>VLOOKUP(RawSalesTable[[#This Row],[Product_ID]],ProductsTable[],3,FALSE)</f>
        <v>Home</v>
      </c>
      <c r="X16" s="8">
        <f>VLOOKUP(RawSalesTable[[#This Row],[Product_ID]],ProductsTable[],5,FALSE)</f>
        <v>139.86000000000001</v>
      </c>
      <c r="Y16" s="8">
        <f>RawSalesTable[[#This Row],[Quantity]]*RawSalesTable[[#This Row],[Unit_Price]]</f>
        <v>604.34</v>
      </c>
      <c r="Z16" s="8">
        <f>RawSalesTable[[#This Row],[Gross_Sales]]*RawSalesTable[[#This Row],[Discount_Pct]]</f>
        <v>0</v>
      </c>
      <c r="AA16" s="8">
        <f>RawSalesTable[[#This Row],[Gross_Sales]]-RawSalesTable[[#This Row],[Discount_Amount]]</f>
        <v>604.34</v>
      </c>
      <c r="AB16" s="8">
        <f>RawSalesTable[[#This Row],[Unit_Cost]]*RawSalesTable[[#This Row],[Quantity]]</f>
        <v>279.72000000000003</v>
      </c>
      <c r="AC16" s="8">
        <f>RawSalesTable[[#This Row],[Net_Sales]]-RawSalesTable[[#This Row],[Total_Cost]]</f>
        <v>324.62</v>
      </c>
      <c r="AD16" s="9">
        <f>RawSalesTable[[#This Row],[Profit]]/RawSalesTable[[#This Row],[Net_Sales]]</f>
        <v>0.53714796306714763</v>
      </c>
      <c r="AE16" s="8">
        <f>IF(RawSalesTable[[#This Row],[Return_Status]]="Yes",1,0)</f>
        <v>0</v>
      </c>
      <c r="AF16" s="8">
        <f>YEAR(RawSalesTable[[#This Row],[Order_Date]])</f>
        <v>2025</v>
      </c>
      <c r="AG16" s="8">
        <f>MONTH(RawSalesTable[[#This Row],[Order_Date]])</f>
        <v>2</v>
      </c>
      <c r="AH16" s="8" t="str">
        <f>TEXT(RawSalesTable[[#This Row],[Order_Date]],"mmmm")</f>
        <v>février</v>
      </c>
      <c r="AI16" s="8" t="str">
        <f>IF(RawSalesTable[[#This Row],[Month_Number]]&lt;=3,"Q1",IF(RawSalesTable[[#This Row],[Month_Number]]&lt;=6,"Q2",IF(RawSalesTable[[#This Row],[Month_Number]]&lt;=9,"Q3","Q4")))</f>
        <v>Q1</v>
      </c>
      <c r="AJ16" s="13">
        <f>DATE(YEAR(RawSalesTable[[#This Row],[Order_Date]]),MONTH(RawSalesTable[[#This Row],[Order_Date]]),1)</f>
        <v>45689</v>
      </c>
      <c r="AK16" s="8" t="str">
        <f>VLOOKUP(RawSalesTable[[#This Row],[Customer_ID_clean]],CustomersTable[],4,FALSE)</f>
        <v>Ontario</v>
      </c>
    </row>
    <row r="17" spans="1:37">
      <c r="A17" t="s">
        <v>107</v>
      </c>
      <c r="B17" s="3">
        <v>45687</v>
      </c>
      <c r="C17" t="s">
        <v>108</v>
      </c>
      <c r="D17" t="s">
        <v>109</v>
      </c>
      <c r="E17" t="s">
        <v>110</v>
      </c>
      <c r="F17" t="s">
        <v>111</v>
      </c>
      <c r="G17" t="s">
        <v>88</v>
      </c>
      <c r="H17" t="s">
        <v>89</v>
      </c>
      <c r="I17">
        <v>1</v>
      </c>
      <c r="J17" s="2">
        <v>197.68</v>
      </c>
      <c r="K17" s="4">
        <v>0.1</v>
      </c>
      <c r="L17" t="s">
        <v>90</v>
      </c>
      <c r="M17">
        <v>3</v>
      </c>
      <c r="N17" t="s">
        <v>91</v>
      </c>
      <c r="O17" t="str">
        <f>SUBSTITUTE(PROPER(TRIM(RawSalesTable[[#This Row],[Channel_Raw]])), "Market Place", "Marketplace")</f>
        <v>Online</v>
      </c>
      <c r="P17" t="str">
        <f>TRIM(RawSalesTable[[#This Row],[Store_Raw]])</f>
        <v>Montreal Central</v>
      </c>
      <c r="Q17" t="str">
        <f>IF(TRIM(RawSalesTable[[#This Row],[Payment_Method_Raw]])="","Non renseigné",SUBSTITUTE(TRIM(RawSalesTable[[#This Row],[Payment_Method_Raw]]),"CC","Credit Card"))</f>
        <v>PayPal</v>
      </c>
      <c r="R17" s="8" t="str">
        <f>UPPER(PROPER(RawSalesTable[[#This Row],[Customer_ID]]))</f>
        <v>C0071</v>
      </c>
      <c r="S17" s="8" t="str">
        <f>TRIM(LEFT(RawSalesTable[[#This Row],[Customer_Info]],FIND(",",RawSalesTable[[#This Row],[Customer_Info]]) -1))</f>
        <v>Ethan Lee</v>
      </c>
      <c r="T17" s="8" t="str">
        <f>TRIM(MID(RawSalesTable[[#This Row],[Customer_Info]],FIND(",",RawSalesTable[[#This Row],[Customer_Info]])+1,FIND(",",RawSalesTable[[#This Row],[Customer_Info]],FIND(",",RawSalesTable[[#This Row],[Customer_Info]])+1)-FIND(",",RawSalesTable[[#This Row],[Customer_Info]])-1))</f>
        <v>Surrey</v>
      </c>
      <c r="U17" s="8" t="str">
        <f>TRIM(RIGHT(RawSalesTable[[#This Row],[Customer_Info]], LEN(RawSalesTable[[#This Row],[Customer_Info]])-FIND(",",RawSalesTable[[#This Row],[Customer_Info]],FIND(",",RawSalesTable[[#This Row],[Customer_Info]])+1)))</f>
        <v>Consumer</v>
      </c>
      <c r="V17" s="8" t="str">
        <f>VLOOKUP(RawSalesTable[[#This Row],[Product_ID]],ProductsTable[],2,FALSE)</f>
        <v>Gym Bag</v>
      </c>
      <c r="W17" s="8" t="str">
        <f>VLOOKUP(RawSalesTable[[#This Row],[Product_ID]],ProductsTable[],3,FALSE)</f>
        <v>Fitness</v>
      </c>
      <c r="X17" s="8">
        <f>VLOOKUP(RawSalesTable[[#This Row],[Product_ID]],ProductsTable[],5,FALSE)</f>
        <v>132.72</v>
      </c>
      <c r="Y17" s="8">
        <f>RawSalesTable[[#This Row],[Quantity]]*RawSalesTable[[#This Row],[Unit_Price]]</f>
        <v>197.68</v>
      </c>
      <c r="Z17" s="8">
        <f>RawSalesTable[[#This Row],[Gross_Sales]]*RawSalesTable[[#This Row],[Discount_Pct]]</f>
        <v>19.768000000000001</v>
      </c>
      <c r="AA17" s="8">
        <f>RawSalesTable[[#This Row],[Gross_Sales]]-RawSalesTable[[#This Row],[Discount_Amount]]</f>
        <v>177.91200000000001</v>
      </c>
      <c r="AB17" s="8">
        <f>RawSalesTable[[#This Row],[Unit_Cost]]*RawSalesTable[[#This Row],[Quantity]]</f>
        <v>132.72</v>
      </c>
      <c r="AC17" s="8">
        <f>RawSalesTable[[#This Row],[Net_Sales]]-RawSalesTable[[#This Row],[Total_Cost]]</f>
        <v>45.192000000000007</v>
      </c>
      <c r="AD17" s="9">
        <f>RawSalesTable[[#This Row],[Profit]]/RawSalesTable[[#This Row],[Net_Sales]]</f>
        <v>0.25401322001888577</v>
      </c>
      <c r="AE17" s="8">
        <f>IF(RawSalesTable[[#This Row],[Return_Status]]="Yes",1,0)</f>
        <v>0</v>
      </c>
      <c r="AF17" s="8">
        <f>YEAR(RawSalesTable[[#This Row],[Order_Date]])</f>
        <v>2025</v>
      </c>
      <c r="AG17" s="8">
        <f>MONTH(RawSalesTable[[#This Row],[Order_Date]])</f>
        <v>1</v>
      </c>
      <c r="AH17" s="8" t="str">
        <f>TEXT(RawSalesTable[[#This Row],[Order_Date]],"mmmm")</f>
        <v>janvier</v>
      </c>
      <c r="AI17" s="8" t="str">
        <f>IF(RawSalesTable[[#This Row],[Month_Number]]&lt;=3,"Q1",IF(RawSalesTable[[#This Row],[Month_Number]]&lt;=6,"Q2",IF(RawSalesTable[[#This Row],[Month_Number]]&lt;=9,"Q3","Q4")))</f>
        <v>Q1</v>
      </c>
      <c r="AJ17" s="13">
        <f>DATE(YEAR(RawSalesTable[[#This Row],[Order_Date]]),MONTH(RawSalesTable[[#This Row],[Order_Date]]),1)</f>
        <v>45658</v>
      </c>
      <c r="AK17" s="8" t="str">
        <f>VLOOKUP(RawSalesTable[[#This Row],[Customer_ID_clean]],CustomersTable[],4,FALSE)</f>
        <v>British Columbia</v>
      </c>
    </row>
    <row r="18" spans="1:37">
      <c r="A18" t="s">
        <v>112</v>
      </c>
      <c r="B18" s="3">
        <v>45732</v>
      </c>
      <c r="C18" t="s">
        <v>113</v>
      </c>
      <c r="D18" t="s">
        <v>114</v>
      </c>
      <c r="E18" t="s">
        <v>115</v>
      </c>
      <c r="F18" t="s">
        <v>116</v>
      </c>
      <c r="G18" t="s">
        <v>117</v>
      </c>
      <c r="H18" t="s">
        <v>89</v>
      </c>
      <c r="I18">
        <v>1</v>
      </c>
      <c r="J18" s="2">
        <v>151.79</v>
      </c>
      <c r="K18" s="4">
        <v>0</v>
      </c>
      <c r="L18" t="s">
        <v>106</v>
      </c>
      <c r="M18">
        <v>2</v>
      </c>
      <c r="N18" t="s">
        <v>91</v>
      </c>
      <c r="O18" t="str">
        <f>SUBSTITUTE(PROPER(TRIM(RawSalesTable[[#This Row],[Channel_Raw]])), "Market Place", "Marketplace")</f>
        <v>Online</v>
      </c>
      <c r="P18" t="str">
        <f>TRIM(RawSalesTable[[#This Row],[Store_Raw]])</f>
        <v>Toronto Downtown</v>
      </c>
      <c r="Q18" t="str">
        <f>IF(TRIM(RawSalesTable[[#This Row],[Payment_Method_Raw]])="","Non renseigné",SUBSTITUTE(TRIM(RawSalesTable[[#This Row],[Payment_Method_Raw]]),"CC","Credit Card"))</f>
        <v>Credit Card</v>
      </c>
      <c r="R18" s="8" t="str">
        <f>UPPER(PROPER(RawSalesTable[[#This Row],[Customer_ID]]))</f>
        <v>C0083</v>
      </c>
      <c r="S18" s="8" t="str">
        <f>TRIM(LEFT(RawSalesTable[[#This Row],[Customer_Info]],FIND(",",RawSalesTable[[#This Row],[Customer_Info]]) -1))</f>
        <v>Amine King</v>
      </c>
      <c r="T18" s="8" t="str">
        <f>TRIM(MID(RawSalesTable[[#This Row],[Customer_Info]],FIND(",",RawSalesTable[[#This Row],[Customer_Info]])+1,FIND(",",RawSalesTable[[#This Row],[Customer_Info]],FIND(",",RawSalesTable[[#This Row],[Customer_Info]])+1)-FIND(",",RawSalesTable[[#This Row],[Customer_Info]])-1))</f>
        <v>Edmonton</v>
      </c>
      <c r="U18" s="8" t="str">
        <f>TRIM(RIGHT(RawSalesTable[[#This Row],[Customer_Info]], LEN(RawSalesTable[[#This Row],[Customer_Info]])-FIND(",",RawSalesTable[[#This Row],[Customer_Info]],FIND(",",RawSalesTable[[#This Row],[Customer_Info]])+1)))</f>
        <v>Consumer</v>
      </c>
      <c r="V18" s="8" t="str">
        <f>VLOOKUP(RawSalesTable[[#This Row],[Product_ID]],ProductsTable[],2,FALSE)</f>
        <v>Laptop Sleeve</v>
      </c>
      <c r="W18" s="8" t="str">
        <f>VLOOKUP(RawSalesTable[[#This Row],[Product_ID]],ProductsTable[],3,FALSE)</f>
        <v>Accessories</v>
      </c>
      <c r="X18" s="8">
        <f>VLOOKUP(RawSalesTable[[#This Row],[Product_ID]],ProductsTable[],5,FALSE)</f>
        <v>78.95</v>
      </c>
      <c r="Y18" s="8">
        <f>RawSalesTable[[#This Row],[Quantity]]*RawSalesTable[[#This Row],[Unit_Price]]</f>
        <v>151.79</v>
      </c>
      <c r="Z18" s="8">
        <f>RawSalesTable[[#This Row],[Gross_Sales]]*RawSalesTable[[#This Row],[Discount_Pct]]</f>
        <v>0</v>
      </c>
      <c r="AA18" s="8">
        <f>RawSalesTable[[#This Row],[Gross_Sales]]-RawSalesTable[[#This Row],[Discount_Amount]]</f>
        <v>151.79</v>
      </c>
      <c r="AB18" s="8">
        <f>RawSalesTable[[#This Row],[Unit_Cost]]*RawSalesTable[[#This Row],[Quantity]]</f>
        <v>78.95</v>
      </c>
      <c r="AC18" s="8">
        <f>RawSalesTable[[#This Row],[Net_Sales]]-RawSalesTable[[#This Row],[Total_Cost]]</f>
        <v>72.839999999999989</v>
      </c>
      <c r="AD18" s="9">
        <f>RawSalesTable[[#This Row],[Profit]]/RawSalesTable[[#This Row],[Net_Sales]]</f>
        <v>0.47987350945385066</v>
      </c>
      <c r="AE18" s="8">
        <f>IF(RawSalesTable[[#This Row],[Return_Status]]="Yes",1,0)</f>
        <v>0</v>
      </c>
      <c r="AF18" s="8">
        <f>YEAR(RawSalesTable[[#This Row],[Order_Date]])</f>
        <v>2025</v>
      </c>
      <c r="AG18" s="8">
        <f>MONTH(RawSalesTable[[#This Row],[Order_Date]])</f>
        <v>3</v>
      </c>
      <c r="AH18" s="8" t="str">
        <f>TEXT(RawSalesTable[[#This Row],[Order_Date]],"mmmm")</f>
        <v>mars</v>
      </c>
      <c r="AI18" s="8" t="str">
        <f>IF(RawSalesTable[[#This Row],[Month_Number]]&lt;=3,"Q1",IF(RawSalesTable[[#This Row],[Month_Number]]&lt;=6,"Q2",IF(RawSalesTable[[#This Row],[Month_Number]]&lt;=9,"Q3","Q4")))</f>
        <v>Q1</v>
      </c>
      <c r="AJ18" s="13">
        <f>DATE(YEAR(RawSalesTable[[#This Row],[Order_Date]]),MONTH(RawSalesTable[[#This Row],[Order_Date]]),1)</f>
        <v>45717</v>
      </c>
      <c r="AK18" s="8" t="str">
        <f>VLOOKUP(RawSalesTable[[#This Row],[Customer_ID_clean]],CustomersTable[],4,FALSE)</f>
        <v>Alberta</v>
      </c>
    </row>
    <row r="19" spans="1:37">
      <c r="A19" t="s">
        <v>118</v>
      </c>
      <c r="B19" s="3">
        <v>45672</v>
      </c>
      <c r="C19" t="s">
        <v>119</v>
      </c>
      <c r="D19" t="s">
        <v>120</v>
      </c>
      <c r="E19" t="s">
        <v>121</v>
      </c>
      <c r="F19" t="s">
        <v>116</v>
      </c>
      <c r="G19" t="s">
        <v>122</v>
      </c>
      <c r="H19" t="s">
        <v>97</v>
      </c>
      <c r="I19">
        <v>2</v>
      </c>
      <c r="J19" s="2">
        <v>375.75</v>
      </c>
      <c r="K19" s="4">
        <v>0</v>
      </c>
      <c r="L19" t="s">
        <v>106</v>
      </c>
      <c r="M19">
        <v>2</v>
      </c>
      <c r="N19" t="s">
        <v>91</v>
      </c>
      <c r="O19" t="str">
        <f>SUBSTITUTE(PROPER(TRIM(RawSalesTable[[#This Row],[Channel_Raw]])), "Market Place", "Marketplace")</f>
        <v>Retail Store</v>
      </c>
      <c r="P19" t="str">
        <f>TRIM(RawSalesTable[[#This Row],[Store_Raw]])</f>
        <v>Toronto Downtown</v>
      </c>
      <c r="Q19" t="str">
        <f>IF(TRIM(RawSalesTable[[#This Row],[Payment_Method_Raw]])="","Non renseigné",SUBSTITUTE(TRIM(RawSalesTable[[#This Row],[Payment_Method_Raw]]),"CC","Credit Card"))</f>
        <v>Credit Card</v>
      </c>
      <c r="R19" s="8" t="str">
        <f>UPPER(PROPER(RawSalesTable[[#This Row],[Customer_ID]]))</f>
        <v>C0057</v>
      </c>
      <c r="S19" s="8" t="str">
        <f>TRIM(LEFT(RawSalesTable[[#This Row],[Customer_Info]],FIND(",",RawSalesTable[[#This Row],[Customer_Info]]) -1))</f>
        <v>Adam Khan</v>
      </c>
      <c r="T19" s="8" t="str">
        <f>TRIM(MID(RawSalesTable[[#This Row],[Customer_Info]],FIND(",",RawSalesTable[[#This Row],[Customer_Info]])+1,FIND(",",RawSalesTable[[#This Row],[Customer_Info]],FIND(",",RawSalesTable[[#This Row],[Customer_Info]])+1)-FIND(",",RawSalesTable[[#This Row],[Customer_Info]])-1))</f>
        <v>Edmonton</v>
      </c>
      <c r="U19" s="8" t="str">
        <f>TRIM(RIGHT(RawSalesTable[[#This Row],[Customer_Info]], LEN(RawSalesTable[[#This Row],[Customer_Info]])-FIND(",",RawSalesTable[[#This Row],[Customer_Info]],FIND(",",RawSalesTable[[#This Row],[Customer_Info]])+1)))</f>
        <v>Small Business</v>
      </c>
      <c r="V19" s="8" t="str">
        <f>VLOOKUP(RawSalesTable[[#This Row],[Product_ID]],ProductsTable[],2,FALSE)</f>
        <v>Desk Organizer</v>
      </c>
      <c r="W19" s="8" t="str">
        <f>VLOOKUP(RawSalesTable[[#This Row],[Product_ID]],ProductsTable[],3,FALSE)</f>
        <v>Office</v>
      </c>
      <c r="X19" s="8">
        <f>VLOOKUP(RawSalesTable[[#This Row],[Product_ID]],ProductsTable[],5,FALSE)</f>
        <v>235.76</v>
      </c>
      <c r="Y19" s="8">
        <f>RawSalesTable[[#This Row],[Quantity]]*RawSalesTable[[#This Row],[Unit_Price]]</f>
        <v>751.5</v>
      </c>
      <c r="Z19" s="8">
        <f>RawSalesTable[[#This Row],[Gross_Sales]]*RawSalesTable[[#This Row],[Discount_Pct]]</f>
        <v>0</v>
      </c>
      <c r="AA19" s="8">
        <f>RawSalesTable[[#This Row],[Gross_Sales]]-RawSalesTable[[#This Row],[Discount_Amount]]</f>
        <v>751.5</v>
      </c>
      <c r="AB19" s="8">
        <f>RawSalesTable[[#This Row],[Unit_Cost]]*RawSalesTable[[#This Row],[Quantity]]</f>
        <v>471.52</v>
      </c>
      <c r="AC19" s="8">
        <f>RawSalesTable[[#This Row],[Net_Sales]]-RawSalesTable[[#This Row],[Total_Cost]]</f>
        <v>279.98</v>
      </c>
      <c r="AD19" s="9">
        <f>RawSalesTable[[#This Row],[Profit]]/RawSalesTable[[#This Row],[Net_Sales]]</f>
        <v>0.37256154357950766</v>
      </c>
      <c r="AE19" s="8">
        <f>IF(RawSalesTable[[#This Row],[Return_Status]]="Yes",1,0)</f>
        <v>0</v>
      </c>
      <c r="AF19" s="8">
        <f>YEAR(RawSalesTable[[#This Row],[Order_Date]])</f>
        <v>2025</v>
      </c>
      <c r="AG19" s="8">
        <f>MONTH(RawSalesTable[[#This Row],[Order_Date]])</f>
        <v>1</v>
      </c>
      <c r="AH19" s="8" t="str">
        <f>TEXT(RawSalesTable[[#This Row],[Order_Date]],"mmmm")</f>
        <v>janvier</v>
      </c>
      <c r="AI19" s="8" t="str">
        <f>IF(RawSalesTable[[#This Row],[Month_Number]]&lt;=3,"Q1",IF(RawSalesTable[[#This Row],[Month_Number]]&lt;=6,"Q2",IF(RawSalesTable[[#This Row],[Month_Number]]&lt;=9,"Q3","Q4")))</f>
        <v>Q1</v>
      </c>
      <c r="AJ19" s="13">
        <f>DATE(YEAR(RawSalesTable[[#This Row],[Order_Date]]),MONTH(RawSalesTable[[#This Row],[Order_Date]]),1)</f>
        <v>45658</v>
      </c>
      <c r="AK19" s="8" t="str">
        <f>VLOOKUP(RawSalesTable[[#This Row],[Customer_ID_clean]],CustomersTable[],4,FALSE)</f>
        <v>Alberta</v>
      </c>
    </row>
    <row r="20" spans="1:37">
      <c r="A20" t="s">
        <v>123</v>
      </c>
      <c r="B20" s="3">
        <v>45830</v>
      </c>
      <c r="C20" t="s">
        <v>124</v>
      </c>
      <c r="D20" t="s">
        <v>125</v>
      </c>
      <c r="E20" t="s">
        <v>126</v>
      </c>
      <c r="F20" t="s">
        <v>111</v>
      </c>
      <c r="G20" t="s">
        <v>88</v>
      </c>
      <c r="H20" t="s">
        <v>97</v>
      </c>
      <c r="I20">
        <v>3</v>
      </c>
      <c r="J20" s="2">
        <v>55.05</v>
      </c>
      <c r="K20" s="4">
        <v>0.15</v>
      </c>
      <c r="L20" t="s">
        <v>98</v>
      </c>
      <c r="M20">
        <v>1</v>
      </c>
      <c r="N20" t="s">
        <v>91</v>
      </c>
      <c r="O20" t="str">
        <f>SUBSTITUTE(PROPER(TRIM(RawSalesTable[[#This Row],[Channel_Raw]])), "Market Place", "Marketplace")</f>
        <v>Retail Store</v>
      </c>
      <c r="P20" t="str">
        <f>TRIM(RawSalesTable[[#This Row],[Store_Raw]])</f>
        <v>Montreal Central</v>
      </c>
      <c r="Q20" t="str">
        <f>IF(TRIM(RawSalesTable[[#This Row],[Payment_Method_Raw]])="","Non renseigné",SUBSTITUTE(TRIM(RawSalesTable[[#This Row],[Payment_Method_Raw]]),"CC","Credit Card"))</f>
        <v>Debit Card</v>
      </c>
      <c r="R20" s="8" t="str">
        <f>UPPER(PROPER(RawSalesTable[[#This Row],[Customer_ID]]))</f>
        <v>C0021</v>
      </c>
      <c r="S20" s="8" t="str">
        <f>TRIM(LEFT(RawSalesTable[[#This Row],[Customer_Info]],FIND(",",RawSalesTable[[#This Row],[Customer_Info]]) -1))</f>
        <v>Nora King</v>
      </c>
      <c r="T20" s="8" t="str">
        <f>TRIM(MID(RawSalesTable[[#This Row],[Customer_Info]],FIND(",",RawSalesTable[[#This Row],[Customer_Info]])+1,FIND(",",RawSalesTable[[#This Row],[Customer_Info]],FIND(",",RawSalesTable[[#This Row],[Customer_Info]])+1)-FIND(",",RawSalesTable[[#This Row],[Customer_Info]])-1))</f>
        <v>Halifax</v>
      </c>
      <c r="U20" s="8" t="str">
        <f>TRIM(RIGHT(RawSalesTable[[#This Row],[Customer_Info]], LEN(RawSalesTable[[#This Row],[Customer_Info]])-FIND(",",RawSalesTable[[#This Row],[Customer_Info]],FIND(",",RawSalesTable[[#This Row],[Customer_Info]])+1)))</f>
        <v>Corporate</v>
      </c>
      <c r="V20" s="8" t="str">
        <f>VLOOKUP(RawSalesTable[[#This Row],[Product_ID]],ProductsTable[],2,FALSE)</f>
        <v>Kettlebell</v>
      </c>
      <c r="W20" s="8" t="str">
        <f>VLOOKUP(RawSalesTable[[#This Row],[Product_ID]],ProductsTable[],3,FALSE)</f>
        <v>Fitness</v>
      </c>
      <c r="X20" s="8">
        <f>VLOOKUP(RawSalesTable[[#This Row],[Product_ID]],ProductsTable[],5,FALSE)</f>
        <v>25.97</v>
      </c>
      <c r="Y20" s="8">
        <f>RawSalesTable[[#This Row],[Quantity]]*RawSalesTable[[#This Row],[Unit_Price]]</f>
        <v>165.14999999999998</v>
      </c>
      <c r="Z20" s="8">
        <f>RawSalesTable[[#This Row],[Gross_Sales]]*RawSalesTable[[#This Row],[Discount_Pct]]</f>
        <v>24.772499999999997</v>
      </c>
      <c r="AA20" s="8">
        <f>RawSalesTable[[#This Row],[Gross_Sales]]-RawSalesTable[[#This Row],[Discount_Amount]]</f>
        <v>140.37749999999997</v>
      </c>
      <c r="AB20" s="8">
        <f>RawSalesTable[[#This Row],[Unit_Cost]]*RawSalesTable[[#This Row],[Quantity]]</f>
        <v>77.91</v>
      </c>
      <c r="AC20" s="8">
        <f>RawSalesTable[[#This Row],[Net_Sales]]-RawSalesTable[[#This Row],[Total_Cost]]</f>
        <v>62.467499999999973</v>
      </c>
      <c r="AD20" s="9">
        <f>RawSalesTable[[#This Row],[Profit]]/RawSalesTable[[#This Row],[Net_Sales]]</f>
        <v>0.44499652722124261</v>
      </c>
      <c r="AE20" s="8">
        <f>IF(RawSalesTable[[#This Row],[Return_Status]]="Yes",1,0)</f>
        <v>0</v>
      </c>
      <c r="AF20" s="8">
        <f>YEAR(RawSalesTable[[#This Row],[Order_Date]])</f>
        <v>2025</v>
      </c>
      <c r="AG20" s="8">
        <f>MONTH(RawSalesTable[[#This Row],[Order_Date]])</f>
        <v>6</v>
      </c>
      <c r="AH20" s="8" t="str">
        <f>TEXT(RawSalesTable[[#This Row],[Order_Date]],"mmmm")</f>
        <v>juin</v>
      </c>
      <c r="AI20" s="8" t="str">
        <f>IF(RawSalesTable[[#This Row],[Month_Number]]&lt;=3,"Q1",IF(RawSalesTable[[#This Row],[Month_Number]]&lt;=6,"Q2",IF(RawSalesTable[[#This Row],[Month_Number]]&lt;=9,"Q3","Q4")))</f>
        <v>Q2</v>
      </c>
      <c r="AJ20" s="13">
        <f>DATE(YEAR(RawSalesTable[[#This Row],[Order_Date]]),MONTH(RawSalesTable[[#This Row],[Order_Date]]),1)</f>
        <v>45809</v>
      </c>
      <c r="AK20" s="8" t="str">
        <f>VLOOKUP(RawSalesTable[[#This Row],[Customer_ID_clean]],CustomersTable[],4,FALSE)</f>
        <v>Nova Scotia</v>
      </c>
    </row>
    <row r="21" spans="1:37">
      <c r="A21" t="s">
        <v>127</v>
      </c>
      <c r="B21" s="3">
        <v>45711</v>
      </c>
      <c r="C21" t="s">
        <v>128</v>
      </c>
      <c r="D21" t="s">
        <v>94</v>
      </c>
      <c r="E21" t="s">
        <v>129</v>
      </c>
      <c r="F21" t="s">
        <v>116</v>
      </c>
      <c r="G21" t="s">
        <v>130</v>
      </c>
      <c r="H21" t="s">
        <v>89</v>
      </c>
      <c r="I21">
        <v>2</v>
      </c>
      <c r="J21" s="2">
        <v>304.06</v>
      </c>
      <c r="K21" s="4">
        <v>0</v>
      </c>
      <c r="L21" t="s">
        <v>90</v>
      </c>
      <c r="M21">
        <v>3</v>
      </c>
      <c r="N21" t="s">
        <v>91</v>
      </c>
      <c r="O21" t="str">
        <f>SUBSTITUTE(PROPER(TRIM(RawSalesTable[[#This Row],[Channel_Raw]])), "Market Place", "Marketplace")</f>
        <v>Online</v>
      </c>
      <c r="P21" t="str">
        <f>TRIM(RawSalesTable[[#This Row],[Store_Raw]])</f>
        <v>Toronto Downtown</v>
      </c>
      <c r="Q21" t="str">
        <f>IF(TRIM(RawSalesTable[[#This Row],[Payment_Method_Raw]])="","Non renseigné",SUBSTITUTE(TRIM(RawSalesTable[[#This Row],[Payment_Method_Raw]]),"CC","Credit Card"))</f>
        <v>PayPal</v>
      </c>
      <c r="R21" s="8" t="str">
        <f>UPPER(PROPER(RawSalesTable[[#This Row],[Customer_ID]]))</f>
        <v>C0015</v>
      </c>
      <c r="S21" s="8" t="str">
        <f>TRIM(LEFT(RawSalesTable[[#This Row],[Customer_Info]],FIND(",",RawSalesTable[[#This Row],[Customer_Info]]) -1))</f>
        <v>Zoe Singh</v>
      </c>
      <c r="T21" s="8" t="str">
        <f>TRIM(MID(RawSalesTable[[#This Row],[Customer_Info]],FIND(",",RawSalesTable[[#This Row],[Customer_Info]])+1,FIND(",",RawSalesTable[[#This Row],[Customer_Info]],FIND(",",RawSalesTable[[#This Row],[Customer_Info]])+1)-FIND(",",RawSalesTable[[#This Row],[Customer_Info]])-1))</f>
        <v>Halifax</v>
      </c>
      <c r="U21" s="8" t="str">
        <f>TRIM(RIGHT(RawSalesTable[[#This Row],[Customer_Info]], LEN(RawSalesTable[[#This Row],[Customer_Info]])-FIND(",",RawSalesTable[[#This Row],[Customer_Info]],FIND(",",RawSalesTable[[#This Row],[Customer_Info]])+1)))</f>
        <v>Consumer</v>
      </c>
      <c r="V21" s="8" t="str">
        <f>VLOOKUP(RawSalesTable[[#This Row],[Product_ID]],ProductsTable[],2,FALSE)</f>
        <v>Backpack</v>
      </c>
      <c r="W21" s="8" t="str">
        <f>VLOOKUP(RawSalesTable[[#This Row],[Product_ID]],ProductsTable[],3,FALSE)</f>
        <v>Accessories</v>
      </c>
      <c r="X21" s="8">
        <f>VLOOKUP(RawSalesTable[[#This Row],[Product_ID]],ProductsTable[],5,FALSE)</f>
        <v>152.55000000000001</v>
      </c>
      <c r="Y21" s="8">
        <f>RawSalesTable[[#This Row],[Quantity]]*RawSalesTable[[#This Row],[Unit_Price]]</f>
        <v>608.12</v>
      </c>
      <c r="Z21" s="8">
        <f>RawSalesTable[[#This Row],[Gross_Sales]]*RawSalesTable[[#This Row],[Discount_Pct]]</f>
        <v>0</v>
      </c>
      <c r="AA21" s="8">
        <f>RawSalesTable[[#This Row],[Gross_Sales]]-RawSalesTable[[#This Row],[Discount_Amount]]</f>
        <v>608.12</v>
      </c>
      <c r="AB21" s="8">
        <f>RawSalesTable[[#This Row],[Unit_Cost]]*RawSalesTable[[#This Row],[Quantity]]</f>
        <v>305.10000000000002</v>
      </c>
      <c r="AC21" s="8">
        <f>RawSalesTable[[#This Row],[Net_Sales]]-RawSalesTable[[#This Row],[Total_Cost]]</f>
        <v>303.02</v>
      </c>
      <c r="AD21" s="9">
        <f>RawSalesTable[[#This Row],[Profit]]/RawSalesTable[[#This Row],[Net_Sales]]</f>
        <v>0.49828981122146943</v>
      </c>
      <c r="AE21" s="8">
        <f>IF(RawSalesTable[[#This Row],[Return_Status]]="Yes",1,0)</f>
        <v>0</v>
      </c>
      <c r="AF21" s="8">
        <f>YEAR(RawSalesTable[[#This Row],[Order_Date]])</f>
        <v>2025</v>
      </c>
      <c r="AG21" s="8">
        <f>MONTH(RawSalesTable[[#This Row],[Order_Date]])</f>
        <v>2</v>
      </c>
      <c r="AH21" s="8" t="str">
        <f>TEXT(RawSalesTable[[#This Row],[Order_Date]],"mmmm")</f>
        <v>février</v>
      </c>
      <c r="AI21" s="8" t="str">
        <f>IF(RawSalesTable[[#This Row],[Month_Number]]&lt;=3,"Q1",IF(RawSalesTable[[#This Row],[Month_Number]]&lt;=6,"Q2",IF(RawSalesTable[[#This Row],[Month_Number]]&lt;=9,"Q3","Q4")))</f>
        <v>Q1</v>
      </c>
      <c r="AJ21" s="13">
        <f>DATE(YEAR(RawSalesTable[[#This Row],[Order_Date]]),MONTH(RawSalesTable[[#This Row],[Order_Date]]),1)</f>
        <v>45689</v>
      </c>
      <c r="AK21" s="8" t="str">
        <f>VLOOKUP(RawSalesTable[[#This Row],[Customer_ID_clean]],CustomersTable[],4,FALSE)</f>
        <v>Nova Scotia</v>
      </c>
    </row>
    <row r="22" spans="1:37">
      <c r="A22" t="s">
        <v>131</v>
      </c>
      <c r="B22" s="3">
        <v>46014</v>
      </c>
      <c r="C22" t="s">
        <v>132</v>
      </c>
      <c r="D22" t="s">
        <v>133</v>
      </c>
      <c r="E22" t="s">
        <v>134</v>
      </c>
      <c r="F22" t="s">
        <v>111</v>
      </c>
      <c r="G22" t="s">
        <v>117</v>
      </c>
      <c r="H22" t="s">
        <v>97</v>
      </c>
      <c r="I22">
        <v>1</v>
      </c>
      <c r="J22" s="2">
        <v>333.75</v>
      </c>
      <c r="K22" s="4">
        <v>0.05</v>
      </c>
      <c r="L22" t="s">
        <v>90</v>
      </c>
      <c r="M22">
        <v>3</v>
      </c>
      <c r="N22" t="s">
        <v>91</v>
      </c>
      <c r="O22" t="str">
        <f>SUBSTITUTE(PROPER(TRIM(RawSalesTable[[#This Row],[Channel_Raw]])), "Market Place", "Marketplace")</f>
        <v>Retail Store</v>
      </c>
      <c r="P22" t="str">
        <f>TRIM(RawSalesTable[[#This Row],[Store_Raw]])</f>
        <v>Montreal Central</v>
      </c>
      <c r="Q22" t="str">
        <f>IF(TRIM(RawSalesTable[[#This Row],[Payment_Method_Raw]])="","Non renseigné",SUBSTITUTE(TRIM(RawSalesTable[[#This Row],[Payment_Method_Raw]]),"CC","Credit Card"))</f>
        <v>PayPal</v>
      </c>
      <c r="R22" s="8" t="str">
        <f>UPPER(PROPER(RawSalesTable[[#This Row],[Customer_ID]]))</f>
        <v>C0104</v>
      </c>
      <c r="S22" s="8" t="str">
        <f>TRIM(LEFT(RawSalesTable[[#This Row],[Customer_Info]],FIND(",",RawSalesTable[[#This Row],[Customer_Info]]) -1))</f>
        <v>Ava Scott</v>
      </c>
      <c r="T22" s="8" t="str">
        <f>TRIM(MID(RawSalesTable[[#This Row],[Customer_Info]],FIND(",",RawSalesTable[[#This Row],[Customer_Info]])+1,FIND(",",RawSalesTable[[#This Row],[Customer_Info]],FIND(",",RawSalesTable[[#This Row],[Customer_Info]])+1)-FIND(",",RawSalesTable[[#This Row],[Customer_Info]])-1))</f>
        <v>Edmonton</v>
      </c>
      <c r="U22" s="8" t="str">
        <f>TRIM(RIGHT(RawSalesTable[[#This Row],[Customer_Info]], LEN(RawSalesTable[[#This Row],[Customer_Info]])-FIND(",",RawSalesTable[[#This Row],[Customer_Info]],FIND(",",RawSalesTable[[#This Row],[Customer_Info]])+1)))</f>
        <v>Corporate</v>
      </c>
      <c r="V22" s="8" t="str">
        <f>VLOOKUP(RawSalesTable[[#This Row],[Product_ID]],ProductsTable[],2,FALSE)</f>
        <v>Travel Adapter</v>
      </c>
      <c r="W22" s="8" t="str">
        <f>VLOOKUP(RawSalesTable[[#This Row],[Product_ID]],ProductsTable[],3,FALSE)</f>
        <v>Accessories</v>
      </c>
      <c r="X22" s="8">
        <f>VLOOKUP(RawSalesTable[[#This Row],[Product_ID]],ProductsTable[],5,FALSE)</f>
        <v>229.86</v>
      </c>
      <c r="Y22" s="8">
        <f>RawSalesTable[[#This Row],[Quantity]]*RawSalesTable[[#This Row],[Unit_Price]]</f>
        <v>333.75</v>
      </c>
      <c r="Z22" s="8">
        <f>RawSalesTable[[#This Row],[Gross_Sales]]*RawSalesTable[[#This Row],[Discount_Pct]]</f>
        <v>16.6875</v>
      </c>
      <c r="AA22" s="8">
        <f>RawSalesTable[[#This Row],[Gross_Sales]]-RawSalesTable[[#This Row],[Discount_Amount]]</f>
        <v>317.0625</v>
      </c>
      <c r="AB22" s="8">
        <f>RawSalesTable[[#This Row],[Unit_Cost]]*RawSalesTable[[#This Row],[Quantity]]</f>
        <v>229.86</v>
      </c>
      <c r="AC22" s="8">
        <f>RawSalesTable[[#This Row],[Net_Sales]]-RawSalesTable[[#This Row],[Total_Cost]]</f>
        <v>87.202499999999986</v>
      </c>
      <c r="AD22" s="9">
        <f>RawSalesTable[[#This Row],[Profit]]/RawSalesTable[[#This Row],[Net_Sales]]</f>
        <v>0.27503252513305732</v>
      </c>
      <c r="AE22" s="8">
        <f>IF(RawSalesTable[[#This Row],[Return_Status]]="Yes",1,0)</f>
        <v>0</v>
      </c>
      <c r="AF22" s="8">
        <f>YEAR(RawSalesTable[[#This Row],[Order_Date]])</f>
        <v>2025</v>
      </c>
      <c r="AG22" s="8">
        <f>MONTH(RawSalesTable[[#This Row],[Order_Date]])</f>
        <v>12</v>
      </c>
      <c r="AH22" s="8" t="str">
        <f>TEXT(RawSalesTable[[#This Row],[Order_Date]],"mmmm")</f>
        <v>décembre</v>
      </c>
      <c r="AI22" s="8" t="str">
        <f>IF(RawSalesTable[[#This Row],[Month_Number]]&lt;=3,"Q1",IF(RawSalesTable[[#This Row],[Month_Number]]&lt;=6,"Q2",IF(RawSalesTable[[#This Row],[Month_Number]]&lt;=9,"Q3","Q4")))</f>
        <v>Q4</v>
      </c>
      <c r="AJ22" s="13">
        <f>DATE(YEAR(RawSalesTable[[#This Row],[Order_Date]]),MONTH(RawSalesTable[[#This Row],[Order_Date]]),1)</f>
        <v>45992</v>
      </c>
      <c r="AK22" s="8" t="str">
        <f>VLOOKUP(RawSalesTable[[#This Row],[Customer_ID_clean]],CustomersTable[],4,FALSE)</f>
        <v>Alberta</v>
      </c>
    </row>
    <row r="23" spans="1:37">
      <c r="A23" t="s">
        <v>135</v>
      </c>
      <c r="B23" s="3">
        <v>45833</v>
      </c>
      <c r="C23" t="s">
        <v>132</v>
      </c>
      <c r="D23" t="s">
        <v>136</v>
      </c>
      <c r="E23" t="s">
        <v>134</v>
      </c>
      <c r="F23" t="s">
        <v>103</v>
      </c>
      <c r="G23" t="s">
        <v>122</v>
      </c>
      <c r="H23" t="s">
        <v>89</v>
      </c>
      <c r="I23">
        <v>1</v>
      </c>
      <c r="J23" s="2">
        <v>163.56</v>
      </c>
      <c r="K23" s="4">
        <v>0.05</v>
      </c>
      <c r="L23" t="s">
        <v>106</v>
      </c>
      <c r="M23">
        <v>7</v>
      </c>
      <c r="N23" t="s">
        <v>91</v>
      </c>
      <c r="O23" t="str">
        <f>SUBSTITUTE(PROPER(TRIM(RawSalesTable[[#This Row],[Channel_Raw]])), "Market Place", "Marketplace")</f>
        <v>Online</v>
      </c>
      <c r="P23" t="str">
        <f>TRIM(RawSalesTable[[#This Row],[Store_Raw]])</f>
        <v>Vancouver West</v>
      </c>
      <c r="Q23" t="str">
        <f>IF(TRIM(RawSalesTable[[#This Row],[Payment_Method_Raw]])="","Non renseigné",SUBSTITUTE(TRIM(RawSalesTable[[#This Row],[Payment_Method_Raw]]),"CC","Credit Card"))</f>
        <v>Credit Card</v>
      </c>
      <c r="R23" s="8" t="str">
        <f>UPPER(PROPER(RawSalesTable[[#This Row],[Customer_ID]]))</f>
        <v>C0104</v>
      </c>
      <c r="S23" s="8" t="str">
        <f>TRIM(LEFT(RawSalesTable[[#This Row],[Customer_Info]],FIND(",",RawSalesTable[[#This Row],[Customer_Info]]) -1))</f>
        <v>Ava Scott</v>
      </c>
      <c r="T23" s="8" t="str">
        <f>TRIM(MID(RawSalesTable[[#This Row],[Customer_Info]],FIND(",",RawSalesTable[[#This Row],[Customer_Info]])+1,FIND(",",RawSalesTable[[#This Row],[Customer_Info]],FIND(",",RawSalesTable[[#This Row],[Customer_Info]])+1)-FIND(",",RawSalesTable[[#This Row],[Customer_Info]])-1))</f>
        <v>Edmonton</v>
      </c>
      <c r="U23" s="8" t="str">
        <f>TRIM(RIGHT(RawSalesTable[[#This Row],[Customer_Info]], LEN(RawSalesTable[[#This Row],[Customer_Info]])-FIND(",",RawSalesTable[[#This Row],[Customer_Info]],FIND(",",RawSalesTable[[#This Row],[Customer_Info]])+1)))</f>
        <v>Corporate</v>
      </c>
      <c r="V23" s="8" t="str">
        <f>VLOOKUP(RawSalesTable[[#This Row],[Product_ID]],ProductsTable[],2,FALSE)</f>
        <v>Mouse</v>
      </c>
      <c r="W23" s="8" t="str">
        <f>VLOOKUP(RawSalesTable[[#This Row],[Product_ID]],ProductsTable[],3,FALSE)</f>
        <v>Electronics</v>
      </c>
      <c r="X23" s="8">
        <f>VLOOKUP(RawSalesTable[[#This Row],[Product_ID]],ProductsTable[],5,FALSE)</f>
        <v>106.4</v>
      </c>
      <c r="Y23" s="8">
        <f>RawSalesTable[[#This Row],[Quantity]]*RawSalesTable[[#This Row],[Unit_Price]]</f>
        <v>163.56</v>
      </c>
      <c r="Z23" s="8">
        <f>RawSalesTable[[#This Row],[Gross_Sales]]*RawSalesTable[[#This Row],[Discount_Pct]]</f>
        <v>8.1780000000000008</v>
      </c>
      <c r="AA23" s="8">
        <f>RawSalesTable[[#This Row],[Gross_Sales]]-RawSalesTable[[#This Row],[Discount_Amount]]</f>
        <v>155.38200000000001</v>
      </c>
      <c r="AB23" s="8">
        <f>RawSalesTable[[#This Row],[Unit_Cost]]*RawSalesTable[[#This Row],[Quantity]]</f>
        <v>106.4</v>
      </c>
      <c r="AC23" s="8">
        <f>RawSalesTable[[#This Row],[Net_Sales]]-RawSalesTable[[#This Row],[Total_Cost]]</f>
        <v>48.981999999999999</v>
      </c>
      <c r="AD23" s="9">
        <f>RawSalesTable[[#This Row],[Profit]]/RawSalesTable[[#This Row],[Net_Sales]]</f>
        <v>0.31523599902176569</v>
      </c>
      <c r="AE23" s="8">
        <f>IF(RawSalesTable[[#This Row],[Return_Status]]="Yes",1,0)</f>
        <v>0</v>
      </c>
      <c r="AF23" s="8">
        <f>YEAR(RawSalesTable[[#This Row],[Order_Date]])</f>
        <v>2025</v>
      </c>
      <c r="AG23" s="8">
        <f>MONTH(RawSalesTable[[#This Row],[Order_Date]])</f>
        <v>6</v>
      </c>
      <c r="AH23" s="8" t="str">
        <f>TEXT(RawSalesTable[[#This Row],[Order_Date]],"mmmm")</f>
        <v>juin</v>
      </c>
      <c r="AI23" s="8" t="str">
        <f>IF(RawSalesTable[[#This Row],[Month_Number]]&lt;=3,"Q1",IF(RawSalesTable[[#This Row],[Month_Number]]&lt;=6,"Q2",IF(RawSalesTable[[#This Row],[Month_Number]]&lt;=9,"Q3","Q4")))</f>
        <v>Q2</v>
      </c>
      <c r="AJ23" s="13">
        <f>DATE(YEAR(RawSalesTable[[#This Row],[Order_Date]]),MONTH(RawSalesTable[[#This Row],[Order_Date]]),1)</f>
        <v>45809</v>
      </c>
      <c r="AK23" s="8" t="str">
        <f>VLOOKUP(RawSalesTable[[#This Row],[Customer_ID_clean]],CustomersTable[],4,FALSE)</f>
        <v>Alberta</v>
      </c>
    </row>
    <row r="24" spans="1:37">
      <c r="A24" t="s">
        <v>137</v>
      </c>
      <c r="B24" s="3">
        <v>46016</v>
      </c>
      <c r="C24" t="s">
        <v>138</v>
      </c>
      <c r="D24" t="s">
        <v>139</v>
      </c>
      <c r="E24" t="s">
        <v>140</v>
      </c>
      <c r="F24" t="s">
        <v>116</v>
      </c>
      <c r="G24" t="s">
        <v>88</v>
      </c>
      <c r="H24" t="s">
        <v>89</v>
      </c>
      <c r="I24">
        <v>3</v>
      </c>
      <c r="J24" s="2">
        <v>79.569999999999993</v>
      </c>
      <c r="K24" s="4">
        <v>0</v>
      </c>
      <c r="L24" t="s">
        <v>90</v>
      </c>
      <c r="M24">
        <v>3</v>
      </c>
      <c r="N24" t="s">
        <v>91</v>
      </c>
      <c r="O24" t="str">
        <f>SUBSTITUTE(PROPER(TRIM(RawSalesTable[[#This Row],[Channel_Raw]])), "Market Place", "Marketplace")</f>
        <v>Online</v>
      </c>
      <c r="P24" t="str">
        <f>TRIM(RawSalesTable[[#This Row],[Store_Raw]])</f>
        <v>Toronto Downtown</v>
      </c>
      <c r="Q24" t="str">
        <f>IF(TRIM(RawSalesTable[[#This Row],[Payment_Method_Raw]])="","Non renseigné",SUBSTITUTE(TRIM(RawSalesTable[[#This Row],[Payment_Method_Raw]]),"CC","Credit Card"))</f>
        <v>PayPal</v>
      </c>
      <c r="R24" s="8" t="str">
        <f>UPPER(PROPER(RawSalesTable[[#This Row],[Customer_ID]]))</f>
        <v>C0106</v>
      </c>
      <c r="S24" s="8" t="str">
        <f>TRIM(LEFT(RawSalesTable[[#This Row],[Customer_Info]],FIND(",",RawSalesTable[[#This Row],[Customer_Info]]) -1))</f>
        <v>Liam Gagnon</v>
      </c>
      <c r="T24" s="8" t="str">
        <f>TRIM(MID(RawSalesTable[[#This Row],[Customer_Info]],FIND(",",RawSalesTable[[#This Row],[Customer_Info]])+1,FIND(",",RawSalesTable[[#This Row],[Customer_Info]],FIND(",",RawSalesTable[[#This Row],[Customer_Info]])+1)-FIND(",",RawSalesTable[[#This Row],[Customer_Info]])-1))</f>
        <v>Ottawa</v>
      </c>
      <c r="U24" s="8" t="str">
        <f>TRIM(RIGHT(RawSalesTable[[#This Row],[Customer_Info]], LEN(RawSalesTable[[#This Row],[Customer_Info]])-FIND(",",RawSalesTable[[#This Row],[Customer_Info]],FIND(",",RawSalesTable[[#This Row],[Customer_Info]])+1)))</f>
        <v>Small Business</v>
      </c>
      <c r="V24" s="8" t="str">
        <f>VLOOKUP(RawSalesTable[[#This Row],[Product_ID]],ProductsTable[],2,FALSE)</f>
        <v>Standing Desk</v>
      </c>
      <c r="W24" s="8" t="str">
        <f>VLOOKUP(RawSalesTable[[#This Row],[Product_ID]],ProductsTable[],3,FALSE)</f>
        <v>Office</v>
      </c>
      <c r="X24" s="8">
        <f>VLOOKUP(RawSalesTable[[#This Row],[Product_ID]],ProductsTable[],5,FALSE)</f>
        <v>45.17</v>
      </c>
      <c r="Y24" s="8">
        <f>RawSalesTable[[#This Row],[Quantity]]*RawSalesTable[[#This Row],[Unit_Price]]</f>
        <v>238.70999999999998</v>
      </c>
      <c r="Z24" s="8">
        <f>RawSalesTable[[#This Row],[Gross_Sales]]*RawSalesTable[[#This Row],[Discount_Pct]]</f>
        <v>0</v>
      </c>
      <c r="AA24" s="8">
        <f>RawSalesTable[[#This Row],[Gross_Sales]]-RawSalesTable[[#This Row],[Discount_Amount]]</f>
        <v>238.70999999999998</v>
      </c>
      <c r="AB24" s="8">
        <f>RawSalesTable[[#This Row],[Unit_Cost]]*RawSalesTable[[#This Row],[Quantity]]</f>
        <v>135.51</v>
      </c>
      <c r="AC24" s="8">
        <f>RawSalesTable[[#This Row],[Net_Sales]]-RawSalesTable[[#This Row],[Total_Cost]]</f>
        <v>103.19999999999999</v>
      </c>
      <c r="AD24" s="9">
        <f>RawSalesTable[[#This Row],[Profit]]/RawSalesTable[[#This Row],[Net_Sales]]</f>
        <v>0.43232374010305391</v>
      </c>
      <c r="AE24" s="8">
        <f>IF(RawSalesTable[[#This Row],[Return_Status]]="Yes",1,0)</f>
        <v>0</v>
      </c>
      <c r="AF24" s="8">
        <f>YEAR(RawSalesTable[[#This Row],[Order_Date]])</f>
        <v>2025</v>
      </c>
      <c r="AG24" s="8">
        <f>MONTH(RawSalesTable[[#This Row],[Order_Date]])</f>
        <v>12</v>
      </c>
      <c r="AH24" s="8" t="str">
        <f>TEXT(RawSalesTable[[#This Row],[Order_Date]],"mmmm")</f>
        <v>décembre</v>
      </c>
      <c r="AI24" s="8" t="str">
        <f>IF(RawSalesTable[[#This Row],[Month_Number]]&lt;=3,"Q1",IF(RawSalesTable[[#This Row],[Month_Number]]&lt;=6,"Q2",IF(RawSalesTable[[#This Row],[Month_Number]]&lt;=9,"Q3","Q4")))</f>
        <v>Q4</v>
      </c>
      <c r="AJ24" s="13">
        <f>DATE(YEAR(RawSalesTable[[#This Row],[Order_Date]]),MONTH(RawSalesTable[[#This Row],[Order_Date]]),1)</f>
        <v>45992</v>
      </c>
      <c r="AK24" s="8" t="str">
        <f>VLOOKUP(RawSalesTable[[#This Row],[Customer_ID_clean]],CustomersTable[],4,FALSE)</f>
        <v>Ontario</v>
      </c>
    </row>
    <row r="25" spans="1:37">
      <c r="A25" t="s">
        <v>141</v>
      </c>
      <c r="B25" s="3">
        <v>45816</v>
      </c>
      <c r="C25" t="s">
        <v>142</v>
      </c>
      <c r="D25" t="s">
        <v>143</v>
      </c>
      <c r="E25" t="s">
        <v>144</v>
      </c>
      <c r="F25" t="s">
        <v>145</v>
      </c>
      <c r="G25" t="s">
        <v>96</v>
      </c>
      <c r="H25" t="s">
        <v>89</v>
      </c>
      <c r="I25">
        <v>1</v>
      </c>
      <c r="J25" s="2">
        <v>265.64</v>
      </c>
      <c r="K25" s="4">
        <v>0.1</v>
      </c>
      <c r="L25" t="s">
        <v>146</v>
      </c>
      <c r="M25">
        <v>9</v>
      </c>
      <c r="N25" t="s">
        <v>147</v>
      </c>
      <c r="O25" t="str">
        <f>SUBSTITUTE(PROPER(TRIM(RawSalesTable[[#This Row],[Channel_Raw]])), "Market Place", "Marketplace")</f>
        <v>Online</v>
      </c>
      <c r="P25" t="str">
        <f>TRIM(RawSalesTable[[#This Row],[Store_Raw]])</f>
        <v>Calgary North</v>
      </c>
      <c r="Q25" t="str">
        <f>IF(TRIM(RawSalesTable[[#This Row],[Payment_Method_Raw]])="","Non renseigné",SUBSTITUTE(TRIM(RawSalesTable[[#This Row],[Payment_Method_Raw]]),"CC","Credit Card"))</f>
        <v>Gift Card</v>
      </c>
      <c r="R25" s="8" t="str">
        <f>UPPER(PROPER(RawSalesTable[[#This Row],[Customer_ID]]))</f>
        <v>C0002</v>
      </c>
      <c r="S25" s="8" t="str">
        <f>TRIM(LEFT(RawSalesTable[[#This Row],[Customer_Info]],FIND(",",RawSalesTable[[#This Row],[Customer_Info]]) -1))</f>
        <v>Ryan Johnson</v>
      </c>
      <c r="T25" s="8" t="str">
        <f>TRIM(MID(RawSalesTable[[#This Row],[Customer_Info]],FIND(",",RawSalesTable[[#This Row],[Customer_Info]])+1,FIND(",",RawSalesTable[[#This Row],[Customer_Info]],FIND(",",RawSalesTable[[#This Row],[Customer_Info]])+1)-FIND(",",RawSalesTable[[#This Row],[Customer_Info]])-1))</f>
        <v>Montreal</v>
      </c>
      <c r="U25" s="8" t="str">
        <f>TRIM(RIGHT(RawSalesTable[[#This Row],[Customer_Info]], LEN(RawSalesTable[[#This Row],[Customer_Info]])-FIND(",",RawSalesTable[[#This Row],[Customer_Info]],FIND(",",RawSalesTable[[#This Row],[Customer_Info]])+1)))</f>
        <v>Small Business</v>
      </c>
      <c r="V25" s="8" t="str">
        <f>VLOOKUP(RawSalesTable[[#This Row],[Product_ID]],ProductsTable[],2,FALSE)</f>
        <v>Water Bottle</v>
      </c>
      <c r="W25" s="8" t="str">
        <f>VLOOKUP(RawSalesTable[[#This Row],[Product_ID]],ProductsTable[],3,FALSE)</f>
        <v>Accessories</v>
      </c>
      <c r="X25" s="8">
        <f>VLOOKUP(RawSalesTable[[#This Row],[Product_ID]],ProductsTable[],5,FALSE)</f>
        <v>119.16</v>
      </c>
      <c r="Y25" s="8">
        <f>RawSalesTable[[#This Row],[Quantity]]*RawSalesTable[[#This Row],[Unit_Price]]</f>
        <v>265.64</v>
      </c>
      <c r="Z25" s="8">
        <f>RawSalesTable[[#This Row],[Gross_Sales]]*RawSalesTable[[#This Row],[Discount_Pct]]</f>
        <v>26.564</v>
      </c>
      <c r="AA25" s="8">
        <f>RawSalesTable[[#This Row],[Gross_Sales]]-RawSalesTable[[#This Row],[Discount_Amount]]</f>
        <v>239.07599999999999</v>
      </c>
      <c r="AB25" s="8">
        <f>RawSalesTable[[#This Row],[Unit_Cost]]*RawSalesTable[[#This Row],[Quantity]]</f>
        <v>119.16</v>
      </c>
      <c r="AC25" s="8">
        <f>RawSalesTable[[#This Row],[Net_Sales]]-RawSalesTable[[#This Row],[Total_Cost]]</f>
        <v>119.916</v>
      </c>
      <c r="AD25" s="9">
        <f>RawSalesTable[[#This Row],[Profit]]/RawSalesTable[[#This Row],[Net_Sales]]</f>
        <v>0.50158108718566485</v>
      </c>
      <c r="AE25" s="8">
        <f>IF(RawSalesTable[[#This Row],[Return_Status]]="Yes",1,0)</f>
        <v>1</v>
      </c>
      <c r="AF25" s="8">
        <f>YEAR(RawSalesTable[[#This Row],[Order_Date]])</f>
        <v>2025</v>
      </c>
      <c r="AG25" s="8">
        <f>MONTH(RawSalesTable[[#This Row],[Order_Date]])</f>
        <v>6</v>
      </c>
      <c r="AH25" s="8" t="str">
        <f>TEXT(RawSalesTable[[#This Row],[Order_Date]],"mmmm")</f>
        <v>juin</v>
      </c>
      <c r="AI25" s="8" t="str">
        <f>IF(RawSalesTable[[#This Row],[Month_Number]]&lt;=3,"Q1",IF(RawSalesTable[[#This Row],[Month_Number]]&lt;=6,"Q2",IF(RawSalesTable[[#This Row],[Month_Number]]&lt;=9,"Q3","Q4")))</f>
        <v>Q2</v>
      </c>
      <c r="AJ25" s="13">
        <f>DATE(YEAR(RawSalesTable[[#This Row],[Order_Date]]),MONTH(RawSalesTable[[#This Row],[Order_Date]]),1)</f>
        <v>45809</v>
      </c>
      <c r="AK25" s="8" t="str">
        <f>VLOOKUP(RawSalesTable[[#This Row],[Customer_ID_clean]],CustomersTable[],4,FALSE)</f>
        <v>Quebec</v>
      </c>
    </row>
    <row r="26" spans="1:37">
      <c r="A26" t="s">
        <v>148</v>
      </c>
      <c r="B26" s="3">
        <v>45826</v>
      </c>
      <c r="C26" t="s">
        <v>108</v>
      </c>
      <c r="D26" t="s">
        <v>149</v>
      </c>
      <c r="E26" t="s">
        <v>110</v>
      </c>
      <c r="F26" t="s">
        <v>116</v>
      </c>
      <c r="G26" t="s">
        <v>96</v>
      </c>
      <c r="H26" t="s">
        <v>97</v>
      </c>
      <c r="I26">
        <v>1</v>
      </c>
      <c r="J26" s="2">
        <v>82.73</v>
      </c>
      <c r="K26" s="4">
        <v>0</v>
      </c>
      <c r="L26" t="s">
        <v>98</v>
      </c>
      <c r="M26">
        <v>3</v>
      </c>
      <c r="N26" t="s">
        <v>91</v>
      </c>
      <c r="O26" t="str">
        <f>SUBSTITUTE(PROPER(TRIM(RawSalesTable[[#This Row],[Channel_Raw]])), "Market Place", "Marketplace")</f>
        <v>Retail Store</v>
      </c>
      <c r="P26" t="str">
        <f>TRIM(RawSalesTable[[#This Row],[Store_Raw]])</f>
        <v>Toronto Downtown</v>
      </c>
      <c r="Q26" t="str">
        <f>IF(TRIM(RawSalesTable[[#This Row],[Payment_Method_Raw]])="","Non renseigné",SUBSTITUTE(TRIM(RawSalesTable[[#This Row],[Payment_Method_Raw]]),"CC","Credit Card"))</f>
        <v>Debit Card</v>
      </c>
      <c r="R26" s="8" t="str">
        <f>UPPER(PROPER(RawSalesTable[[#This Row],[Customer_ID]]))</f>
        <v>C0071</v>
      </c>
      <c r="S26" s="8" t="str">
        <f>TRIM(LEFT(RawSalesTable[[#This Row],[Customer_Info]],FIND(",",RawSalesTable[[#This Row],[Customer_Info]]) -1))</f>
        <v>Ethan Lee</v>
      </c>
      <c r="T26" s="8" t="str">
        <f>TRIM(MID(RawSalesTable[[#This Row],[Customer_Info]],FIND(",",RawSalesTable[[#This Row],[Customer_Info]])+1,FIND(",",RawSalesTable[[#This Row],[Customer_Info]],FIND(",",RawSalesTable[[#This Row],[Customer_Info]])+1)-FIND(",",RawSalesTable[[#This Row],[Customer_Info]])-1))</f>
        <v>Surrey</v>
      </c>
      <c r="U26" s="8" t="str">
        <f>TRIM(RIGHT(RawSalesTable[[#This Row],[Customer_Info]], LEN(RawSalesTable[[#This Row],[Customer_Info]])-FIND(",",RawSalesTable[[#This Row],[Customer_Info]],FIND(",",RawSalesTable[[#This Row],[Customer_Info]])+1)))</f>
        <v>Consumer</v>
      </c>
      <c r="V26" s="8" t="str">
        <f>VLOOKUP(RawSalesTable[[#This Row],[Product_ID]],ProductsTable[],2,FALSE)</f>
        <v>Office Chair</v>
      </c>
      <c r="W26" s="8" t="str">
        <f>VLOOKUP(RawSalesTable[[#This Row],[Product_ID]],ProductsTable[],3,FALSE)</f>
        <v>Office</v>
      </c>
      <c r="X26" s="8">
        <f>VLOOKUP(RawSalesTable[[#This Row],[Product_ID]],ProductsTable[],5,FALSE)</f>
        <v>39.26</v>
      </c>
      <c r="Y26" s="8">
        <f>RawSalesTable[[#This Row],[Quantity]]*RawSalesTable[[#This Row],[Unit_Price]]</f>
        <v>82.73</v>
      </c>
      <c r="Z26" s="8">
        <f>RawSalesTable[[#This Row],[Gross_Sales]]*RawSalesTable[[#This Row],[Discount_Pct]]</f>
        <v>0</v>
      </c>
      <c r="AA26" s="8">
        <f>RawSalesTable[[#This Row],[Gross_Sales]]-RawSalesTable[[#This Row],[Discount_Amount]]</f>
        <v>82.73</v>
      </c>
      <c r="AB26" s="8">
        <f>RawSalesTable[[#This Row],[Unit_Cost]]*RawSalesTable[[#This Row],[Quantity]]</f>
        <v>39.26</v>
      </c>
      <c r="AC26" s="8">
        <f>RawSalesTable[[#This Row],[Net_Sales]]-RawSalesTable[[#This Row],[Total_Cost]]</f>
        <v>43.470000000000006</v>
      </c>
      <c r="AD26" s="9">
        <f>RawSalesTable[[#This Row],[Profit]]/RawSalesTable[[#This Row],[Net_Sales]]</f>
        <v>0.52544421612474324</v>
      </c>
      <c r="AE26" s="8">
        <f>IF(RawSalesTable[[#This Row],[Return_Status]]="Yes",1,0)</f>
        <v>0</v>
      </c>
      <c r="AF26" s="8">
        <f>YEAR(RawSalesTable[[#This Row],[Order_Date]])</f>
        <v>2025</v>
      </c>
      <c r="AG26" s="8">
        <f>MONTH(RawSalesTable[[#This Row],[Order_Date]])</f>
        <v>6</v>
      </c>
      <c r="AH26" s="8" t="str">
        <f>TEXT(RawSalesTable[[#This Row],[Order_Date]],"mmmm")</f>
        <v>juin</v>
      </c>
      <c r="AI26" s="8" t="str">
        <f>IF(RawSalesTable[[#This Row],[Month_Number]]&lt;=3,"Q1",IF(RawSalesTable[[#This Row],[Month_Number]]&lt;=6,"Q2",IF(RawSalesTable[[#This Row],[Month_Number]]&lt;=9,"Q3","Q4")))</f>
        <v>Q2</v>
      </c>
      <c r="AJ26" s="13">
        <f>DATE(YEAR(RawSalesTable[[#This Row],[Order_Date]]),MONTH(RawSalesTable[[#This Row],[Order_Date]]),1)</f>
        <v>45809</v>
      </c>
      <c r="AK26" s="8" t="str">
        <f>VLOOKUP(RawSalesTable[[#This Row],[Customer_ID_clean]],CustomersTable[],4,FALSE)</f>
        <v>British Columbia</v>
      </c>
    </row>
    <row r="27" spans="1:37">
      <c r="A27" t="s">
        <v>150</v>
      </c>
      <c r="B27" s="3">
        <v>45820</v>
      </c>
      <c r="C27" t="s">
        <v>151</v>
      </c>
      <c r="D27" t="s">
        <v>152</v>
      </c>
      <c r="E27" t="s">
        <v>153</v>
      </c>
      <c r="F27" t="s">
        <v>103</v>
      </c>
      <c r="G27" t="s">
        <v>96</v>
      </c>
      <c r="H27" t="s">
        <v>89</v>
      </c>
      <c r="I27">
        <v>2</v>
      </c>
      <c r="J27" s="2">
        <v>127.76</v>
      </c>
      <c r="K27" s="4">
        <v>0.1</v>
      </c>
      <c r="L27" t="s">
        <v>154</v>
      </c>
      <c r="M27">
        <v>8</v>
      </c>
      <c r="N27" t="s">
        <v>91</v>
      </c>
      <c r="O27" t="str">
        <f>SUBSTITUTE(PROPER(TRIM(RawSalesTable[[#This Row],[Channel_Raw]])), "Market Place", "Marketplace")</f>
        <v>Online</v>
      </c>
      <c r="P27" t="str">
        <f>TRIM(RawSalesTable[[#This Row],[Store_Raw]])</f>
        <v>Vancouver West</v>
      </c>
      <c r="Q27" t="str">
        <f>IF(TRIM(RawSalesTable[[#This Row],[Payment_Method_Raw]])="","Non renseigné",SUBSTITUTE(TRIM(RawSalesTable[[#This Row],[Payment_Method_Raw]]),"CC","Credit Card"))</f>
        <v>Gift Card</v>
      </c>
      <c r="R27" s="8" t="str">
        <f>UPPER(PROPER(RawSalesTable[[#This Row],[Customer_ID]]))</f>
        <v>C0014</v>
      </c>
      <c r="S27" s="8" t="str">
        <f>TRIM(LEFT(RawSalesTable[[#This Row],[Customer_Info]],FIND(",",RawSalesTable[[#This Row],[Customer_Info]]) -1))</f>
        <v>Zoe Scott</v>
      </c>
      <c r="T27" s="8" t="str">
        <f>TRIM(MID(RawSalesTable[[#This Row],[Customer_Info]],FIND(",",RawSalesTable[[#This Row],[Customer_Info]])+1,FIND(",",RawSalesTable[[#This Row],[Customer_Info]],FIND(",",RawSalesTable[[#This Row],[Customer_Info]])+1)-FIND(",",RawSalesTable[[#This Row],[Customer_Info]])-1))</f>
        <v>Montreal</v>
      </c>
      <c r="U27" s="8" t="str">
        <f>TRIM(RIGHT(RawSalesTable[[#This Row],[Customer_Info]], LEN(RawSalesTable[[#This Row],[Customer_Info]])-FIND(",",RawSalesTable[[#This Row],[Customer_Info]],FIND(",",RawSalesTable[[#This Row],[Customer_Info]])+1)))</f>
        <v>Small Business</v>
      </c>
      <c r="V27" s="8" t="str">
        <f>VLOOKUP(RawSalesTable[[#This Row],[Product_ID]],ProductsTable[],2,FALSE)</f>
        <v>Smart Speaker</v>
      </c>
      <c r="W27" s="8" t="str">
        <f>VLOOKUP(RawSalesTable[[#This Row],[Product_ID]],ProductsTable[],3,FALSE)</f>
        <v>Electronics</v>
      </c>
      <c r="X27" s="8">
        <f>VLOOKUP(RawSalesTable[[#This Row],[Product_ID]],ProductsTable[],5,FALSE)</f>
        <v>69</v>
      </c>
      <c r="Y27" s="8">
        <f>RawSalesTable[[#This Row],[Quantity]]*RawSalesTable[[#This Row],[Unit_Price]]</f>
        <v>255.52</v>
      </c>
      <c r="Z27" s="8">
        <f>RawSalesTable[[#This Row],[Gross_Sales]]*RawSalesTable[[#This Row],[Discount_Pct]]</f>
        <v>25.552000000000003</v>
      </c>
      <c r="AA27" s="8">
        <f>RawSalesTable[[#This Row],[Gross_Sales]]-RawSalesTable[[#This Row],[Discount_Amount]]</f>
        <v>229.96800000000002</v>
      </c>
      <c r="AB27" s="8">
        <f>RawSalesTable[[#This Row],[Unit_Cost]]*RawSalesTable[[#This Row],[Quantity]]</f>
        <v>138</v>
      </c>
      <c r="AC27" s="8">
        <f>RawSalesTable[[#This Row],[Net_Sales]]-RawSalesTable[[#This Row],[Total_Cost]]</f>
        <v>91.968000000000018</v>
      </c>
      <c r="AD27" s="9">
        <f>RawSalesTable[[#This Row],[Profit]]/RawSalesTable[[#This Row],[Net_Sales]]</f>
        <v>0.39991651012314761</v>
      </c>
      <c r="AE27" s="8">
        <f>IF(RawSalesTable[[#This Row],[Return_Status]]="Yes",1,0)</f>
        <v>0</v>
      </c>
      <c r="AF27" s="8">
        <f>YEAR(RawSalesTable[[#This Row],[Order_Date]])</f>
        <v>2025</v>
      </c>
      <c r="AG27" s="8">
        <f>MONTH(RawSalesTable[[#This Row],[Order_Date]])</f>
        <v>6</v>
      </c>
      <c r="AH27" s="8" t="str">
        <f>TEXT(RawSalesTable[[#This Row],[Order_Date]],"mmmm")</f>
        <v>juin</v>
      </c>
      <c r="AI27" s="8" t="str">
        <f>IF(RawSalesTable[[#This Row],[Month_Number]]&lt;=3,"Q1",IF(RawSalesTable[[#This Row],[Month_Number]]&lt;=6,"Q2",IF(RawSalesTable[[#This Row],[Month_Number]]&lt;=9,"Q3","Q4")))</f>
        <v>Q2</v>
      </c>
      <c r="AJ27" s="13">
        <f>DATE(YEAR(RawSalesTable[[#This Row],[Order_Date]]),MONTH(RawSalesTable[[#This Row],[Order_Date]]),1)</f>
        <v>45809</v>
      </c>
      <c r="AK27" s="8" t="str">
        <f>VLOOKUP(RawSalesTable[[#This Row],[Customer_ID_clean]],CustomersTable[],4,FALSE)</f>
        <v>Quebec</v>
      </c>
    </row>
    <row r="28" spans="1:37">
      <c r="A28" t="s">
        <v>155</v>
      </c>
      <c r="B28" s="3">
        <v>45810</v>
      </c>
      <c r="C28" t="s">
        <v>156</v>
      </c>
      <c r="D28" t="s">
        <v>157</v>
      </c>
      <c r="E28" t="s">
        <v>158</v>
      </c>
      <c r="F28" t="s">
        <v>111</v>
      </c>
      <c r="G28" t="s">
        <v>96</v>
      </c>
      <c r="H28" t="s">
        <v>97</v>
      </c>
      <c r="I28">
        <v>4</v>
      </c>
      <c r="J28" s="2">
        <v>306.48</v>
      </c>
      <c r="K28" s="4">
        <v>0.1</v>
      </c>
      <c r="L28" t="s">
        <v>106</v>
      </c>
      <c r="M28">
        <v>2</v>
      </c>
      <c r="N28" t="s">
        <v>91</v>
      </c>
      <c r="O28" t="str">
        <f>SUBSTITUTE(PROPER(TRIM(RawSalesTable[[#This Row],[Channel_Raw]])), "Market Place", "Marketplace")</f>
        <v>Retail Store</v>
      </c>
      <c r="P28" t="str">
        <f>TRIM(RawSalesTable[[#This Row],[Store_Raw]])</f>
        <v>Montreal Central</v>
      </c>
      <c r="Q28" t="str">
        <f>IF(TRIM(RawSalesTable[[#This Row],[Payment_Method_Raw]])="","Non renseigné",SUBSTITUTE(TRIM(RawSalesTable[[#This Row],[Payment_Method_Raw]]),"CC","Credit Card"))</f>
        <v>Credit Card</v>
      </c>
      <c r="R28" s="8" t="str">
        <f>UPPER(PROPER(RawSalesTable[[#This Row],[Customer_ID]]))</f>
        <v>C0112</v>
      </c>
      <c r="S28" s="8" t="str">
        <f>TRIM(LEFT(RawSalesTable[[#This Row],[Customer_Info]],FIND(",",RawSalesTable[[#This Row],[Customer_Info]]) -1))</f>
        <v>Ava Bennett</v>
      </c>
      <c r="T28" s="8" t="str">
        <f>TRIM(MID(RawSalesTable[[#This Row],[Customer_Info]],FIND(",",RawSalesTable[[#This Row],[Customer_Info]])+1,FIND(",",RawSalesTable[[#This Row],[Customer_Info]],FIND(",",RawSalesTable[[#This Row],[Customer_Info]])+1)-FIND(",",RawSalesTable[[#This Row],[Customer_Info]])-1))</f>
        <v>Halifax</v>
      </c>
      <c r="U28" s="8" t="str">
        <f>TRIM(RIGHT(RawSalesTable[[#This Row],[Customer_Info]], LEN(RawSalesTable[[#This Row],[Customer_Info]])-FIND(",",RawSalesTable[[#This Row],[Customer_Info]],FIND(",",RawSalesTable[[#This Row],[Customer_Info]])+1)))</f>
        <v>Consumer</v>
      </c>
      <c r="V28" s="8" t="str">
        <f>VLOOKUP(RawSalesTable[[#This Row],[Product_ID]],ProductsTable[],2,FALSE)</f>
        <v>Notebook</v>
      </c>
      <c r="W28" s="8" t="str">
        <f>VLOOKUP(RawSalesTable[[#This Row],[Product_ID]],ProductsTable[],3,FALSE)</f>
        <v>Office</v>
      </c>
      <c r="X28" s="8">
        <f>VLOOKUP(RawSalesTable[[#This Row],[Product_ID]],ProductsTable[],5,FALSE)</f>
        <v>176.13</v>
      </c>
      <c r="Y28" s="8">
        <f>RawSalesTable[[#This Row],[Quantity]]*RawSalesTable[[#This Row],[Unit_Price]]</f>
        <v>1225.92</v>
      </c>
      <c r="Z28" s="8">
        <f>RawSalesTable[[#This Row],[Gross_Sales]]*RawSalesTable[[#This Row],[Discount_Pct]]</f>
        <v>122.59200000000001</v>
      </c>
      <c r="AA28" s="8">
        <f>RawSalesTable[[#This Row],[Gross_Sales]]-RawSalesTable[[#This Row],[Discount_Amount]]</f>
        <v>1103.328</v>
      </c>
      <c r="AB28" s="8">
        <f>RawSalesTable[[#This Row],[Unit_Cost]]*RawSalesTable[[#This Row],[Quantity]]</f>
        <v>704.52</v>
      </c>
      <c r="AC28" s="8">
        <f>RawSalesTable[[#This Row],[Net_Sales]]-RawSalesTable[[#This Row],[Total_Cost]]</f>
        <v>398.80799999999999</v>
      </c>
      <c r="AD28" s="9">
        <f>RawSalesTable[[#This Row],[Profit]]/RawSalesTable[[#This Row],[Net_Sales]]</f>
        <v>0.36145914904724613</v>
      </c>
      <c r="AE28" s="8">
        <f>IF(RawSalesTable[[#This Row],[Return_Status]]="Yes",1,0)</f>
        <v>0</v>
      </c>
      <c r="AF28" s="8">
        <f>YEAR(RawSalesTable[[#This Row],[Order_Date]])</f>
        <v>2025</v>
      </c>
      <c r="AG28" s="8">
        <f>MONTH(RawSalesTable[[#This Row],[Order_Date]])</f>
        <v>6</v>
      </c>
      <c r="AH28" s="8" t="str">
        <f>TEXT(RawSalesTable[[#This Row],[Order_Date]],"mmmm")</f>
        <v>juin</v>
      </c>
      <c r="AI28" s="8" t="str">
        <f>IF(RawSalesTable[[#This Row],[Month_Number]]&lt;=3,"Q1",IF(RawSalesTable[[#This Row],[Month_Number]]&lt;=6,"Q2",IF(RawSalesTable[[#This Row],[Month_Number]]&lt;=9,"Q3","Q4")))</f>
        <v>Q2</v>
      </c>
      <c r="AJ28" s="13">
        <f>DATE(YEAR(RawSalesTable[[#This Row],[Order_Date]]),MONTH(RawSalesTable[[#This Row],[Order_Date]]),1)</f>
        <v>45809</v>
      </c>
      <c r="AK28" s="8" t="str">
        <f>VLOOKUP(RawSalesTable[[#This Row],[Customer_ID_clean]],CustomersTable[],4,FALSE)</f>
        <v>Nova Scotia</v>
      </c>
    </row>
    <row r="29" spans="1:37">
      <c r="A29" t="s">
        <v>159</v>
      </c>
      <c r="B29" s="3">
        <v>45834</v>
      </c>
      <c r="C29" t="s">
        <v>160</v>
      </c>
      <c r="D29" t="s">
        <v>120</v>
      </c>
      <c r="E29" t="s">
        <v>161</v>
      </c>
      <c r="F29" t="s">
        <v>116</v>
      </c>
      <c r="G29" t="s">
        <v>96</v>
      </c>
      <c r="H29" t="s">
        <v>105</v>
      </c>
      <c r="I29">
        <v>1</v>
      </c>
      <c r="J29" s="2">
        <v>361.37</v>
      </c>
      <c r="K29" s="4">
        <v>0</v>
      </c>
      <c r="L29" t="s">
        <v>154</v>
      </c>
      <c r="M29">
        <v>3</v>
      </c>
      <c r="N29" t="s">
        <v>147</v>
      </c>
      <c r="O29" t="str">
        <f>SUBSTITUTE(PROPER(TRIM(RawSalesTable[[#This Row],[Channel_Raw]])), "Market Place", "Marketplace")</f>
        <v>Marketplace</v>
      </c>
      <c r="P29" t="str">
        <f>TRIM(RawSalesTable[[#This Row],[Store_Raw]])</f>
        <v>Toronto Downtown</v>
      </c>
      <c r="Q29" t="str">
        <f>IF(TRIM(RawSalesTable[[#This Row],[Payment_Method_Raw]])="","Non renseigné",SUBSTITUTE(TRIM(RawSalesTable[[#This Row],[Payment_Method_Raw]]),"CC","Credit Card"))</f>
        <v>Gift Card</v>
      </c>
      <c r="R29" s="8" t="str">
        <f>UPPER(PROPER(RawSalesTable[[#This Row],[Customer_ID]]))</f>
        <v>C0073</v>
      </c>
      <c r="S29" s="8" t="str">
        <f>TRIM(LEFT(RawSalesTable[[#This Row],[Customer_Info]],FIND(",",RawSalesTable[[#This Row],[Customer_Info]]) -1))</f>
        <v>Olivia Singh</v>
      </c>
      <c r="T29" s="8" t="str">
        <f>TRIM(MID(RawSalesTable[[#This Row],[Customer_Info]],FIND(",",RawSalesTable[[#This Row],[Customer_Info]])+1,FIND(",",RawSalesTable[[#This Row],[Customer_Info]],FIND(",",RawSalesTable[[#This Row],[Customer_Info]])+1)-FIND(",",RawSalesTable[[#This Row],[Customer_Info]])-1))</f>
        <v>Mississauga</v>
      </c>
      <c r="U29" s="8" t="str">
        <f>TRIM(RIGHT(RawSalesTable[[#This Row],[Customer_Info]], LEN(RawSalesTable[[#This Row],[Customer_Info]])-FIND(",",RawSalesTable[[#This Row],[Customer_Info]],FIND(",",RawSalesTable[[#This Row],[Customer_Info]])+1)))</f>
        <v>Consumer</v>
      </c>
      <c r="V29" s="8" t="str">
        <f>VLOOKUP(RawSalesTable[[#This Row],[Product_ID]],ProductsTable[],2,FALSE)</f>
        <v>Desk Organizer</v>
      </c>
      <c r="W29" s="8" t="str">
        <f>VLOOKUP(RawSalesTable[[#This Row],[Product_ID]],ProductsTable[],3,FALSE)</f>
        <v>Office</v>
      </c>
      <c r="X29" s="8">
        <f>VLOOKUP(RawSalesTable[[#This Row],[Product_ID]],ProductsTable[],5,FALSE)</f>
        <v>235.76</v>
      </c>
      <c r="Y29" s="8">
        <f>RawSalesTable[[#This Row],[Quantity]]*RawSalesTable[[#This Row],[Unit_Price]]</f>
        <v>361.37</v>
      </c>
      <c r="Z29" s="8">
        <f>RawSalesTable[[#This Row],[Gross_Sales]]*RawSalesTable[[#This Row],[Discount_Pct]]</f>
        <v>0</v>
      </c>
      <c r="AA29" s="8">
        <f>RawSalesTable[[#This Row],[Gross_Sales]]-RawSalesTable[[#This Row],[Discount_Amount]]</f>
        <v>361.37</v>
      </c>
      <c r="AB29" s="8">
        <f>RawSalesTable[[#This Row],[Unit_Cost]]*RawSalesTable[[#This Row],[Quantity]]</f>
        <v>235.76</v>
      </c>
      <c r="AC29" s="8">
        <f>RawSalesTable[[#This Row],[Net_Sales]]-RawSalesTable[[#This Row],[Total_Cost]]</f>
        <v>125.61000000000001</v>
      </c>
      <c r="AD29" s="9">
        <f>RawSalesTable[[#This Row],[Profit]]/RawSalesTable[[#This Row],[Net_Sales]]</f>
        <v>0.34759387884993226</v>
      </c>
      <c r="AE29" s="8">
        <f>IF(RawSalesTable[[#This Row],[Return_Status]]="Yes",1,0)</f>
        <v>1</v>
      </c>
      <c r="AF29" s="8">
        <f>YEAR(RawSalesTable[[#This Row],[Order_Date]])</f>
        <v>2025</v>
      </c>
      <c r="AG29" s="8">
        <f>MONTH(RawSalesTable[[#This Row],[Order_Date]])</f>
        <v>6</v>
      </c>
      <c r="AH29" s="8" t="str">
        <f>TEXT(RawSalesTable[[#This Row],[Order_Date]],"mmmm")</f>
        <v>juin</v>
      </c>
      <c r="AI29" s="8" t="str">
        <f>IF(RawSalesTable[[#This Row],[Month_Number]]&lt;=3,"Q1",IF(RawSalesTable[[#This Row],[Month_Number]]&lt;=6,"Q2",IF(RawSalesTable[[#This Row],[Month_Number]]&lt;=9,"Q3","Q4")))</f>
        <v>Q2</v>
      </c>
      <c r="AJ29" s="13">
        <f>DATE(YEAR(RawSalesTable[[#This Row],[Order_Date]]),MONTH(RawSalesTable[[#This Row],[Order_Date]]),1)</f>
        <v>45809</v>
      </c>
      <c r="AK29" s="8" t="str">
        <f>VLOOKUP(RawSalesTable[[#This Row],[Customer_ID_clean]],CustomersTable[],4,FALSE)</f>
        <v>Ontario</v>
      </c>
    </row>
    <row r="30" spans="1:37">
      <c r="A30" t="s">
        <v>162</v>
      </c>
      <c r="B30" s="3">
        <v>45676</v>
      </c>
      <c r="C30" t="s">
        <v>142</v>
      </c>
      <c r="D30" t="s">
        <v>139</v>
      </c>
      <c r="E30" t="s">
        <v>144</v>
      </c>
      <c r="F30" t="s">
        <v>103</v>
      </c>
      <c r="G30" t="s">
        <v>104</v>
      </c>
      <c r="H30" t="s">
        <v>89</v>
      </c>
      <c r="I30">
        <v>1</v>
      </c>
      <c r="J30" s="2">
        <v>77</v>
      </c>
      <c r="K30" s="4">
        <v>0.15</v>
      </c>
      <c r="L30" t="s">
        <v>90</v>
      </c>
      <c r="M30">
        <v>5</v>
      </c>
      <c r="N30" t="s">
        <v>91</v>
      </c>
      <c r="O30" t="str">
        <f>SUBSTITUTE(PROPER(TRIM(RawSalesTable[[#This Row],[Channel_Raw]])), "Market Place", "Marketplace")</f>
        <v>Online</v>
      </c>
      <c r="P30" t="str">
        <f>TRIM(RawSalesTable[[#This Row],[Store_Raw]])</f>
        <v>Vancouver West</v>
      </c>
      <c r="Q30" t="str">
        <f>IF(TRIM(RawSalesTable[[#This Row],[Payment_Method_Raw]])="","Non renseigné",SUBSTITUTE(TRIM(RawSalesTable[[#This Row],[Payment_Method_Raw]]),"CC","Credit Card"))</f>
        <v>PayPal</v>
      </c>
      <c r="R30" s="8" t="str">
        <f>UPPER(PROPER(RawSalesTable[[#This Row],[Customer_ID]]))</f>
        <v>C0002</v>
      </c>
      <c r="S30" s="8" t="str">
        <f>TRIM(LEFT(RawSalesTable[[#This Row],[Customer_Info]],FIND(",",RawSalesTable[[#This Row],[Customer_Info]]) -1))</f>
        <v>Ryan Johnson</v>
      </c>
      <c r="T30" s="8" t="str">
        <f>TRIM(MID(RawSalesTable[[#This Row],[Customer_Info]],FIND(",",RawSalesTable[[#This Row],[Customer_Info]])+1,FIND(",",RawSalesTable[[#This Row],[Customer_Info]],FIND(",",RawSalesTable[[#This Row],[Customer_Info]])+1)-FIND(",",RawSalesTable[[#This Row],[Customer_Info]])-1))</f>
        <v>Montreal</v>
      </c>
      <c r="U30" s="8" t="str">
        <f>TRIM(RIGHT(RawSalesTable[[#This Row],[Customer_Info]], LEN(RawSalesTable[[#This Row],[Customer_Info]])-FIND(",",RawSalesTable[[#This Row],[Customer_Info]],FIND(",",RawSalesTable[[#This Row],[Customer_Info]])+1)))</f>
        <v>Small Business</v>
      </c>
      <c r="V30" s="8" t="str">
        <f>VLOOKUP(RawSalesTable[[#This Row],[Product_ID]],ProductsTable[],2,FALSE)</f>
        <v>Standing Desk</v>
      </c>
      <c r="W30" s="8" t="str">
        <f>VLOOKUP(RawSalesTable[[#This Row],[Product_ID]],ProductsTable[],3,FALSE)</f>
        <v>Office</v>
      </c>
      <c r="X30" s="8">
        <f>VLOOKUP(RawSalesTable[[#This Row],[Product_ID]],ProductsTable[],5,FALSE)</f>
        <v>45.17</v>
      </c>
      <c r="Y30" s="8">
        <f>RawSalesTable[[#This Row],[Quantity]]*RawSalesTable[[#This Row],[Unit_Price]]</f>
        <v>77</v>
      </c>
      <c r="Z30" s="8">
        <f>RawSalesTable[[#This Row],[Gross_Sales]]*RawSalesTable[[#This Row],[Discount_Pct]]</f>
        <v>11.549999999999999</v>
      </c>
      <c r="AA30" s="8">
        <f>RawSalesTable[[#This Row],[Gross_Sales]]-RawSalesTable[[#This Row],[Discount_Amount]]</f>
        <v>65.45</v>
      </c>
      <c r="AB30" s="8">
        <f>RawSalesTable[[#This Row],[Unit_Cost]]*RawSalesTable[[#This Row],[Quantity]]</f>
        <v>45.17</v>
      </c>
      <c r="AC30" s="8">
        <f>RawSalesTable[[#This Row],[Net_Sales]]-RawSalesTable[[#This Row],[Total_Cost]]</f>
        <v>20.28</v>
      </c>
      <c r="AD30" s="9">
        <f>RawSalesTable[[#This Row],[Profit]]/RawSalesTable[[#This Row],[Net_Sales]]</f>
        <v>0.3098548510313216</v>
      </c>
      <c r="AE30" s="8">
        <f>IF(RawSalesTable[[#This Row],[Return_Status]]="Yes",1,0)</f>
        <v>0</v>
      </c>
      <c r="AF30" s="8">
        <f>YEAR(RawSalesTable[[#This Row],[Order_Date]])</f>
        <v>2025</v>
      </c>
      <c r="AG30" s="8">
        <f>MONTH(RawSalesTable[[#This Row],[Order_Date]])</f>
        <v>1</v>
      </c>
      <c r="AH30" s="8" t="str">
        <f>TEXT(RawSalesTable[[#This Row],[Order_Date]],"mmmm")</f>
        <v>janvier</v>
      </c>
      <c r="AI30" s="8" t="str">
        <f>IF(RawSalesTable[[#This Row],[Month_Number]]&lt;=3,"Q1",IF(RawSalesTable[[#This Row],[Month_Number]]&lt;=6,"Q2",IF(RawSalesTable[[#This Row],[Month_Number]]&lt;=9,"Q3","Q4")))</f>
        <v>Q1</v>
      </c>
      <c r="AJ30" s="13">
        <f>DATE(YEAR(RawSalesTable[[#This Row],[Order_Date]]),MONTH(RawSalesTable[[#This Row],[Order_Date]]),1)</f>
        <v>45658</v>
      </c>
      <c r="AK30" s="8" t="str">
        <f>VLOOKUP(RawSalesTable[[#This Row],[Customer_ID_clean]],CustomersTable[],4,FALSE)</f>
        <v>Quebec</v>
      </c>
    </row>
    <row r="31" spans="1:37">
      <c r="A31" t="s">
        <v>163</v>
      </c>
      <c r="B31" s="3">
        <v>45683</v>
      </c>
      <c r="C31" t="s">
        <v>164</v>
      </c>
      <c r="D31" t="s">
        <v>165</v>
      </c>
      <c r="E31" t="s">
        <v>166</v>
      </c>
      <c r="F31" t="s">
        <v>116</v>
      </c>
      <c r="G31" t="s">
        <v>122</v>
      </c>
      <c r="H31" t="s">
        <v>167</v>
      </c>
      <c r="I31">
        <v>2</v>
      </c>
      <c r="J31" s="2">
        <v>107.26</v>
      </c>
      <c r="K31" s="4">
        <v>0</v>
      </c>
      <c r="L31" t="s">
        <v>90</v>
      </c>
      <c r="M31">
        <v>8</v>
      </c>
      <c r="N31" t="s">
        <v>91</v>
      </c>
      <c r="O31" t="str">
        <f>SUBSTITUTE(PROPER(TRIM(RawSalesTable[[#This Row],[Channel_Raw]])), "Market Place", "Marketplace")</f>
        <v>Marketplace</v>
      </c>
      <c r="P31" t="str">
        <f>TRIM(RawSalesTable[[#This Row],[Store_Raw]])</f>
        <v>Toronto Downtown</v>
      </c>
      <c r="Q31" t="str">
        <f>IF(TRIM(RawSalesTable[[#This Row],[Payment_Method_Raw]])="","Non renseigné",SUBSTITUTE(TRIM(RawSalesTable[[#This Row],[Payment_Method_Raw]]),"CC","Credit Card"))</f>
        <v>PayPal</v>
      </c>
      <c r="R31" s="8" t="str">
        <f>UPPER(PROPER(RawSalesTable[[#This Row],[Customer_ID]]))</f>
        <v>C0032</v>
      </c>
      <c r="S31" s="8" t="str">
        <f>TRIM(LEFT(RawSalesTable[[#This Row],[Customer_Info]],FIND(",",RawSalesTable[[#This Row],[Customer_Info]]) -1))</f>
        <v>Nora Bennett</v>
      </c>
      <c r="T31" s="8" t="str">
        <f>TRIM(MID(RawSalesTable[[#This Row],[Customer_Info]],FIND(",",RawSalesTable[[#This Row],[Customer_Info]])+1,FIND(",",RawSalesTable[[#This Row],[Customer_Info]],FIND(",",RawSalesTable[[#This Row],[Customer_Info]])+1)-FIND(",",RawSalesTable[[#This Row],[Customer_Info]])-1))</f>
        <v>Surrey</v>
      </c>
      <c r="U31" s="8" t="str">
        <f>TRIM(RIGHT(RawSalesTable[[#This Row],[Customer_Info]], LEN(RawSalesTable[[#This Row],[Customer_Info]])-FIND(",",RawSalesTable[[#This Row],[Customer_Info]],FIND(",",RawSalesTable[[#This Row],[Customer_Info]])+1)))</f>
        <v>Consumer</v>
      </c>
      <c r="V31" s="8" t="str">
        <f>VLOOKUP(RawSalesTable[[#This Row],[Product_ID]],ProductsTable[],2,FALSE)</f>
        <v>Food Scale</v>
      </c>
      <c r="W31" s="8" t="str">
        <f>VLOOKUP(RawSalesTable[[#This Row],[Product_ID]],ProductsTable[],3,FALSE)</f>
        <v>Home</v>
      </c>
      <c r="X31" s="8">
        <f>VLOOKUP(RawSalesTable[[#This Row],[Product_ID]],ProductsTable[],5,FALSE)</f>
        <v>46.07</v>
      </c>
      <c r="Y31" s="8">
        <f>RawSalesTable[[#This Row],[Quantity]]*RawSalesTable[[#This Row],[Unit_Price]]</f>
        <v>214.52</v>
      </c>
      <c r="Z31" s="8">
        <f>RawSalesTable[[#This Row],[Gross_Sales]]*RawSalesTable[[#This Row],[Discount_Pct]]</f>
        <v>0</v>
      </c>
      <c r="AA31" s="8">
        <f>RawSalesTable[[#This Row],[Gross_Sales]]-RawSalesTable[[#This Row],[Discount_Amount]]</f>
        <v>214.52</v>
      </c>
      <c r="AB31" s="8">
        <f>RawSalesTable[[#This Row],[Unit_Cost]]*RawSalesTable[[#This Row],[Quantity]]</f>
        <v>92.14</v>
      </c>
      <c r="AC31" s="8">
        <f>RawSalesTable[[#This Row],[Net_Sales]]-RawSalesTable[[#This Row],[Total_Cost]]</f>
        <v>122.38000000000001</v>
      </c>
      <c r="AD31" s="9">
        <f>RawSalesTable[[#This Row],[Profit]]/RawSalesTable[[#This Row],[Net_Sales]]</f>
        <v>0.57048293865373856</v>
      </c>
      <c r="AE31" s="8">
        <f>IF(RawSalesTable[[#This Row],[Return_Status]]="Yes",1,0)</f>
        <v>0</v>
      </c>
      <c r="AF31" s="8">
        <f>YEAR(RawSalesTable[[#This Row],[Order_Date]])</f>
        <v>2025</v>
      </c>
      <c r="AG31" s="8">
        <f>MONTH(RawSalesTable[[#This Row],[Order_Date]])</f>
        <v>1</v>
      </c>
      <c r="AH31" s="8" t="str">
        <f>TEXT(RawSalesTable[[#This Row],[Order_Date]],"mmmm")</f>
        <v>janvier</v>
      </c>
      <c r="AI31" s="8" t="str">
        <f>IF(RawSalesTable[[#This Row],[Month_Number]]&lt;=3,"Q1",IF(RawSalesTable[[#This Row],[Month_Number]]&lt;=6,"Q2",IF(RawSalesTable[[#This Row],[Month_Number]]&lt;=9,"Q3","Q4")))</f>
        <v>Q1</v>
      </c>
      <c r="AJ31" s="13">
        <f>DATE(YEAR(RawSalesTable[[#This Row],[Order_Date]]),MONTH(RawSalesTable[[#This Row],[Order_Date]]),1)</f>
        <v>45658</v>
      </c>
      <c r="AK31" s="8" t="str">
        <f>VLOOKUP(RawSalesTable[[#This Row],[Customer_ID_clean]],CustomersTable[],4,FALSE)</f>
        <v>British Columbia</v>
      </c>
    </row>
    <row r="32" spans="1:37">
      <c r="A32" t="s">
        <v>168</v>
      </c>
      <c r="B32" s="3">
        <v>45878</v>
      </c>
      <c r="C32" t="s">
        <v>169</v>
      </c>
      <c r="D32" t="s">
        <v>133</v>
      </c>
      <c r="E32" t="s">
        <v>170</v>
      </c>
      <c r="F32" t="s">
        <v>111</v>
      </c>
      <c r="G32" t="s">
        <v>171</v>
      </c>
      <c r="H32" t="s">
        <v>89</v>
      </c>
      <c r="I32">
        <v>4</v>
      </c>
      <c r="J32" s="2">
        <v>357.37</v>
      </c>
      <c r="K32" s="4">
        <v>0.25</v>
      </c>
      <c r="L32" t="s">
        <v>106</v>
      </c>
      <c r="M32">
        <v>9</v>
      </c>
      <c r="N32" t="s">
        <v>91</v>
      </c>
      <c r="O32" t="str">
        <f>SUBSTITUTE(PROPER(TRIM(RawSalesTable[[#This Row],[Channel_Raw]])), "Market Place", "Marketplace")</f>
        <v>Online</v>
      </c>
      <c r="P32" t="str">
        <f>TRIM(RawSalesTable[[#This Row],[Store_Raw]])</f>
        <v>Montreal Central</v>
      </c>
      <c r="Q32" t="str">
        <f>IF(TRIM(RawSalesTable[[#This Row],[Payment_Method_Raw]])="","Non renseigné",SUBSTITUTE(TRIM(RawSalesTable[[#This Row],[Payment_Method_Raw]]),"CC","Credit Card"))</f>
        <v>Credit Card</v>
      </c>
      <c r="R32" s="8" t="str">
        <f>UPPER(PROPER(RawSalesTable[[#This Row],[Customer_ID]]))</f>
        <v>C0064</v>
      </c>
      <c r="S32" s="8" t="str">
        <f>TRIM(LEFT(RawSalesTable[[#This Row],[Customer_Info]],FIND(",",RawSalesTable[[#This Row],[Customer_Info]]) -1))</f>
        <v>Amine Khan</v>
      </c>
      <c r="T32" s="8" t="str">
        <f>TRIM(MID(RawSalesTable[[#This Row],[Customer_Info]],FIND(",",RawSalesTable[[#This Row],[Customer_Info]])+1,FIND(",",RawSalesTable[[#This Row],[Customer_Info]],FIND(",",RawSalesTable[[#This Row],[Customer_Info]])+1)-FIND(",",RawSalesTable[[#This Row],[Customer_Info]])-1))</f>
        <v>Edmonton</v>
      </c>
      <c r="U32" s="8" t="str">
        <f>TRIM(RIGHT(RawSalesTable[[#This Row],[Customer_Info]], LEN(RawSalesTable[[#This Row],[Customer_Info]])-FIND(",",RawSalesTable[[#This Row],[Customer_Info]],FIND(",",RawSalesTable[[#This Row],[Customer_Info]])+1)))</f>
        <v>Consumer</v>
      </c>
      <c r="V32" s="8" t="str">
        <f>VLOOKUP(RawSalesTable[[#This Row],[Product_ID]],ProductsTable[],2,FALSE)</f>
        <v>Travel Adapter</v>
      </c>
      <c r="W32" s="8" t="str">
        <f>VLOOKUP(RawSalesTable[[#This Row],[Product_ID]],ProductsTable[],3,FALSE)</f>
        <v>Accessories</v>
      </c>
      <c r="X32" s="8">
        <f>VLOOKUP(RawSalesTable[[#This Row],[Product_ID]],ProductsTable[],5,FALSE)</f>
        <v>229.86</v>
      </c>
      <c r="Y32" s="8">
        <f>RawSalesTable[[#This Row],[Quantity]]*RawSalesTable[[#This Row],[Unit_Price]]</f>
        <v>1429.48</v>
      </c>
      <c r="Z32" s="8">
        <f>RawSalesTable[[#This Row],[Gross_Sales]]*RawSalesTable[[#This Row],[Discount_Pct]]</f>
        <v>357.37</v>
      </c>
      <c r="AA32" s="8">
        <f>RawSalesTable[[#This Row],[Gross_Sales]]-RawSalesTable[[#This Row],[Discount_Amount]]</f>
        <v>1072.1100000000001</v>
      </c>
      <c r="AB32" s="8">
        <f>RawSalesTable[[#This Row],[Unit_Cost]]*RawSalesTable[[#This Row],[Quantity]]</f>
        <v>919.44</v>
      </c>
      <c r="AC32" s="8">
        <f>RawSalesTable[[#This Row],[Net_Sales]]-RawSalesTable[[#This Row],[Total_Cost]]</f>
        <v>152.67000000000007</v>
      </c>
      <c r="AD32" s="9">
        <f>RawSalesTable[[#This Row],[Profit]]/RawSalesTable[[#This Row],[Net_Sales]]</f>
        <v>0.14240143268880998</v>
      </c>
      <c r="AE32" s="8">
        <f>IF(RawSalesTable[[#This Row],[Return_Status]]="Yes",1,0)</f>
        <v>0</v>
      </c>
      <c r="AF32" s="8">
        <f>YEAR(RawSalesTable[[#This Row],[Order_Date]])</f>
        <v>2025</v>
      </c>
      <c r="AG32" s="8">
        <f>MONTH(RawSalesTable[[#This Row],[Order_Date]])</f>
        <v>8</v>
      </c>
      <c r="AH32" s="8" t="str">
        <f>TEXT(RawSalesTable[[#This Row],[Order_Date]],"mmmm")</f>
        <v>août</v>
      </c>
      <c r="AI32" s="8" t="str">
        <f>IF(RawSalesTable[[#This Row],[Month_Number]]&lt;=3,"Q1",IF(RawSalesTable[[#This Row],[Month_Number]]&lt;=6,"Q2",IF(RawSalesTable[[#This Row],[Month_Number]]&lt;=9,"Q3","Q4")))</f>
        <v>Q3</v>
      </c>
      <c r="AJ32" s="13">
        <f>DATE(YEAR(RawSalesTable[[#This Row],[Order_Date]]),MONTH(RawSalesTable[[#This Row],[Order_Date]]),1)</f>
        <v>45870</v>
      </c>
      <c r="AK32" s="8" t="str">
        <f>VLOOKUP(RawSalesTable[[#This Row],[Customer_ID_clean]],CustomersTable[],4,FALSE)</f>
        <v>Alberta</v>
      </c>
    </row>
    <row r="33" spans="1:37">
      <c r="A33" t="s">
        <v>172</v>
      </c>
      <c r="B33" s="3">
        <v>45973</v>
      </c>
      <c r="C33" t="s">
        <v>173</v>
      </c>
      <c r="D33" t="s">
        <v>174</v>
      </c>
      <c r="E33" t="s">
        <v>175</v>
      </c>
      <c r="F33" t="s">
        <v>103</v>
      </c>
      <c r="G33" t="s">
        <v>96</v>
      </c>
      <c r="H33" t="s">
        <v>97</v>
      </c>
      <c r="I33">
        <v>2</v>
      </c>
      <c r="J33" s="2">
        <v>39.450000000000003</v>
      </c>
      <c r="K33" s="4">
        <v>0.05</v>
      </c>
      <c r="L33" t="s">
        <v>98</v>
      </c>
      <c r="M33">
        <v>2</v>
      </c>
      <c r="N33" t="s">
        <v>147</v>
      </c>
      <c r="O33" t="str">
        <f>SUBSTITUTE(PROPER(TRIM(RawSalesTable[[#This Row],[Channel_Raw]])), "Market Place", "Marketplace")</f>
        <v>Retail Store</v>
      </c>
      <c r="P33" t="str">
        <f>TRIM(RawSalesTable[[#This Row],[Store_Raw]])</f>
        <v>Vancouver West</v>
      </c>
      <c r="Q33" t="str">
        <f>IF(TRIM(RawSalesTable[[#This Row],[Payment_Method_Raw]])="","Non renseigné",SUBSTITUTE(TRIM(RawSalesTable[[#This Row],[Payment_Method_Raw]]),"CC","Credit Card"))</f>
        <v>Debit Card</v>
      </c>
      <c r="R33" s="8" t="str">
        <f>UPPER(PROPER(RawSalesTable[[#This Row],[Customer_ID]]))</f>
        <v>C0077</v>
      </c>
      <c r="S33" s="8" t="str">
        <f>TRIM(LEFT(RawSalesTable[[#This Row],[Customer_Info]],FIND(",",RawSalesTable[[#This Row],[Customer_Info]]) -1))</f>
        <v>Amine Taylor</v>
      </c>
      <c r="T33" s="8" t="str">
        <f>TRIM(MID(RawSalesTable[[#This Row],[Customer_Info]],FIND(",",RawSalesTable[[#This Row],[Customer_Info]])+1,FIND(",",RawSalesTable[[#This Row],[Customer_Info]],FIND(",",RawSalesTable[[#This Row],[Customer_Info]])+1)-FIND(",",RawSalesTable[[#This Row],[Customer_Info]])-1))</f>
        <v>Surrey</v>
      </c>
      <c r="U33" s="8" t="str">
        <f>TRIM(RIGHT(RawSalesTable[[#This Row],[Customer_Info]], LEN(RawSalesTable[[#This Row],[Customer_Info]])-FIND(",",RawSalesTable[[#This Row],[Customer_Info]],FIND(",",RawSalesTable[[#This Row],[Customer_Info]])+1)))</f>
        <v>Small Business</v>
      </c>
      <c r="V33" s="8" t="str">
        <f>VLOOKUP(RawSalesTable[[#This Row],[Product_ID]],ProductsTable[],2,FALSE)</f>
        <v>Keyboard</v>
      </c>
      <c r="W33" s="8" t="str">
        <f>VLOOKUP(RawSalesTable[[#This Row],[Product_ID]],ProductsTable[],3,FALSE)</f>
        <v>Electronics</v>
      </c>
      <c r="X33" s="8">
        <f>VLOOKUP(RawSalesTable[[#This Row],[Product_ID]],ProductsTable[],5,FALSE)</f>
        <v>23.5</v>
      </c>
      <c r="Y33" s="8">
        <f>RawSalesTable[[#This Row],[Quantity]]*RawSalesTable[[#This Row],[Unit_Price]]</f>
        <v>78.900000000000006</v>
      </c>
      <c r="Z33" s="8">
        <f>RawSalesTable[[#This Row],[Gross_Sales]]*RawSalesTable[[#This Row],[Discount_Pct]]</f>
        <v>3.9450000000000003</v>
      </c>
      <c r="AA33" s="8">
        <f>RawSalesTable[[#This Row],[Gross_Sales]]-RawSalesTable[[#This Row],[Discount_Amount]]</f>
        <v>74.955000000000013</v>
      </c>
      <c r="AB33" s="8">
        <f>RawSalesTable[[#This Row],[Unit_Cost]]*RawSalesTable[[#This Row],[Quantity]]</f>
        <v>47</v>
      </c>
      <c r="AC33" s="8">
        <f>RawSalesTable[[#This Row],[Net_Sales]]-RawSalesTable[[#This Row],[Total_Cost]]</f>
        <v>27.955000000000013</v>
      </c>
      <c r="AD33" s="9">
        <f>RawSalesTable[[#This Row],[Profit]]/RawSalesTable[[#This Row],[Net_Sales]]</f>
        <v>0.37295710759789219</v>
      </c>
      <c r="AE33" s="8">
        <f>IF(RawSalesTable[[#This Row],[Return_Status]]="Yes",1,0)</f>
        <v>1</v>
      </c>
      <c r="AF33" s="8">
        <f>YEAR(RawSalesTable[[#This Row],[Order_Date]])</f>
        <v>2025</v>
      </c>
      <c r="AG33" s="8">
        <f>MONTH(RawSalesTable[[#This Row],[Order_Date]])</f>
        <v>11</v>
      </c>
      <c r="AH33" s="8" t="str">
        <f>TEXT(RawSalesTable[[#This Row],[Order_Date]],"mmmm")</f>
        <v>novembre</v>
      </c>
      <c r="AI33" s="8" t="str">
        <f>IF(RawSalesTable[[#This Row],[Month_Number]]&lt;=3,"Q1",IF(RawSalesTable[[#This Row],[Month_Number]]&lt;=6,"Q2",IF(RawSalesTable[[#This Row],[Month_Number]]&lt;=9,"Q3","Q4")))</f>
        <v>Q4</v>
      </c>
      <c r="AJ33" s="13">
        <f>DATE(YEAR(RawSalesTable[[#This Row],[Order_Date]]),MONTH(RawSalesTable[[#This Row],[Order_Date]]),1)</f>
        <v>45962</v>
      </c>
      <c r="AK33" s="8" t="str">
        <f>VLOOKUP(RawSalesTable[[#This Row],[Customer_ID_clean]],CustomersTable[],4,FALSE)</f>
        <v>British Columbia</v>
      </c>
    </row>
    <row r="34" spans="1:37">
      <c r="A34" t="s">
        <v>176</v>
      </c>
      <c r="B34" s="3">
        <v>45658</v>
      </c>
      <c r="C34" t="s">
        <v>177</v>
      </c>
      <c r="D34" t="s">
        <v>120</v>
      </c>
      <c r="E34" t="s">
        <v>178</v>
      </c>
      <c r="F34" t="s">
        <v>87</v>
      </c>
      <c r="G34" t="s">
        <v>171</v>
      </c>
      <c r="H34" t="s">
        <v>97</v>
      </c>
      <c r="I34">
        <v>2</v>
      </c>
      <c r="J34" s="2">
        <v>373.3</v>
      </c>
      <c r="K34" s="4">
        <v>0.05</v>
      </c>
      <c r="L34" t="s">
        <v>106</v>
      </c>
      <c r="M34">
        <v>1</v>
      </c>
      <c r="N34" t="s">
        <v>147</v>
      </c>
      <c r="O34" t="str">
        <f>SUBSTITUTE(PROPER(TRIM(RawSalesTable[[#This Row],[Channel_Raw]])), "Market Place", "Marketplace")</f>
        <v>Retail Store</v>
      </c>
      <c r="P34" t="str">
        <f>TRIM(RawSalesTable[[#This Row],[Store_Raw]])</f>
        <v>Online Fulfillment</v>
      </c>
      <c r="Q34" t="str">
        <f>IF(TRIM(RawSalesTable[[#This Row],[Payment_Method_Raw]])="","Non renseigné",SUBSTITUTE(TRIM(RawSalesTable[[#This Row],[Payment_Method_Raw]]),"CC","Credit Card"))</f>
        <v>Credit Card</v>
      </c>
      <c r="R34" s="8" t="str">
        <f>UPPER(PROPER(RawSalesTable[[#This Row],[Customer_ID]]))</f>
        <v>C0041</v>
      </c>
      <c r="S34" s="8" t="str">
        <f>TRIM(LEFT(RawSalesTable[[#This Row],[Customer_Info]],FIND(",",RawSalesTable[[#This Row],[Customer_Info]]) -1))</f>
        <v>Amine Chen</v>
      </c>
      <c r="T34" s="8" t="str">
        <f>TRIM(MID(RawSalesTable[[#This Row],[Customer_Info]],FIND(",",RawSalesTable[[#This Row],[Customer_Info]])+1,FIND(",",RawSalesTable[[#This Row],[Customer_Info]],FIND(",",RawSalesTable[[#This Row],[Customer_Info]])+1)-FIND(",",RawSalesTable[[#This Row],[Customer_Info]])-1))</f>
        <v>Halifax</v>
      </c>
      <c r="U34" s="8" t="str">
        <f>TRIM(RIGHT(RawSalesTable[[#This Row],[Customer_Info]], LEN(RawSalesTable[[#This Row],[Customer_Info]])-FIND(",",RawSalesTable[[#This Row],[Customer_Info]],FIND(",",RawSalesTable[[#This Row],[Customer_Info]])+1)))</f>
        <v>Small Business</v>
      </c>
      <c r="V34" s="8" t="str">
        <f>VLOOKUP(RawSalesTable[[#This Row],[Product_ID]],ProductsTable[],2,FALSE)</f>
        <v>Desk Organizer</v>
      </c>
      <c r="W34" s="8" t="str">
        <f>VLOOKUP(RawSalesTable[[#This Row],[Product_ID]],ProductsTable[],3,FALSE)</f>
        <v>Office</v>
      </c>
      <c r="X34" s="8">
        <f>VLOOKUP(RawSalesTable[[#This Row],[Product_ID]],ProductsTable[],5,FALSE)</f>
        <v>235.76</v>
      </c>
      <c r="Y34" s="8">
        <f>RawSalesTable[[#This Row],[Quantity]]*RawSalesTable[[#This Row],[Unit_Price]]</f>
        <v>746.6</v>
      </c>
      <c r="Z34" s="8">
        <f>RawSalesTable[[#This Row],[Gross_Sales]]*RawSalesTable[[#This Row],[Discount_Pct]]</f>
        <v>37.330000000000005</v>
      </c>
      <c r="AA34" s="8">
        <f>RawSalesTable[[#This Row],[Gross_Sales]]-RawSalesTable[[#This Row],[Discount_Amount]]</f>
        <v>709.27</v>
      </c>
      <c r="AB34" s="8">
        <f>RawSalesTable[[#This Row],[Unit_Cost]]*RawSalesTable[[#This Row],[Quantity]]</f>
        <v>471.52</v>
      </c>
      <c r="AC34" s="8">
        <f>RawSalesTable[[#This Row],[Net_Sales]]-RawSalesTable[[#This Row],[Total_Cost]]</f>
        <v>237.75</v>
      </c>
      <c r="AD34" s="9">
        <f>RawSalesTable[[#This Row],[Profit]]/RawSalesTable[[#This Row],[Net_Sales]]</f>
        <v>0.33520380109126285</v>
      </c>
      <c r="AE34" s="8">
        <f>IF(RawSalesTable[[#This Row],[Return_Status]]="Yes",1,0)</f>
        <v>1</v>
      </c>
      <c r="AF34" s="8">
        <f>YEAR(RawSalesTable[[#This Row],[Order_Date]])</f>
        <v>2025</v>
      </c>
      <c r="AG34" s="8">
        <f>MONTH(RawSalesTable[[#This Row],[Order_Date]])</f>
        <v>1</v>
      </c>
      <c r="AH34" s="8" t="str">
        <f>TEXT(RawSalesTable[[#This Row],[Order_Date]],"mmmm")</f>
        <v>janvier</v>
      </c>
      <c r="AI34" s="8" t="str">
        <f>IF(RawSalesTable[[#This Row],[Month_Number]]&lt;=3,"Q1",IF(RawSalesTable[[#This Row],[Month_Number]]&lt;=6,"Q2",IF(RawSalesTable[[#This Row],[Month_Number]]&lt;=9,"Q3","Q4")))</f>
        <v>Q1</v>
      </c>
      <c r="AJ34" s="13">
        <f>DATE(YEAR(RawSalesTable[[#This Row],[Order_Date]]),MONTH(RawSalesTable[[#This Row],[Order_Date]]),1)</f>
        <v>45658</v>
      </c>
      <c r="AK34" s="8" t="str">
        <f>VLOOKUP(RawSalesTable[[#This Row],[Customer_ID_clean]],CustomersTable[],4,FALSE)</f>
        <v>Nova Scotia</v>
      </c>
    </row>
    <row r="35" spans="1:37">
      <c r="A35" t="s">
        <v>179</v>
      </c>
      <c r="B35" s="3">
        <v>45750</v>
      </c>
      <c r="C35" t="s">
        <v>180</v>
      </c>
      <c r="D35" t="s">
        <v>181</v>
      </c>
      <c r="E35" t="s">
        <v>182</v>
      </c>
      <c r="F35" t="s">
        <v>116</v>
      </c>
      <c r="G35" t="s">
        <v>183</v>
      </c>
      <c r="H35" t="s">
        <v>89</v>
      </c>
      <c r="I35">
        <v>1</v>
      </c>
      <c r="J35" s="2">
        <v>339.65</v>
      </c>
      <c r="K35" s="4">
        <v>0</v>
      </c>
      <c r="L35" t="s">
        <v>106</v>
      </c>
      <c r="M35">
        <v>3</v>
      </c>
      <c r="N35" t="s">
        <v>91</v>
      </c>
      <c r="O35" t="str">
        <f>SUBSTITUTE(PROPER(TRIM(RawSalesTable[[#This Row],[Channel_Raw]])), "Market Place", "Marketplace")</f>
        <v>Online</v>
      </c>
      <c r="P35" t="str">
        <f>TRIM(RawSalesTable[[#This Row],[Store_Raw]])</f>
        <v>Toronto Downtown</v>
      </c>
      <c r="Q35" t="str">
        <f>IF(TRIM(RawSalesTable[[#This Row],[Payment_Method_Raw]])="","Non renseigné",SUBSTITUTE(TRIM(RawSalesTable[[#This Row],[Payment_Method_Raw]]),"CC","Credit Card"))</f>
        <v>Credit Card</v>
      </c>
      <c r="R35" s="8" t="str">
        <f>UPPER(PROPER(RawSalesTable[[#This Row],[Customer_ID]]))</f>
        <v>C0085</v>
      </c>
      <c r="S35" s="8" t="str">
        <f>TRIM(LEFT(RawSalesTable[[#This Row],[Customer_Info]],FIND(",",RawSalesTable[[#This Row],[Customer_Info]]) -1))</f>
        <v>Yasmine Clark</v>
      </c>
      <c r="T35" s="8" t="str">
        <f>TRIM(MID(RawSalesTable[[#This Row],[Customer_Info]],FIND(",",RawSalesTable[[#This Row],[Customer_Info]])+1,FIND(",",RawSalesTable[[#This Row],[Customer_Info]],FIND(",",RawSalesTable[[#This Row],[Customer_Info]])+1)-FIND(",",RawSalesTable[[#This Row],[Customer_Info]])-1))</f>
        <v>Calgary</v>
      </c>
      <c r="U35" s="8" t="str">
        <f>TRIM(RIGHT(RawSalesTable[[#This Row],[Customer_Info]], LEN(RawSalesTable[[#This Row],[Customer_Info]])-FIND(",",RawSalesTable[[#This Row],[Customer_Info]],FIND(",",RawSalesTable[[#This Row],[Customer_Info]])+1)))</f>
        <v>Consumer</v>
      </c>
      <c r="V35" s="8" t="str">
        <f>VLOOKUP(RawSalesTable[[#This Row],[Product_ID]],ProductsTable[],2,FALSE)</f>
        <v>Monitor</v>
      </c>
      <c r="W35" s="8" t="str">
        <f>VLOOKUP(RawSalesTable[[#This Row],[Product_ID]],ProductsTable[],3,FALSE)</f>
        <v>Electronics</v>
      </c>
      <c r="X35" s="8">
        <f>VLOOKUP(RawSalesTable[[#This Row],[Product_ID]],ProductsTable[],5,FALSE)</f>
        <v>224.47</v>
      </c>
      <c r="Y35" s="8">
        <f>RawSalesTable[[#This Row],[Quantity]]*RawSalesTable[[#This Row],[Unit_Price]]</f>
        <v>339.65</v>
      </c>
      <c r="Z35" s="8">
        <f>RawSalesTable[[#This Row],[Gross_Sales]]*RawSalesTable[[#This Row],[Discount_Pct]]</f>
        <v>0</v>
      </c>
      <c r="AA35" s="8">
        <f>RawSalesTable[[#This Row],[Gross_Sales]]-RawSalesTable[[#This Row],[Discount_Amount]]</f>
        <v>339.65</v>
      </c>
      <c r="AB35" s="8">
        <f>RawSalesTable[[#This Row],[Unit_Cost]]*RawSalesTable[[#This Row],[Quantity]]</f>
        <v>224.47</v>
      </c>
      <c r="AC35" s="8">
        <f>RawSalesTable[[#This Row],[Net_Sales]]-RawSalesTable[[#This Row],[Total_Cost]]</f>
        <v>115.17999999999998</v>
      </c>
      <c r="AD35" s="9">
        <f>RawSalesTable[[#This Row],[Profit]]/RawSalesTable[[#This Row],[Net_Sales]]</f>
        <v>0.33911379361107019</v>
      </c>
      <c r="AE35" s="8">
        <f>IF(RawSalesTable[[#This Row],[Return_Status]]="Yes",1,0)</f>
        <v>0</v>
      </c>
      <c r="AF35" s="8">
        <f>YEAR(RawSalesTable[[#This Row],[Order_Date]])</f>
        <v>2025</v>
      </c>
      <c r="AG35" s="8">
        <f>MONTH(RawSalesTable[[#This Row],[Order_Date]])</f>
        <v>4</v>
      </c>
      <c r="AH35" s="8" t="str">
        <f>TEXT(RawSalesTable[[#This Row],[Order_Date]],"mmmm")</f>
        <v>avril</v>
      </c>
      <c r="AI35" s="8" t="str">
        <f>IF(RawSalesTable[[#This Row],[Month_Number]]&lt;=3,"Q1",IF(RawSalesTable[[#This Row],[Month_Number]]&lt;=6,"Q2",IF(RawSalesTable[[#This Row],[Month_Number]]&lt;=9,"Q3","Q4")))</f>
        <v>Q2</v>
      </c>
      <c r="AJ35" s="13">
        <f>DATE(YEAR(RawSalesTable[[#This Row],[Order_Date]]),MONTH(RawSalesTable[[#This Row],[Order_Date]]),1)</f>
        <v>45748</v>
      </c>
      <c r="AK35" s="8" t="str">
        <f>VLOOKUP(RawSalesTable[[#This Row],[Customer_ID_clean]],CustomersTable[],4,FALSE)</f>
        <v>Alberta</v>
      </c>
    </row>
    <row r="36" spans="1:37">
      <c r="A36" t="s">
        <v>184</v>
      </c>
      <c r="B36" s="3">
        <v>45879</v>
      </c>
      <c r="C36" t="s">
        <v>185</v>
      </c>
      <c r="D36" t="s">
        <v>165</v>
      </c>
      <c r="E36" t="s">
        <v>186</v>
      </c>
      <c r="F36" t="s">
        <v>187</v>
      </c>
      <c r="G36" t="s">
        <v>117</v>
      </c>
      <c r="H36" t="s">
        <v>89</v>
      </c>
      <c r="I36">
        <v>2</v>
      </c>
      <c r="J36" s="2">
        <v>99.22</v>
      </c>
      <c r="K36" s="4">
        <v>0.05</v>
      </c>
      <c r="L36" t="s">
        <v>98</v>
      </c>
      <c r="M36">
        <v>8</v>
      </c>
      <c r="N36" t="s">
        <v>91</v>
      </c>
      <c r="O36" t="str">
        <f>SUBSTITUTE(PROPER(TRIM(RawSalesTable[[#This Row],[Channel_Raw]])), "Market Place", "Marketplace")</f>
        <v>Online</v>
      </c>
      <c r="P36" t="str">
        <f>TRIM(RawSalesTable[[#This Row],[Store_Raw]])</f>
        <v>Vancouver West</v>
      </c>
      <c r="Q36" t="str">
        <f>IF(TRIM(RawSalesTable[[#This Row],[Payment_Method_Raw]])="","Non renseigné",SUBSTITUTE(TRIM(RawSalesTable[[#This Row],[Payment_Method_Raw]]),"CC","Credit Card"))</f>
        <v>Debit Card</v>
      </c>
      <c r="R36" s="8" t="str">
        <f>UPPER(PROPER(RawSalesTable[[#This Row],[Customer_ID]]))</f>
        <v>C0036</v>
      </c>
      <c r="S36" s="8" t="str">
        <f>TRIM(LEFT(RawSalesTable[[#This Row],[Customer_Info]],FIND(",",RawSalesTable[[#This Row],[Customer_Info]]) -1))</f>
        <v>Sarah Wilson</v>
      </c>
      <c r="T36" s="8" t="str">
        <f>TRIM(MID(RawSalesTable[[#This Row],[Customer_Info]],FIND(",",RawSalesTable[[#This Row],[Customer_Info]])+1,FIND(",",RawSalesTable[[#This Row],[Customer_Info]],FIND(",",RawSalesTable[[#This Row],[Customer_Info]])+1)-FIND(",",RawSalesTable[[#This Row],[Customer_Info]])-1))</f>
        <v>Montreal</v>
      </c>
      <c r="U36" s="8" t="str">
        <f>TRIM(RIGHT(RawSalesTable[[#This Row],[Customer_Info]], LEN(RawSalesTable[[#This Row],[Customer_Info]])-FIND(",",RawSalesTable[[#This Row],[Customer_Info]],FIND(",",RawSalesTable[[#This Row],[Customer_Info]])+1)))</f>
        <v>Corporate</v>
      </c>
      <c r="V36" s="8" t="str">
        <f>VLOOKUP(RawSalesTable[[#This Row],[Product_ID]],ProductsTable[],2,FALSE)</f>
        <v>Food Scale</v>
      </c>
      <c r="W36" s="8" t="str">
        <f>VLOOKUP(RawSalesTable[[#This Row],[Product_ID]],ProductsTable[],3,FALSE)</f>
        <v>Home</v>
      </c>
      <c r="X36" s="8">
        <f>VLOOKUP(RawSalesTable[[#This Row],[Product_ID]],ProductsTable[],5,FALSE)</f>
        <v>46.07</v>
      </c>
      <c r="Y36" s="8">
        <f>RawSalesTable[[#This Row],[Quantity]]*RawSalesTable[[#This Row],[Unit_Price]]</f>
        <v>198.44</v>
      </c>
      <c r="Z36" s="8">
        <f>RawSalesTable[[#This Row],[Gross_Sales]]*RawSalesTable[[#This Row],[Discount_Pct]]</f>
        <v>9.9220000000000006</v>
      </c>
      <c r="AA36" s="8">
        <f>RawSalesTable[[#This Row],[Gross_Sales]]-RawSalesTable[[#This Row],[Discount_Amount]]</f>
        <v>188.518</v>
      </c>
      <c r="AB36" s="8">
        <f>RawSalesTable[[#This Row],[Unit_Cost]]*RawSalesTable[[#This Row],[Quantity]]</f>
        <v>92.14</v>
      </c>
      <c r="AC36" s="8">
        <f>RawSalesTable[[#This Row],[Net_Sales]]-RawSalesTable[[#This Row],[Total_Cost]]</f>
        <v>96.378</v>
      </c>
      <c r="AD36" s="9">
        <f>RawSalesTable[[#This Row],[Profit]]/RawSalesTable[[#This Row],[Net_Sales]]</f>
        <v>0.51124030596547809</v>
      </c>
      <c r="AE36" s="8">
        <f>IF(RawSalesTable[[#This Row],[Return_Status]]="Yes",1,0)</f>
        <v>0</v>
      </c>
      <c r="AF36" s="8">
        <f>YEAR(RawSalesTable[[#This Row],[Order_Date]])</f>
        <v>2025</v>
      </c>
      <c r="AG36" s="8">
        <f>MONTH(RawSalesTable[[#This Row],[Order_Date]])</f>
        <v>8</v>
      </c>
      <c r="AH36" s="8" t="str">
        <f>TEXT(RawSalesTable[[#This Row],[Order_Date]],"mmmm")</f>
        <v>août</v>
      </c>
      <c r="AI36" s="8" t="str">
        <f>IF(RawSalesTable[[#This Row],[Month_Number]]&lt;=3,"Q1",IF(RawSalesTable[[#This Row],[Month_Number]]&lt;=6,"Q2",IF(RawSalesTable[[#This Row],[Month_Number]]&lt;=9,"Q3","Q4")))</f>
        <v>Q3</v>
      </c>
      <c r="AJ36" s="13">
        <f>DATE(YEAR(RawSalesTable[[#This Row],[Order_Date]]),MONTH(RawSalesTable[[#This Row],[Order_Date]]),1)</f>
        <v>45870</v>
      </c>
      <c r="AK36" s="8" t="str">
        <f>VLOOKUP(RawSalesTable[[#This Row],[Customer_ID_clean]],CustomersTable[],4,FALSE)</f>
        <v>Quebec</v>
      </c>
    </row>
    <row r="37" spans="1:37">
      <c r="A37" t="s">
        <v>188</v>
      </c>
      <c r="B37" s="3">
        <v>45963</v>
      </c>
      <c r="C37" t="s">
        <v>189</v>
      </c>
      <c r="D37" t="s">
        <v>190</v>
      </c>
      <c r="E37" t="s">
        <v>191</v>
      </c>
      <c r="F37" t="s">
        <v>145</v>
      </c>
      <c r="G37" t="s">
        <v>183</v>
      </c>
      <c r="H37" t="s">
        <v>89</v>
      </c>
      <c r="I37">
        <v>2</v>
      </c>
      <c r="J37" s="2">
        <v>277.39</v>
      </c>
      <c r="K37" s="4">
        <v>0</v>
      </c>
      <c r="L37" t="s">
        <v>98</v>
      </c>
      <c r="M37">
        <v>6</v>
      </c>
      <c r="N37" t="s">
        <v>91</v>
      </c>
      <c r="O37" t="str">
        <f>SUBSTITUTE(PROPER(TRIM(RawSalesTable[[#This Row],[Channel_Raw]])), "Market Place", "Marketplace")</f>
        <v>Online</v>
      </c>
      <c r="P37" t="str">
        <f>TRIM(RawSalesTable[[#This Row],[Store_Raw]])</f>
        <v>Calgary North</v>
      </c>
      <c r="Q37" t="str">
        <f>IF(TRIM(RawSalesTable[[#This Row],[Payment_Method_Raw]])="","Non renseigné",SUBSTITUTE(TRIM(RawSalesTable[[#This Row],[Payment_Method_Raw]]),"CC","Credit Card"))</f>
        <v>Debit Card</v>
      </c>
      <c r="R37" s="8" t="str">
        <f>UPPER(PROPER(RawSalesTable[[#This Row],[Customer_ID]]))</f>
        <v>C0054</v>
      </c>
      <c r="S37" s="8" t="str">
        <f>TRIM(LEFT(RawSalesTable[[#This Row],[Customer_Info]],FIND(",",RawSalesTable[[#This Row],[Customer_Info]]) -1))</f>
        <v>Maya Hall</v>
      </c>
      <c r="T37" s="8" t="str">
        <f>TRIM(MID(RawSalesTable[[#This Row],[Customer_Info]],FIND(",",RawSalesTable[[#This Row],[Customer_Info]])+1,FIND(",",RawSalesTable[[#This Row],[Customer_Info]],FIND(",",RawSalesTable[[#This Row],[Customer_Info]])+1)-FIND(",",RawSalesTable[[#This Row],[Customer_Info]])-1))</f>
        <v>Surrey</v>
      </c>
      <c r="U37" s="8" t="str">
        <f>TRIM(RIGHT(RawSalesTable[[#This Row],[Customer_Info]], LEN(RawSalesTable[[#This Row],[Customer_Info]])-FIND(",",RawSalesTable[[#This Row],[Customer_Info]],FIND(",",RawSalesTable[[#This Row],[Customer_Info]])+1)))</f>
        <v>Small Business</v>
      </c>
      <c r="V37" s="8" t="str">
        <f>VLOOKUP(RawSalesTable[[#This Row],[Product_ID]],ProductsTable[],2,FALSE)</f>
        <v>Webcam</v>
      </c>
      <c r="W37" s="8" t="str">
        <f>VLOOKUP(RawSalesTable[[#This Row],[Product_ID]],ProductsTable[],3,FALSE)</f>
        <v>Electronics</v>
      </c>
      <c r="X37" s="8">
        <f>VLOOKUP(RawSalesTable[[#This Row],[Product_ID]],ProductsTable[],5,FALSE)</f>
        <v>154.72999999999999</v>
      </c>
      <c r="Y37" s="8">
        <f>RawSalesTable[[#This Row],[Quantity]]*RawSalesTable[[#This Row],[Unit_Price]]</f>
        <v>554.78</v>
      </c>
      <c r="Z37" s="8">
        <f>RawSalesTable[[#This Row],[Gross_Sales]]*RawSalesTable[[#This Row],[Discount_Pct]]</f>
        <v>0</v>
      </c>
      <c r="AA37" s="8">
        <f>RawSalesTable[[#This Row],[Gross_Sales]]-RawSalesTable[[#This Row],[Discount_Amount]]</f>
        <v>554.78</v>
      </c>
      <c r="AB37" s="8">
        <f>RawSalesTable[[#This Row],[Unit_Cost]]*RawSalesTable[[#This Row],[Quantity]]</f>
        <v>309.45999999999998</v>
      </c>
      <c r="AC37" s="8">
        <f>RawSalesTable[[#This Row],[Net_Sales]]-RawSalesTable[[#This Row],[Total_Cost]]</f>
        <v>245.32</v>
      </c>
      <c r="AD37" s="9">
        <f>RawSalesTable[[#This Row],[Profit]]/RawSalesTable[[#This Row],[Net_Sales]]</f>
        <v>0.44219330184938177</v>
      </c>
      <c r="AE37" s="8">
        <f>IF(RawSalesTable[[#This Row],[Return_Status]]="Yes",1,0)</f>
        <v>0</v>
      </c>
      <c r="AF37" s="8">
        <f>YEAR(RawSalesTable[[#This Row],[Order_Date]])</f>
        <v>2025</v>
      </c>
      <c r="AG37" s="8">
        <f>MONTH(RawSalesTable[[#This Row],[Order_Date]])</f>
        <v>11</v>
      </c>
      <c r="AH37" s="8" t="str">
        <f>TEXT(RawSalesTable[[#This Row],[Order_Date]],"mmmm")</f>
        <v>novembre</v>
      </c>
      <c r="AI37" s="8" t="str">
        <f>IF(RawSalesTable[[#This Row],[Month_Number]]&lt;=3,"Q1",IF(RawSalesTable[[#This Row],[Month_Number]]&lt;=6,"Q2",IF(RawSalesTable[[#This Row],[Month_Number]]&lt;=9,"Q3","Q4")))</f>
        <v>Q4</v>
      </c>
      <c r="AJ37" s="13">
        <f>DATE(YEAR(RawSalesTable[[#This Row],[Order_Date]]),MONTH(RawSalesTable[[#This Row],[Order_Date]]),1)</f>
        <v>45962</v>
      </c>
      <c r="AK37" s="8" t="str">
        <f>VLOOKUP(RawSalesTable[[#This Row],[Customer_ID_clean]],CustomersTable[],4,FALSE)</f>
        <v>British Columbia</v>
      </c>
    </row>
    <row r="38" spans="1:37">
      <c r="A38" t="s">
        <v>192</v>
      </c>
      <c r="B38" s="3">
        <v>45852</v>
      </c>
      <c r="C38" t="s">
        <v>193</v>
      </c>
      <c r="D38" t="s">
        <v>194</v>
      </c>
      <c r="E38" t="s">
        <v>195</v>
      </c>
      <c r="F38" t="s">
        <v>116</v>
      </c>
      <c r="G38" t="s">
        <v>117</v>
      </c>
      <c r="H38" t="s">
        <v>97</v>
      </c>
      <c r="I38">
        <v>2</v>
      </c>
      <c r="J38" s="2">
        <v>193.9</v>
      </c>
      <c r="K38" s="4">
        <v>0</v>
      </c>
      <c r="L38" t="s">
        <v>106</v>
      </c>
      <c r="M38">
        <v>4</v>
      </c>
      <c r="N38" t="s">
        <v>91</v>
      </c>
      <c r="O38" t="str">
        <f>SUBSTITUTE(PROPER(TRIM(RawSalesTable[[#This Row],[Channel_Raw]])), "Market Place", "Marketplace")</f>
        <v>Retail Store</v>
      </c>
      <c r="P38" t="str">
        <f>TRIM(RawSalesTable[[#This Row],[Store_Raw]])</f>
        <v>Toronto Downtown</v>
      </c>
      <c r="Q38" t="str">
        <f>IF(TRIM(RawSalesTable[[#This Row],[Payment_Method_Raw]])="","Non renseigné",SUBSTITUTE(TRIM(RawSalesTable[[#This Row],[Payment_Method_Raw]]),"CC","Credit Card"))</f>
        <v>Credit Card</v>
      </c>
      <c r="R38" s="8" t="str">
        <f>UPPER(PROPER(RawSalesTable[[#This Row],[Customer_ID]]))</f>
        <v>C0023</v>
      </c>
      <c r="S38" s="8" t="str">
        <f>TRIM(LEFT(RawSalesTable[[#This Row],[Customer_Info]],FIND(",",RawSalesTable[[#This Row],[Customer_Info]]) -1))</f>
        <v>Ryan Gagnon</v>
      </c>
      <c r="T38" s="8" t="str">
        <f>TRIM(MID(RawSalesTable[[#This Row],[Customer_Info]],FIND(",",RawSalesTable[[#This Row],[Customer_Info]])+1,FIND(",",RawSalesTable[[#This Row],[Customer_Info]],FIND(",",RawSalesTable[[#This Row],[Customer_Info]])+1)-FIND(",",RawSalesTable[[#This Row],[Customer_Info]])-1))</f>
        <v>Ottawa</v>
      </c>
      <c r="U38" s="8" t="str">
        <f>TRIM(RIGHT(RawSalesTable[[#This Row],[Customer_Info]], LEN(RawSalesTable[[#This Row],[Customer_Info]])-FIND(",",RawSalesTable[[#This Row],[Customer_Info]],FIND(",",RawSalesTable[[#This Row],[Customer_Info]])+1)))</f>
        <v>Small Business</v>
      </c>
      <c r="V38" s="8" t="str">
        <f>VLOOKUP(RawSalesTable[[#This Row],[Product_ID]],ProductsTable[],2,FALSE)</f>
        <v>Jump Rope</v>
      </c>
      <c r="W38" s="8" t="str">
        <f>VLOOKUP(RawSalesTable[[#This Row],[Product_ID]],ProductsTable[],3,FALSE)</f>
        <v>Fitness</v>
      </c>
      <c r="X38" s="8">
        <f>VLOOKUP(RawSalesTable[[#This Row],[Product_ID]],ProductsTable[],5,FALSE)</f>
        <v>101</v>
      </c>
      <c r="Y38" s="8">
        <f>RawSalesTable[[#This Row],[Quantity]]*RawSalesTable[[#This Row],[Unit_Price]]</f>
        <v>387.8</v>
      </c>
      <c r="Z38" s="8">
        <f>RawSalesTable[[#This Row],[Gross_Sales]]*RawSalesTable[[#This Row],[Discount_Pct]]</f>
        <v>0</v>
      </c>
      <c r="AA38" s="8">
        <f>RawSalesTable[[#This Row],[Gross_Sales]]-RawSalesTable[[#This Row],[Discount_Amount]]</f>
        <v>387.8</v>
      </c>
      <c r="AB38" s="8">
        <f>RawSalesTable[[#This Row],[Unit_Cost]]*RawSalesTable[[#This Row],[Quantity]]</f>
        <v>202</v>
      </c>
      <c r="AC38" s="8">
        <f>RawSalesTable[[#This Row],[Net_Sales]]-RawSalesTable[[#This Row],[Total_Cost]]</f>
        <v>185.8</v>
      </c>
      <c r="AD38" s="9">
        <f>RawSalesTable[[#This Row],[Profit]]/RawSalesTable[[#This Row],[Net_Sales]]</f>
        <v>0.47911294481691596</v>
      </c>
      <c r="AE38" s="8">
        <f>IF(RawSalesTable[[#This Row],[Return_Status]]="Yes",1,0)</f>
        <v>0</v>
      </c>
      <c r="AF38" s="8">
        <f>YEAR(RawSalesTable[[#This Row],[Order_Date]])</f>
        <v>2025</v>
      </c>
      <c r="AG38" s="8">
        <f>MONTH(RawSalesTable[[#This Row],[Order_Date]])</f>
        <v>7</v>
      </c>
      <c r="AH38" s="8" t="str">
        <f>TEXT(RawSalesTable[[#This Row],[Order_Date]],"mmmm")</f>
        <v>juillet</v>
      </c>
      <c r="AI38" s="8" t="str">
        <f>IF(RawSalesTable[[#This Row],[Month_Number]]&lt;=3,"Q1",IF(RawSalesTable[[#This Row],[Month_Number]]&lt;=6,"Q2",IF(RawSalesTable[[#This Row],[Month_Number]]&lt;=9,"Q3","Q4")))</f>
        <v>Q3</v>
      </c>
      <c r="AJ38" s="13">
        <f>DATE(YEAR(RawSalesTable[[#This Row],[Order_Date]]),MONTH(RawSalesTable[[#This Row],[Order_Date]]),1)</f>
        <v>45839</v>
      </c>
      <c r="AK38" s="8" t="str">
        <f>VLOOKUP(RawSalesTable[[#This Row],[Customer_ID_clean]],CustomersTable[],4,FALSE)</f>
        <v>Ontario</v>
      </c>
    </row>
    <row r="39" spans="1:37">
      <c r="A39" t="s">
        <v>196</v>
      </c>
      <c r="B39" s="3">
        <v>45761</v>
      </c>
      <c r="C39" t="s">
        <v>197</v>
      </c>
      <c r="D39" t="s">
        <v>181</v>
      </c>
      <c r="E39" t="s">
        <v>198</v>
      </c>
      <c r="F39" t="s">
        <v>111</v>
      </c>
      <c r="G39" t="s">
        <v>104</v>
      </c>
      <c r="H39" t="s">
        <v>97</v>
      </c>
      <c r="I39">
        <v>3</v>
      </c>
      <c r="J39" s="2">
        <v>336.05</v>
      </c>
      <c r="K39" s="4">
        <v>0.25</v>
      </c>
      <c r="L39" t="s">
        <v>98</v>
      </c>
      <c r="M39">
        <v>3</v>
      </c>
      <c r="N39" t="s">
        <v>91</v>
      </c>
      <c r="O39" t="str">
        <f>SUBSTITUTE(PROPER(TRIM(RawSalesTable[[#This Row],[Channel_Raw]])), "Market Place", "Marketplace")</f>
        <v>Retail Store</v>
      </c>
      <c r="P39" t="str">
        <f>TRIM(RawSalesTable[[#This Row],[Store_Raw]])</f>
        <v>Montreal Central</v>
      </c>
      <c r="Q39" t="str">
        <f>IF(TRIM(RawSalesTable[[#This Row],[Payment_Method_Raw]])="","Non renseigné",SUBSTITUTE(TRIM(RawSalesTable[[#This Row],[Payment_Method_Raw]]),"CC","Credit Card"))</f>
        <v>Debit Card</v>
      </c>
      <c r="R39" s="8" t="str">
        <f>UPPER(PROPER(RawSalesTable[[#This Row],[Customer_ID]]))</f>
        <v>C0091</v>
      </c>
      <c r="S39" s="8" t="str">
        <f>TRIM(LEFT(RawSalesTable[[#This Row],[Customer_Info]],FIND(",",RawSalesTable[[#This Row],[Customer_Info]]) -1))</f>
        <v>Leo Taylor</v>
      </c>
      <c r="T39" s="8" t="str">
        <f>TRIM(MID(RawSalesTable[[#This Row],[Customer_Info]],FIND(",",RawSalesTable[[#This Row],[Customer_Info]])+1,FIND(",",RawSalesTable[[#This Row],[Customer_Info]],FIND(",",RawSalesTable[[#This Row],[Customer_Info]])+1)-FIND(",",RawSalesTable[[#This Row],[Customer_Info]])-1))</f>
        <v>Victoria</v>
      </c>
      <c r="U39" s="8" t="str">
        <f>TRIM(RIGHT(RawSalesTable[[#This Row],[Customer_Info]], LEN(RawSalesTable[[#This Row],[Customer_Info]])-FIND(",",RawSalesTable[[#This Row],[Customer_Info]],FIND(",",RawSalesTable[[#This Row],[Customer_Info]])+1)))</f>
        <v>Small Business</v>
      </c>
      <c r="V39" s="8" t="str">
        <f>VLOOKUP(RawSalesTable[[#This Row],[Product_ID]],ProductsTable[],2,FALSE)</f>
        <v>Monitor</v>
      </c>
      <c r="W39" s="8" t="str">
        <f>VLOOKUP(RawSalesTable[[#This Row],[Product_ID]],ProductsTable[],3,FALSE)</f>
        <v>Electronics</v>
      </c>
      <c r="X39" s="8">
        <f>VLOOKUP(RawSalesTable[[#This Row],[Product_ID]],ProductsTable[],5,FALSE)</f>
        <v>224.47</v>
      </c>
      <c r="Y39" s="8">
        <f>RawSalesTable[[#This Row],[Quantity]]*RawSalesTable[[#This Row],[Unit_Price]]</f>
        <v>1008.1500000000001</v>
      </c>
      <c r="Z39" s="8">
        <f>RawSalesTable[[#This Row],[Gross_Sales]]*RawSalesTable[[#This Row],[Discount_Pct]]</f>
        <v>252.03750000000002</v>
      </c>
      <c r="AA39" s="8">
        <f>RawSalesTable[[#This Row],[Gross_Sales]]-RawSalesTable[[#This Row],[Discount_Amount]]</f>
        <v>756.11250000000007</v>
      </c>
      <c r="AB39" s="8">
        <f>RawSalesTable[[#This Row],[Unit_Cost]]*RawSalesTable[[#This Row],[Quantity]]</f>
        <v>673.41</v>
      </c>
      <c r="AC39" s="8">
        <f>RawSalesTable[[#This Row],[Net_Sales]]-RawSalesTable[[#This Row],[Total_Cost]]</f>
        <v>82.7025000000001</v>
      </c>
      <c r="AD39" s="9">
        <f>RawSalesTable[[#This Row],[Profit]]/RawSalesTable[[#This Row],[Net_Sales]]</f>
        <v>0.10937856469771376</v>
      </c>
      <c r="AE39" s="8">
        <f>IF(RawSalesTable[[#This Row],[Return_Status]]="Yes",1,0)</f>
        <v>0</v>
      </c>
      <c r="AF39" s="8">
        <f>YEAR(RawSalesTable[[#This Row],[Order_Date]])</f>
        <v>2025</v>
      </c>
      <c r="AG39" s="8">
        <f>MONTH(RawSalesTable[[#This Row],[Order_Date]])</f>
        <v>4</v>
      </c>
      <c r="AH39" s="8" t="str">
        <f>TEXT(RawSalesTable[[#This Row],[Order_Date]],"mmmm")</f>
        <v>avril</v>
      </c>
      <c r="AI39" s="8" t="str">
        <f>IF(RawSalesTable[[#This Row],[Month_Number]]&lt;=3,"Q1",IF(RawSalesTable[[#This Row],[Month_Number]]&lt;=6,"Q2",IF(RawSalesTable[[#This Row],[Month_Number]]&lt;=9,"Q3","Q4")))</f>
        <v>Q2</v>
      </c>
      <c r="AJ39" s="13">
        <f>DATE(YEAR(RawSalesTable[[#This Row],[Order_Date]]),MONTH(RawSalesTable[[#This Row],[Order_Date]]),1)</f>
        <v>45748</v>
      </c>
      <c r="AK39" s="8" t="str">
        <f>VLOOKUP(RawSalesTable[[#This Row],[Customer_ID_clean]],CustomersTable[],4,FALSE)</f>
        <v>British Columbia</v>
      </c>
    </row>
    <row r="40" spans="1:37">
      <c r="A40" t="s">
        <v>199</v>
      </c>
      <c r="B40" s="3">
        <v>45879</v>
      </c>
      <c r="C40" t="s">
        <v>200</v>
      </c>
      <c r="D40" t="s">
        <v>152</v>
      </c>
      <c r="E40" t="s">
        <v>201</v>
      </c>
      <c r="F40" t="s">
        <v>111</v>
      </c>
      <c r="G40" t="s">
        <v>122</v>
      </c>
      <c r="H40" t="s">
        <v>89</v>
      </c>
      <c r="I40">
        <v>1</v>
      </c>
      <c r="J40" s="2">
        <v>137.66999999999999</v>
      </c>
      <c r="K40" s="4">
        <v>0.05</v>
      </c>
      <c r="L40" t="s">
        <v>154</v>
      </c>
      <c r="M40">
        <v>2</v>
      </c>
      <c r="N40" t="s">
        <v>91</v>
      </c>
      <c r="O40" t="str">
        <f>SUBSTITUTE(PROPER(TRIM(RawSalesTable[[#This Row],[Channel_Raw]])), "Market Place", "Marketplace")</f>
        <v>Online</v>
      </c>
      <c r="P40" t="str">
        <f>TRIM(RawSalesTable[[#This Row],[Store_Raw]])</f>
        <v>Montreal Central</v>
      </c>
      <c r="Q40" t="str">
        <f>IF(TRIM(RawSalesTable[[#This Row],[Payment_Method_Raw]])="","Non renseigné",SUBSTITUTE(TRIM(RawSalesTable[[#This Row],[Payment_Method_Raw]]),"CC","Credit Card"))</f>
        <v>Gift Card</v>
      </c>
      <c r="R40" s="8" t="str">
        <f>UPPER(PROPER(RawSalesTable[[#This Row],[Customer_ID]]))</f>
        <v>C0118</v>
      </c>
      <c r="S40" s="8" t="str">
        <f>TRIM(LEFT(RawSalesTable[[#This Row],[Customer_Info]],FIND(",",RawSalesTable[[#This Row],[Customer_Info]]) -1))</f>
        <v>Ryan Smith</v>
      </c>
      <c r="T40" s="8" t="str">
        <f>TRIM(MID(RawSalesTable[[#This Row],[Customer_Info]],FIND(",",RawSalesTable[[#This Row],[Customer_Info]])+1,FIND(",",RawSalesTable[[#This Row],[Customer_Info]],FIND(",",RawSalesTable[[#This Row],[Customer_Info]])+1)-FIND(",",RawSalesTable[[#This Row],[Customer_Info]])-1))</f>
        <v>Victoria</v>
      </c>
      <c r="U40" s="8" t="str">
        <f>TRIM(RIGHT(RawSalesTable[[#This Row],[Customer_Info]], LEN(RawSalesTable[[#This Row],[Customer_Info]])-FIND(",",RawSalesTable[[#This Row],[Customer_Info]],FIND(",",RawSalesTable[[#This Row],[Customer_Info]])+1)))</f>
        <v>Small Business</v>
      </c>
      <c r="V40" s="8" t="str">
        <f>VLOOKUP(RawSalesTable[[#This Row],[Product_ID]],ProductsTable[],2,FALSE)</f>
        <v>Smart Speaker</v>
      </c>
      <c r="W40" s="8" t="str">
        <f>VLOOKUP(RawSalesTable[[#This Row],[Product_ID]],ProductsTable[],3,FALSE)</f>
        <v>Electronics</v>
      </c>
      <c r="X40" s="8">
        <f>VLOOKUP(RawSalesTable[[#This Row],[Product_ID]],ProductsTable[],5,FALSE)</f>
        <v>69</v>
      </c>
      <c r="Y40" s="8">
        <f>RawSalesTable[[#This Row],[Quantity]]*RawSalesTable[[#This Row],[Unit_Price]]</f>
        <v>137.66999999999999</v>
      </c>
      <c r="Z40" s="8">
        <f>RawSalesTable[[#This Row],[Gross_Sales]]*RawSalesTable[[#This Row],[Discount_Pct]]</f>
        <v>6.8834999999999997</v>
      </c>
      <c r="AA40" s="8">
        <f>RawSalesTable[[#This Row],[Gross_Sales]]-RawSalesTable[[#This Row],[Discount_Amount]]</f>
        <v>130.78649999999999</v>
      </c>
      <c r="AB40" s="8">
        <f>RawSalesTable[[#This Row],[Unit_Cost]]*RawSalesTable[[#This Row],[Quantity]]</f>
        <v>69</v>
      </c>
      <c r="AC40" s="8">
        <f>RawSalesTable[[#This Row],[Net_Sales]]-RawSalesTable[[#This Row],[Total_Cost]]</f>
        <v>61.78649999999999</v>
      </c>
      <c r="AD40" s="9">
        <f>RawSalesTable[[#This Row],[Profit]]/RawSalesTable[[#This Row],[Net_Sales]]</f>
        <v>0.47242261242559436</v>
      </c>
      <c r="AE40" s="8">
        <f>IF(RawSalesTable[[#This Row],[Return_Status]]="Yes",1,0)</f>
        <v>0</v>
      </c>
      <c r="AF40" s="8">
        <f>YEAR(RawSalesTable[[#This Row],[Order_Date]])</f>
        <v>2025</v>
      </c>
      <c r="AG40" s="8">
        <f>MONTH(RawSalesTable[[#This Row],[Order_Date]])</f>
        <v>8</v>
      </c>
      <c r="AH40" s="8" t="str">
        <f>TEXT(RawSalesTable[[#This Row],[Order_Date]],"mmmm")</f>
        <v>août</v>
      </c>
      <c r="AI40" s="8" t="str">
        <f>IF(RawSalesTable[[#This Row],[Month_Number]]&lt;=3,"Q1",IF(RawSalesTable[[#This Row],[Month_Number]]&lt;=6,"Q2",IF(RawSalesTable[[#This Row],[Month_Number]]&lt;=9,"Q3","Q4")))</f>
        <v>Q3</v>
      </c>
      <c r="AJ40" s="13">
        <f>DATE(YEAR(RawSalesTable[[#This Row],[Order_Date]]),MONTH(RawSalesTable[[#This Row],[Order_Date]]),1)</f>
        <v>45870</v>
      </c>
      <c r="AK40" s="8" t="str">
        <f>VLOOKUP(RawSalesTable[[#This Row],[Customer_ID_clean]],CustomersTable[],4,FALSE)</f>
        <v>British Columbia</v>
      </c>
    </row>
    <row r="41" spans="1:37">
      <c r="A41" t="s">
        <v>202</v>
      </c>
      <c r="B41" s="3">
        <v>45770</v>
      </c>
      <c r="C41" t="s">
        <v>203</v>
      </c>
      <c r="D41" t="s">
        <v>174</v>
      </c>
      <c r="E41" t="s">
        <v>204</v>
      </c>
      <c r="F41" t="s">
        <v>103</v>
      </c>
      <c r="G41" t="s">
        <v>171</v>
      </c>
      <c r="H41" t="s">
        <v>89</v>
      </c>
      <c r="I41">
        <v>3</v>
      </c>
      <c r="J41" s="2">
        <v>38.96</v>
      </c>
      <c r="K41" s="4">
        <v>0.1</v>
      </c>
      <c r="L41" t="s">
        <v>98</v>
      </c>
      <c r="M41">
        <v>2</v>
      </c>
      <c r="N41" t="s">
        <v>91</v>
      </c>
      <c r="O41" t="str">
        <f>SUBSTITUTE(PROPER(TRIM(RawSalesTable[[#This Row],[Channel_Raw]])), "Market Place", "Marketplace")</f>
        <v>Online</v>
      </c>
      <c r="P41" t="str">
        <f>TRIM(RawSalesTable[[#This Row],[Store_Raw]])</f>
        <v>Vancouver West</v>
      </c>
      <c r="Q41" t="str">
        <f>IF(TRIM(RawSalesTable[[#This Row],[Payment_Method_Raw]])="","Non renseigné",SUBSTITUTE(TRIM(RawSalesTable[[#This Row],[Payment_Method_Raw]]),"CC","Credit Card"))</f>
        <v>Debit Card</v>
      </c>
      <c r="R41" s="8" t="str">
        <f>UPPER(PROPER(RawSalesTable[[#This Row],[Customer_ID]]))</f>
        <v>C0029</v>
      </c>
      <c r="S41" s="8" t="str">
        <f>TRIM(LEFT(RawSalesTable[[#This Row],[Customer_Info]],FIND(",",RawSalesTable[[#This Row],[Customer_Info]]) -1))</f>
        <v>Olivia White</v>
      </c>
      <c r="T41" s="8" t="str">
        <f>TRIM(MID(RawSalesTable[[#This Row],[Customer_Info]],FIND(",",RawSalesTable[[#This Row],[Customer_Info]])+1,FIND(",",RawSalesTable[[#This Row],[Customer_Info]],FIND(",",RawSalesTable[[#This Row],[Customer_Info]])+1)-FIND(",",RawSalesTable[[#This Row],[Customer_Info]])-1))</f>
        <v>Victoria</v>
      </c>
      <c r="U41" s="8" t="str">
        <f>TRIM(RIGHT(RawSalesTable[[#This Row],[Customer_Info]], LEN(RawSalesTable[[#This Row],[Customer_Info]])-FIND(",",RawSalesTable[[#This Row],[Customer_Info]],FIND(",",RawSalesTable[[#This Row],[Customer_Info]])+1)))</f>
        <v>Consumer</v>
      </c>
      <c r="V41" s="8" t="str">
        <f>VLOOKUP(RawSalesTable[[#This Row],[Product_ID]],ProductsTable[],2,FALSE)</f>
        <v>Keyboard</v>
      </c>
      <c r="W41" s="8" t="str">
        <f>VLOOKUP(RawSalesTable[[#This Row],[Product_ID]],ProductsTable[],3,FALSE)</f>
        <v>Electronics</v>
      </c>
      <c r="X41" s="8">
        <f>VLOOKUP(RawSalesTable[[#This Row],[Product_ID]],ProductsTable[],5,FALSE)</f>
        <v>23.5</v>
      </c>
      <c r="Y41" s="8">
        <f>RawSalesTable[[#This Row],[Quantity]]*RawSalesTable[[#This Row],[Unit_Price]]</f>
        <v>116.88</v>
      </c>
      <c r="Z41" s="8">
        <f>RawSalesTable[[#This Row],[Gross_Sales]]*RawSalesTable[[#This Row],[Discount_Pct]]</f>
        <v>11.688000000000001</v>
      </c>
      <c r="AA41" s="8">
        <f>RawSalesTable[[#This Row],[Gross_Sales]]-RawSalesTable[[#This Row],[Discount_Amount]]</f>
        <v>105.19199999999999</v>
      </c>
      <c r="AB41" s="8">
        <f>RawSalesTable[[#This Row],[Unit_Cost]]*RawSalesTable[[#This Row],[Quantity]]</f>
        <v>70.5</v>
      </c>
      <c r="AC41" s="8">
        <f>RawSalesTable[[#This Row],[Net_Sales]]-RawSalesTable[[#This Row],[Total_Cost]]</f>
        <v>34.691999999999993</v>
      </c>
      <c r="AD41" s="9">
        <f>RawSalesTable[[#This Row],[Profit]]/RawSalesTable[[#This Row],[Net_Sales]]</f>
        <v>0.32979694273328763</v>
      </c>
      <c r="AE41" s="8">
        <f>IF(RawSalesTable[[#This Row],[Return_Status]]="Yes",1,0)</f>
        <v>0</v>
      </c>
      <c r="AF41" s="8">
        <f>YEAR(RawSalesTable[[#This Row],[Order_Date]])</f>
        <v>2025</v>
      </c>
      <c r="AG41" s="8">
        <f>MONTH(RawSalesTable[[#This Row],[Order_Date]])</f>
        <v>4</v>
      </c>
      <c r="AH41" s="8" t="str">
        <f>TEXT(RawSalesTable[[#This Row],[Order_Date]],"mmmm")</f>
        <v>avril</v>
      </c>
      <c r="AI41" s="8" t="str">
        <f>IF(RawSalesTable[[#This Row],[Month_Number]]&lt;=3,"Q1",IF(RawSalesTable[[#This Row],[Month_Number]]&lt;=6,"Q2",IF(RawSalesTable[[#This Row],[Month_Number]]&lt;=9,"Q3","Q4")))</f>
        <v>Q2</v>
      </c>
      <c r="AJ41" s="13">
        <f>DATE(YEAR(RawSalesTable[[#This Row],[Order_Date]]),MONTH(RawSalesTable[[#This Row],[Order_Date]]),1)</f>
        <v>45748</v>
      </c>
      <c r="AK41" s="8" t="str">
        <f>VLOOKUP(RawSalesTable[[#This Row],[Customer_ID_clean]],CustomersTable[],4,FALSE)</f>
        <v>British Columbia</v>
      </c>
    </row>
    <row r="42" spans="1:37">
      <c r="A42" t="s">
        <v>205</v>
      </c>
      <c r="B42" s="3">
        <v>45670</v>
      </c>
      <c r="C42" t="s">
        <v>206</v>
      </c>
      <c r="D42" t="s">
        <v>149</v>
      </c>
      <c r="E42" t="s">
        <v>207</v>
      </c>
      <c r="F42" t="s">
        <v>87</v>
      </c>
      <c r="G42" t="s">
        <v>130</v>
      </c>
      <c r="H42" t="s">
        <v>89</v>
      </c>
      <c r="I42">
        <v>3</v>
      </c>
      <c r="J42" s="2">
        <v>81.11</v>
      </c>
      <c r="K42" s="4">
        <v>0.1</v>
      </c>
      <c r="L42" t="s">
        <v>154</v>
      </c>
      <c r="M42">
        <v>1</v>
      </c>
      <c r="N42" t="s">
        <v>91</v>
      </c>
      <c r="O42" t="str">
        <f>SUBSTITUTE(PROPER(TRIM(RawSalesTable[[#This Row],[Channel_Raw]])), "Market Place", "Marketplace")</f>
        <v>Online</v>
      </c>
      <c r="P42" t="str">
        <f>TRIM(RawSalesTable[[#This Row],[Store_Raw]])</f>
        <v>Online Fulfillment</v>
      </c>
      <c r="Q42" t="str">
        <f>IF(TRIM(RawSalesTable[[#This Row],[Payment_Method_Raw]])="","Non renseigné",SUBSTITUTE(TRIM(RawSalesTable[[#This Row],[Payment_Method_Raw]]),"CC","Credit Card"))</f>
        <v>Gift Card</v>
      </c>
      <c r="R42" s="8" t="str">
        <f>UPPER(PROPER(RawSalesTable[[#This Row],[Customer_ID]]))</f>
        <v>C0061</v>
      </c>
      <c r="S42" s="8" t="str">
        <f>TRIM(LEFT(RawSalesTable[[#This Row],[Customer_Info]],FIND(",",RawSalesTable[[#This Row],[Customer_Info]]) -1))</f>
        <v>Zoe Hall</v>
      </c>
      <c r="T42" s="8" t="str">
        <f>TRIM(MID(RawSalesTable[[#This Row],[Customer_Info]],FIND(",",RawSalesTable[[#This Row],[Customer_Info]])+1,FIND(",",RawSalesTable[[#This Row],[Customer_Info]],FIND(",",RawSalesTable[[#This Row],[Customer_Info]])+1)-FIND(",",RawSalesTable[[#This Row],[Customer_Info]])-1))</f>
        <v>Vancouver</v>
      </c>
      <c r="U42" s="8" t="str">
        <f>TRIM(RIGHT(RawSalesTable[[#This Row],[Customer_Info]], LEN(RawSalesTable[[#This Row],[Customer_Info]])-FIND(",",RawSalesTable[[#This Row],[Customer_Info]],FIND(",",RawSalesTable[[#This Row],[Customer_Info]])+1)))</f>
        <v>Consumer</v>
      </c>
      <c r="V42" s="8" t="str">
        <f>VLOOKUP(RawSalesTable[[#This Row],[Product_ID]],ProductsTable[],2,FALSE)</f>
        <v>Office Chair</v>
      </c>
      <c r="W42" s="8" t="str">
        <f>VLOOKUP(RawSalesTable[[#This Row],[Product_ID]],ProductsTable[],3,FALSE)</f>
        <v>Office</v>
      </c>
      <c r="X42" s="8">
        <f>VLOOKUP(RawSalesTable[[#This Row],[Product_ID]],ProductsTable[],5,FALSE)</f>
        <v>39.26</v>
      </c>
      <c r="Y42" s="8">
        <f>RawSalesTable[[#This Row],[Quantity]]*RawSalesTable[[#This Row],[Unit_Price]]</f>
        <v>243.32999999999998</v>
      </c>
      <c r="Z42" s="8">
        <f>RawSalesTable[[#This Row],[Gross_Sales]]*RawSalesTable[[#This Row],[Discount_Pct]]</f>
        <v>24.332999999999998</v>
      </c>
      <c r="AA42" s="8">
        <f>RawSalesTable[[#This Row],[Gross_Sales]]-RawSalesTable[[#This Row],[Discount_Amount]]</f>
        <v>218.99699999999999</v>
      </c>
      <c r="AB42" s="8">
        <f>RawSalesTable[[#This Row],[Unit_Cost]]*RawSalesTable[[#This Row],[Quantity]]</f>
        <v>117.78</v>
      </c>
      <c r="AC42" s="8">
        <f>RawSalesTable[[#This Row],[Net_Sales]]-RawSalesTable[[#This Row],[Total_Cost]]</f>
        <v>101.21699999999998</v>
      </c>
      <c r="AD42" s="9">
        <f>RawSalesTable[[#This Row],[Profit]]/RawSalesTable[[#This Row],[Net_Sales]]</f>
        <v>0.46218441348511619</v>
      </c>
      <c r="AE42" s="8">
        <f>IF(RawSalesTable[[#This Row],[Return_Status]]="Yes",1,0)</f>
        <v>0</v>
      </c>
      <c r="AF42" s="8">
        <f>YEAR(RawSalesTable[[#This Row],[Order_Date]])</f>
        <v>2025</v>
      </c>
      <c r="AG42" s="8">
        <f>MONTH(RawSalesTable[[#This Row],[Order_Date]])</f>
        <v>1</v>
      </c>
      <c r="AH42" s="8" t="str">
        <f>TEXT(RawSalesTable[[#This Row],[Order_Date]],"mmmm")</f>
        <v>janvier</v>
      </c>
      <c r="AI42" s="8" t="str">
        <f>IF(RawSalesTable[[#This Row],[Month_Number]]&lt;=3,"Q1",IF(RawSalesTable[[#This Row],[Month_Number]]&lt;=6,"Q2",IF(RawSalesTable[[#This Row],[Month_Number]]&lt;=9,"Q3","Q4")))</f>
        <v>Q1</v>
      </c>
      <c r="AJ42" s="13">
        <f>DATE(YEAR(RawSalesTable[[#This Row],[Order_Date]]),MONTH(RawSalesTable[[#This Row],[Order_Date]]),1)</f>
        <v>45658</v>
      </c>
      <c r="AK42" s="8" t="str">
        <f>VLOOKUP(RawSalesTable[[#This Row],[Customer_ID_clean]],CustomersTable[],4,FALSE)</f>
        <v>British Columbia</v>
      </c>
    </row>
    <row r="43" spans="1:37">
      <c r="A43" t="s">
        <v>208</v>
      </c>
      <c r="B43" s="3">
        <v>45940</v>
      </c>
      <c r="C43" t="s">
        <v>209</v>
      </c>
      <c r="D43" t="s">
        <v>210</v>
      </c>
      <c r="E43" t="s">
        <v>211</v>
      </c>
      <c r="F43" t="s">
        <v>116</v>
      </c>
      <c r="G43" t="s">
        <v>171</v>
      </c>
      <c r="H43" t="s">
        <v>89</v>
      </c>
      <c r="I43">
        <v>1</v>
      </c>
      <c r="J43" s="2">
        <v>322.58</v>
      </c>
      <c r="K43" s="4">
        <v>0.05</v>
      </c>
      <c r="L43" t="s">
        <v>106</v>
      </c>
      <c r="M43">
        <v>6</v>
      </c>
      <c r="N43" t="s">
        <v>91</v>
      </c>
      <c r="O43" t="str">
        <f>SUBSTITUTE(PROPER(TRIM(RawSalesTable[[#This Row],[Channel_Raw]])), "Market Place", "Marketplace")</f>
        <v>Online</v>
      </c>
      <c r="P43" t="str">
        <f>TRIM(RawSalesTable[[#This Row],[Store_Raw]])</f>
        <v>Toronto Downtown</v>
      </c>
      <c r="Q43" t="str">
        <f>IF(TRIM(RawSalesTable[[#This Row],[Payment_Method_Raw]])="","Non renseigné",SUBSTITUTE(TRIM(RawSalesTable[[#This Row],[Payment_Method_Raw]]),"CC","Credit Card"))</f>
        <v>Credit Card</v>
      </c>
      <c r="R43" s="8" t="str">
        <f>UPPER(PROPER(RawSalesTable[[#This Row],[Customer_ID]]))</f>
        <v>C0005</v>
      </c>
      <c r="S43" s="8" t="str">
        <f>TRIM(LEFT(RawSalesTable[[#This Row],[Customer_Info]],FIND(",",RawSalesTable[[#This Row],[Customer_Info]]) -1))</f>
        <v>Yasmine Taylor</v>
      </c>
      <c r="T43" s="8" t="str">
        <f>TRIM(MID(RawSalesTable[[#This Row],[Customer_Info]],FIND(",",RawSalesTable[[#This Row],[Customer_Info]])+1,FIND(",",RawSalesTable[[#This Row],[Customer_Info]],FIND(",",RawSalesTable[[#This Row],[Customer_Info]])+1)-FIND(",",RawSalesTable[[#This Row],[Customer_Info]])-1))</f>
        <v>Calgary</v>
      </c>
      <c r="U43" s="8" t="str">
        <f>TRIM(RIGHT(RawSalesTable[[#This Row],[Customer_Info]], LEN(RawSalesTable[[#This Row],[Customer_Info]])-FIND(",",RawSalesTable[[#This Row],[Customer_Info]],FIND(",",RawSalesTable[[#This Row],[Customer_Info]])+1)))</f>
        <v>Consumer</v>
      </c>
      <c r="V43" s="8" t="str">
        <f>VLOOKUP(RawSalesTable[[#This Row],[Product_ID]],ProductsTable[],2,FALSE)</f>
        <v>Desk Pad</v>
      </c>
      <c r="W43" s="8" t="str">
        <f>VLOOKUP(RawSalesTable[[#This Row],[Product_ID]],ProductsTable[],3,FALSE)</f>
        <v>Accessories</v>
      </c>
      <c r="X43" s="8">
        <f>VLOOKUP(RawSalesTable[[#This Row],[Product_ID]],ProductsTable[],5,FALSE)</f>
        <v>177.57</v>
      </c>
      <c r="Y43" s="8">
        <f>RawSalesTable[[#This Row],[Quantity]]*RawSalesTable[[#This Row],[Unit_Price]]</f>
        <v>322.58</v>
      </c>
      <c r="Z43" s="8">
        <f>RawSalesTable[[#This Row],[Gross_Sales]]*RawSalesTable[[#This Row],[Discount_Pct]]</f>
        <v>16.129000000000001</v>
      </c>
      <c r="AA43" s="8">
        <f>RawSalesTable[[#This Row],[Gross_Sales]]-RawSalesTable[[#This Row],[Discount_Amount]]</f>
        <v>306.45099999999996</v>
      </c>
      <c r="AB43" s="8">
        <f>RawSalesTable[[#This Row],[Unit_Cost]]*RawSalesTable[[#This Row],[Quantity]]</f>
        <v>177.57</v>
      </c>
      <c r="AC43" s="8">
        <f>RawSalesTable[[#This Row],[Net_Sales]]-RawSalesTable[[#This Row],[Total_Cost]]</f>
        <v>128.88099999999997</v>
      </c>
      <c r="AD43" s="9">
        <f>RawSalesTable[[#This Row],[Profit]]/RawSalesTable[[#This Row],[Net_Sales]]</f>
        <v>0.42055989375136643</v>
      </c>
      <c r="AE43" s="8">
        <f>IF(RawSalesTable[[#This Row],[Return_Status]]="Yes",1,0)</f>
        <v>0</v>
      </c>
      <c r="AF43" s="8">
        <f>YEAR(RawSalesTable[[#This Row],[Order_Date]])</f>
        <v>2025</v>
      </c>
      <c r="AG43" s="8">
        <f>MONTH(RawSalesTable[[#This Row],[Order_Date]])</f>
        <v>10</v>
      </c>
      <c r="AH43" s="8" t="str">
        <f>TEXT(RawSalesTable[[#This Row],[Order_Date]],"mmmm")</f>
        <v>octobre</v>
      </c>
      <c r="AI43" s="8" t="str">
        <f>IF(RawSalesTable[[#This Row],[Month_Number]]&lt;=3,"Q1",IF(RawSalesTable[[#This Row],[Month_Number]]&lt;=6,"Q2",IF(RawSalesTable[[#This Row],[Month_Number]]&lt;=9,"Q3","Q4")))</f>
        <v>Q4</v>
      </c>
      <c r="AJ43" s="13">
        <f>DATE(YEAR(RawSalesTable[[#This Row],[Order_Date]]),MONTH(RawSalesTable[[#This Row],[Order_Date]]),1)</f>
        <v>45931</v>
      </c>
      <c r="AK43" s="8" t="str">
        <f>VLOOKUP(RawSalesTable[[#This Row],[Customer_ID_clean]],CustomersTable[],4,FALSE)</f>
        <v>Alberta</v>
      </c>
    </row>
    <row r="44" spans="1:37">
      <c r="A44" t="s">
        <v>212</v>
      </c>
      <c r="B44" s="3">
        <v>45730</v>
      </c>
      <c r="C44" t="s">
        <v>213</v>
      </c>
      <c r="D44" t="s">
        <v>133</v>
      </c>
      <c r="E44" t="s">
        <v>214</v>
      </c>
      <c r="F44" t="s">
        <v>187</v>
      </c>
      <c r="G44" t="s">
        <v>117</v>
      </c>
      <c r="H44" t="s">
        <v>89</v>
      </c>
      <c r="I44">
        <v>1</v>
      </c>
      <c r="J44" s="2">
        <v>359.52</v>
      </c>
      <c r="K44" s="4">
        <v>0.15</v>
      </c>
      <c r="L44" t="s">
        <v>154</v>
      </c>
      <c r="M44">
        <v>9</v>
      </c>
      <c r="N44" t="s">
        <v>91</v>
      </c>
      <c r="O44" t="str">
        <f>SUBSTITUTE(PROPER(TRIM(RawSalesTable[[#This Row],[Channel_Raw]])), "Market Place", "Marketplace")</f>
        <v>Online</v>
      </c>
      <c r="P44" t="str">
        <f>TRIM(RawSalesTable[[#This Row],[Store_Raw]])</f>
        <v>Vancouver West</v>
      </c>
      <c r="Q44" t="str">
        <f>IF(TRIM(RawSalesTable[[#This Row],[Payment_Method_Raw]])="","Non renseigné",SUBSTITUTE(TRIM(RawSalesTable[[#This Row],[Payment_Method_Raw]]),"CC","Credit Card"))</f>
        <v>Gift Card</v>
      </c>
      <c r="R44" s="8" t="str">
        <f>UPPER(PROPER(RawSalesTable[[#This Row],[Customer_ID]]))</f>
        <v>C0001</v>
      </c>
      <c r="S44" s="8" t="str">
        <f>TRIM(LEFT(RawSalesTable[[#This Row],[Customer_Info]],FIND(",",RawSalesTable[[#This Row],[Customer_Info]]) -1))</f>
        <v>Ethan Roy</v>
      </c>
      <c r="T44" s="8" t="str">
        <f>TRIM(MID(RawSalesTable[[#This Row],[Customer_Info]],FIND(",",RawSalesTable[[#This Row],[Customer_Info]])+1,FIND(",",RawSalesTable[[#This Row],[Customer_Info]],FIND(",",RawSalesTable[[#This Row],[Customer_Info]])+1)-FIND(",",RawSalesTable[[#This Row],[Customer_Info]])-1))</f>
        <v>Halifax</v>
      </c>
      <c r="U44" s="8" t="str">
        <f>TRIM(RIGHT(RawSalesTable[[#This Row],[Customer_Info]], LEN(RawSalesTable[[#This Row],[Customer_Info]])-FIND(",",RawSalesTable[[#This Row],[Customer_Info]],FIND(",",RawSalesTable[[#This Row],[Customer_Info]])+1)))</f>
        <v>Consumer</v>
      </c>
      <c r="V44" s="8" t="str">
        <f>VLOOKUP(RawSalesTable[[#This Row],[Product_ID]],ProductsTable[],2,FALSE)</f>
        <v>Travel Adapter</v>
      </c>
      <c r="W44" s="8" t="str">
        <f>VLOOKUP(RawSalesTable[[#This Row],[Product_ID]],ProductsTable[],3,FALSE)</f>
        <v>Accessories</v>
      </c>
      <c r="X44" s="8">
        <f>VLOOKUP(RawSalesTable[[#This Row],[Product_ID]],ProductsTable[],5,FALSE)</f>
        <v>229.86</v>
      </c>
      <c r="Y44" s="8">
        <f>RawSalesTable[[#This Row],[Quantity]]*RawSalesTable[[#This Row],[Unit_Price]]</f>
        <v>359.52</v>
      </c>
      <c r="Z44" s="8">
        <f>RawSalesTable[[#This Row],[Gross_Sales]]*RawSalesTable[[#This Row],[Discount_Pct]]</f>
        <v>53.927999999999997</v>
      </c>
      <c r="AA44" s="8">
        <f>RawSalesTable[[#This Row],[Gross_Sales]]-RawSalesTable[[#This Row],[Discount_Amount]]</f>
        <v>305.59199999999998</v>
      </c>
      <c r="AB44" s="8">
        <f>RawSalesTable[[#This Row],[Unit_Cost]]*RawSalesTable[[#This Row],[Quantity]]</f>
        <v>229.86</v>
      </c>
      <c r="AC44" s="8">
        <f>RawSalesTable[[#This Row],[Net_Sales]]-RawSalesTable[[#This Row],[Total_Cost]]</f>
        <v>75.731999999999971</v>
      </c>
      <c r="AD44" s="9">
        <f>RawSalesTable[[#This Row],[Profit]]/RawSalesTable[[#This Row],[Net_Sales]]</f>
        <v>0.24782062357653334</v>
      </c>
      <c r="AE44" s="8">
        <f>IF(RawSalesTable[[#This Row],[Return_Status]]="Yes",1,0)</f>
        <v>0</v>
      </c>
      <c r="AF44" s="8">
        <f>YEAR(RawSalesTable[[#This Row],[Order_Date]])</f>
        <v>2025</v>
      </c>
      <c r="AG44" s="8">
        <f>MONTH(RawSalesTable[[#This Row],[Order_Date]])</f>
        <v>3</v>
      </c>
      <c r="AH44" s="8" t="str">
        <f>TEXT(RawSalesTable[[#This Row],[Order_Date]],"mmmm")</f>
        <v>mars</v>
      </c>
      <c r="AI44" s="8" t="str">
        <f>IF(RawSalesTable[[#This Row],[Month_Number]]&lt;=3,"Q1",IF(RawSalesTable[[#This Row],[Month_Number]]&lt;=6,"Q2",IF(RawSalesTable[[#This Row],[Month_Number]]&lt;=9,"Q3","Q4")))</f>
        <v>Q1</v>
      </c>
      <c r="AJ44" s="13">
        <f>DATE(YEAR(RawSalesTable[[#This Row],[Order_Date]]),MONTH(RawSalesTable[[#This Row],[Order_Date]]),1)</f>
        <v>45717</v>
      </c>
      <c r="AK44" s="8" t="str">
        <f>VLOOKUP(RawSalesTable[[#This Row],[Customer_ID_clean]],CustomersTable[],4,FALSE)</f>
        <v>Nova Scotia</v>
      </c>
    </row>
    <row r="45" spans="1:37">
      <c r="A45" t="s">
        <v>215</v>
      </c>
      <c r="B45" s="3">
        <v>45997</v>
      </c>
      <c r="C45" t="s">
        <v>216</v>
      </c>
      <c r="D45" t="s">
        <v>217</v>
      </c>
      <c r="E45" t="s">
        <v>218</v>
      </c>
      <c r="F45" t="s">
        <v>116</v>
      </c>
      <c r="G45" t="s">
        <v>171</v>
      </c>
      <c r="H45" t="s">
        <v>105</v>
      </c>
      <c r="I45">
        <v>1</v>
      </c>
      <c r="J45" s="2">
        <v>99.63</v>
      </c>
      <c r="K45" s="4">
        <v>0</v>
      </c>
      <c r="L45" t="s">
        <v>90</v>
      </c>
      <c r="M45">
        <v>8</v>
      </c>
      <c r="N45" t="s">
        <v>91</v>
      </c>
      <c r="O45" t="str">
        <f>SUBSTITUTE(PROPER(TRIM(RawSalesTable[[#This Row],[Channel_Raw]])), "Market Place", "Marketplace")</f>
        <v>Marketplace</v>
      </c>
      <c r="P45" t="str">
        <f>TRIM(RawSalesTable[[#This Row],[Store_Raw]])</f>
        <v>Toronto Downtown</v>
      </c>
      <c r="Q45" t="str">
        <f>IF(TRIM(RawSalesTable[[#This Row],[Payment_Method_Raw]])="","Non renseigné",SUBSTITUTE(TRIM(RawSalesTable[[#This Row],[Payment_Method_Raw]]),"CC","Credit Card"))</f>
        <v>PayPal</v>
      </c>
      <c r="R45" s="8" t="str">
        <f>UPPER(PROPER(RawSalesTable[[#This Row],[Customer_ID]]))</f>
        <v>C0065</v>
      </c>
      <c r="S45" s="8" t="str">
        <f>TRIM(LEFT(RawSalesTable[[#This Row],[Customer_Info]],FIND(",",RawSalesTable[[#This Row],[Customer_Info]]) -1))</f>
        <v>Mia Wilson</v>
      </c>
      <c r="T45" s="8" t="str">
        <f>TRIM(MID(RawSalesTable[[#This Row],[Customer_Info]],FIND(",",RawSalesTable[[#This Row],[Customer_Info]])+1,FIND(",",RawSalesTable[[#This Row],[Customer_Info]],FIND(",",RawSalesTable[[#This Row],[Customer_Info]])+1)-FIND(",",RawSalesTable[[#This Row],[Customer_Info]])-1))</f>
        <v>Quebec City</v>
      </c>
      <c r="U45" s="8" t="str">
        <f>TRIM(RIGHT(RawSalesTable[[#This Row],[Customer_Info]], LEN(RawSalesTable[[#This Row],[Customer_Info]])-FIND(",",RawSalesTable[[#This Row],[Customer_Info]],FIND(",",RawSalesTable[[#This Row],[Customer_Info]])+1)))</f>
        <v>Consumer</v>
      </c>
      <c r="V45" s="8" t="str">
        <f>VLOOKUP(RawSalesTable[[#This Row],[Product_ID]],ProductsTable[],2,FALSE)</f>
        <v>USB-C Hub</v>
      </c>
      <c r="W45" s="8" t="str">
        <f>VLOOKUP(RawSalesTable[[#This Row],[Product_ID]],ProductsTable[],3,FALSE)</f>
        <v>Electronics</v>
      </c>
      <c r="X45" s="8">
        <f>VLOOKUP(RawSalesTable[[#This Row],[Product_ID]],ProductsTable[],5,FALSE)</f>
        <v>72</v>
      </c>
      <c r="Y45" s="8">
        <f>RawSalesTable[[#This Row],[Quantity]]*RawSalesTable[[#This Row],[Unit_Price]]</f>
        <v>99.63</v>
      </c>
      <c r="Z45" s="8">
        <f>RawSalesTable[[#This Row],[Gross_Sales]]*RawSalesTable[[#This Row],[Discount_Pct]]</f>
        <v>0</v>
      </c>
      <c r="AA45" s="8">
        <f>RawSalesTable[[#This Row],[Gross_Sales]]-RawSalesTable[[#This Row],[Discount_Amount]]</f>
        <v>99.63</v>
      </c>
      <c r="AB45" s="8">
        <f>RawSalesTable[[#This Row],[Unit_Cost]]*RawSalesTable[[#This Row],[Quantity]]</f>
        <v>72</v>
      </c>
      <c r="AC45" s="8">
        <f>RawSalesTable[[#This Row],[Net_Sales]]-RawSalesTable[[#This Row],[Total_Cost]]</f>
        <v>27.629999999999995</v>
      </c>
      <c r="AD45" s="9">
        <f>RawSalesTable[[#This Row],[Profit]]/RawSalesTable[[#This Row],[Net_Sales]]</f>
        <v>0.27732610659439927</v>
      </c>
      <c r="AE45" s="8">
        <f>IF(RawSalesTable[[#This Row],[Return_Status]]="Yes",1,0)</f>
        <v>0</v>
      </c>
      <c r="AF45" s="8">
        <f>YEAR(RawSalesTable[[#This Row],[Order_Date]])</f>
        <v>2025</v>
      </c>
      <c r="AG45" s="8">
        <f>MONTH(RawSalesTable[[#This Row],[Order_Date]])</f>
        <v>12</v>
      </c>
      <c r="AH45" s="8" t="str">
        <f>TEXT(RawSalesTable[[#This Row],[Order_Date]],"mmmm")</f>
        <v>décembre</v>
      </c>
      <c r="AI45" s="8" t="str">
        <f>IF(RawSalesTable[[#This Row],[Month_Number]]&lt;=3,"Q1",IF(RawSalesTable[[#This Row],[Month_Number]]&lt;=6,"Q2",IF(RawSalesTable[[#This Row],[Month_Number]]&lt;=9,"Q3","Q4")))</f>
        <v>Q4</v>
      </c>
      <c r="AJ45" s="13">
        <f>DATE(YEAR(RawSalesTable[[#This Row],[Order_Date]]),MONTH(RawSalesTable[[#This Row],[Order_Date]]),1)</f>
        <v>45992</v>
      </c>
      <c r="AK45" s="8" t="str">
        <f>VLOOKUP(RawSalesTable[[#This Row],[Customer_ID_clean]],CustomersTable[],4,FALSE)</f>
        <v>Quebec</v>
      </c>
    </row>
    <row r="46" spans="1:37">
      <c r="A46" t="s">
        <v>219</v>
      </c>
      <c r="B46" s="3">
        <v>45785</v>
      </c>
      <c r="C46" t="s">
        <v>220</v>
      </c>
      <c r="D46" t="s">
        <v>221</v>
      </c>
      <c r="E46" t="s">
        <v>222</v>
      </c>
      <c r="F46" t="s">
        <v>223</v>
      </c>
      <c r="G46" t="s">
        <v>104</v>
      </c>
      <c r="H46" t="s">
        <v>89</v>
      </c>
      <c r="I46">
        <v>1</v>
      </c>
      <c r="J46" s="2">
        <v>30.26</v>
      </c>
      <c r="K46" s="4">
        <v>0.2</v>
      </c>
      <c r="L46" t="s">
        <v>106</v>
      </c>
      <c r="M46">
        <v>5</v>
      </c>
      <c r="N46" t="s">
        <v>91</v>
      </c>
      <c r="O46" t="str">
        <f>SUBSTITUTE(PROPER(TRIM(RawSalesTable[[#This Row],[Channel_Raw]])), "Market Place", "Marketplace")</f>
        <v>Online</v>
      </c>
      <c r="P46" t="str">
        <f>TRIM(RawSalesTable[[#This Row],[Store_Raw]])</f>
        <v>Montreal Central</v>
      </c>
      <c r="Q46" t="str">
        <f>IF(TRIM(RawSalesTable[[#This Row],[Payment_Method_Raw]])="","Non renseigné",SUBSTITUTE(TRIM(RawSalesTable[[#This Row],[Payment_Method_Raw]]),"CC","Credit Card"))</f>
        <v>Credit Card</v>
      </c>
      <c r="R46" s="8" t="str">
        <f>UPPER(PROPER(RawSalesTable[[#This Row],[Customer_ID]]))</f>
        <v>C0067</v>
      </c>
      <c r="S46" s="8" t="str">
        <f>TRIM(LEFT(RawSalesTable[[#This Row],[Customer_Info]],FIND(",",RawSalesTable[[#This Row],[Customer_Info]]) -1))</f>
        <v>Leo Bennett</v>
      </c>
      <c r="T46" s="8" t="str">
        <f>TRIM(MID(RawSalesTable[[#This Row],[Customer_Info]],FIND(",",RawSalesTable[[#This Row],[Customer_Info]])+1,FIND(",",RawSalesTable[[#This Row],[Customer_Info]],FIND(",",RawSalesTable[[#This Row],[Customer_Info]])+1)-FIND(",",RawSalesTable[[#This Row],[Customer_Info]])-1))</f>
        <v>Mississauga</v>
      </c>
      <c r="U46" s="8" t="str">
        <f>TRIM(RIGHT(RawSalesTable[[#This Row],[Customer_Info]], LEN(RawSalesTable[[#This Row],[Customer_Info]])-FIND(",",RawSalesTable[[#This Row],[Customer_Info]],FIND(",",RawSalesTable[[#This Row],[Customer_Info]])+1)))</f>
        <v>Consumer</v>
      </c>
      <c r="V46" s="8" t="str">
        <f>VLOOKUP(RawSalesTable[[#This Row],[Product_ID]],ProductsTable[],2,FALSE)</f>
        <v>Air Fryer</v>
      </c>
      <c r="W46" s="8" t="str">
        <f>VLOOKUP(RawSalesTable[[#This Row],[Product_ID]],ProductsTable[],3,FALSE)</f>
        <v>Home</v>
      </c>
      <c r="X46" s="8">
        <f>VLOOKUP(RawSalesTable[[#This Row],[Product_ID]],ProductsTable[],5,FALSE)</f>
        <v>14.58</v>
      </c>
      <c r="Y46" s="8">
        <f>RawSalesTable[[#This Row],[Quantity]]*RawSalesTable[[#This Row],[Unit_Price]]</f>
        <v>30.26</v>
      </c>
      <c r="Z46" s="8">
        <f>RawSalesTable[[#This Row],[Gross_Sales]]*RawSalesTable[[#This Row],[Discount_Pct]]</f>
        <v>6.0520000000000005</v>
      </c>
      <c r="AA46" s="8">
        <f>RawSalesTable[[#This Row],[Gross_Sales]]-RawSalesTable[[#This Row],[Discount_Amount]]</f>
        <v>24.208000000000002</v>
      </c>
      <c r="AB46" s="8">
        <f>RawSalesTable[[#This Row],[Unit_Cost]]*RawSalesTable[[#This Row],[Quantity]]</f>
        <v>14.58</v>
      </c>
      <c r="AC46" s="8">
        <f>RawSalesTable[[#This Row],[Net_Sales]]-RawSalesTable[[#This Row],[Total_Cost]]</f>
        <v>9.6280000000000019</v>
      </c>
      <c r="AD46" s="9">
        <f>RawSalesTable[[#This Row],[Profit]]/RawSalesTable[[#This Row],[Net_Sales]]</f>
        <v>0.39771976206212828</v>
      </c>
      <c r="AE46" s="8">
        <f>IF(RawSalesTable[[#This Row],[Return_Status]]="Yes",1,0)</f>
        <v>0</v>
      </c>
      <c r="AF46" s="8">
        <f>YEAR(RawSalesTable[[#This Row],[Order_Date]])</f>
        <v>2025</v>
      </c>
      <c r="AG46" s="8">
        <f>MONTH(RawSalesTable[[#This Row],[Order_Date]])</f>
        <v>5</v>
      </c>
      <c r="AH46" s="8" t="str">
        <f>TEXT(RawSalesTable[[#This Row],[Order_Date]],"mmmm")</f>
        <v>mai</v>
      </c>
      <c r="AI46" s="8" t="str">
        <f>IF(RawSalesTable[[#This Row],[Month_Number]]&lt;=3,"Q1",IF(RawSalesTable[[#This Row],[Month_Number]]&lt;=6,"Q2",IF(RawSalesTable[[#This Row],[Month_Number]]&lt;=9,"Q3","Q4")))</f>
        <v>Q2</v>
      </c>
      <c r="AJ46" s="13">
        <f>DATE(YEAR(RawSalesTable[[#This Row],[Order_Date]]),MONTH(RawSalesTable[[#This Row],[Order_Date]]),1)</f>
        <v>45778</v>
      </c>
      <c r="AK46" s="8" t="str">
        <f>VLOOKUP(RawSalesTable[[#This Row],[Customer_ID_clean]],CustomersTable[],4,FALSE)</f>
        <v>Ontario</v>
      </c>
    </row>
    <row r="47" spans="1:37">
      <c r="A47" t="s">
        <v>224</v>
      </c>
      <c r="B47" s="3">
        <v>45732</v>
      </c>
      <c r="C47" t="s">
        <v>225</v>
      </c>
      <c r="D47" t="s">
        <v>226</v>
      </c>
      <c r="E47" t="s">
        <v>227</v>
      </c>
      <c r="F47" t="s">
        <v>111</v>
      </c>
      <c r="G47" t="s">
        <v>130</v>
      </c>
      <c r="H47" t="s">
        <v>228</v>
      </c>
      <c r="I47">
        <v>1</v>
      </c>
      <c r="J47" s="2">
        <v>215.08</v>
      </c>
      <c r="K47" s="4">
        <v>0</v>
      </c>
      <c r="L47" t="s">
        <v>98</v>
      </c>
      <c r="M47">
        <v>9</v>
      </c>
      <c r="N47" t="s">
        <v>91</v>
      </c>
      <c r="O47" t="str">
        <f>SUBSTITUTE(PROPER(TRIM(RawSalesTable[[#This Row],[Channel_Raw]])), "Market Place", "Marketplace")</f>
        <v>Online</v>
      </c>
      <c r="P47" t="str">
        <f>TRIM(RawSalesTable[[#This Row],[Store_Raw]])</f>
        <v>Montreal Central</v>
      </c>
      <c r="Q47" t="str">
        <f>IF(TRIM(RawSalesTable[[#This Row],[Payment_Method_Raw]])="","Non renseigné",SUBSTITUTE(TRIM(RawSalesTable[[#This Row],[Payment_Method_Raw]]),"CC","Credit Card"))</f>
        <v>Debit Card</v>
      </c>
      <c r="R47" s="8" t="str">
        <f>UPPER(PROPER(RawSalesTable[[#This Row],[Customer_ID]]))</f>
        <v>C0110</v>
      </c>
      <c r="S47" s="8" t="str">
        <f>TRIM(LEFT(RawSalesTable[[#This Row],[Customer_Info]],FIND(",",RawSalesTable[[#This Row],[Customer_Info]]) -1))</f>
        <v>Sarah Smith</v>
      </c>
      <c r="T47" s="8" t="str">
        <f>TRIM(MID(RawSalesTable[[#This Row],[Customer_Info]],FIND(",",RawSalesTable[[#This Row],[Customer_Info]])+1,FIND(",",RawSalesTable[[#This Row],[Customer_Info]],FIND(",",RawSalesTable[[#This Row],[Customer_Info]])+1)-FIND(",",RawSalesTable[[#This Row],[Customer_Info]])-1))</f>
        <v>Laval</v>
      </c>
      <c r="U47" s="8" t="str">
        <f>TRIM(RIGHT(RawSalesTable[[#This Row],[Customer_Info]], LEN(RawSalesTable[[#This Row],[Customer_Info]])-FIND(",",RawSalesTable[[#This Row],[Customer_Info]],FIND(",",RawSalesTable[[#This Row],[Customer_Info]])+1)))</f>
        <v>Consumer</v>
      </c>
      <c r="V47" s="8" t="str">
        <f>VLOOKUP(RawSalesTable[[#This Row],[Product_ID]],ProductsTable[],2,FALSE)</f>
        <v>Desk Lamp</v>
      </c>
      <c r="W47" s="8" t="str">
        <f>VLOOKUP(RawSalesTable[[#This Row],[Product_ID]],ProductsTable[],3,FALSE)</f>
        <v>Office</v>
      </c>
      <c r="X47" s="8">
        <f>VLOOKUP(RawSalesTable[[#This Row],[Product_ID]],ProductsTable[],5,FALSE)</f>
        <v>127.21</v>
      </c>
      <c r="Y47" s="8">
        <f>RawSalesTable[[#This Row],[Quantity]]*RawSalesTable[[#This Row],[Unit_Price]]</f>
        <v>215.08</v>
      </c>
      <c r="Z47" s="8">
        <f>RawSalesTable[[#This Row],[Gross_Sales]]*RawSalesTable[[#This Row],[Discount_Pct]]</f>
        <v>0</v>
      </c>
      <c r="AA47" s="8">
        <f>RawSalesTable[[#This Row],[Gross_Sales]]-RawSalesTable[[#This Row],[Discount_Amount]]</f>
        <v>215.08</v>
      </c>
      <c r="AB47" s="8">
        <f>RawSalesTable[[#This Row],[Unit_Cost]]*RawSalesTable[[#This Row],[Quantity]]</f>
        <v>127.21</v>
      </c>
      <c r="AC47" s="8">
        <f>RawSalesTable[[#This Row],[Net_Sales]]-RawSalesTable[[#This Row],[Total_Cost]]</f>
        <v>87.870000000000019</v>
      </c>
      <c r="AD47" s="9">
        <f>RawSalesTable[[#This Row],[Profit]]/RawSalesTable[[#This Row],[Net_Sales]]</f>
        <v>0.40854565742979365</v>
      </c>
      <c r="AE47" s="8">
        <f>IF(RawSalesTable[[#This Row],[Return_Status]]="Yes",1,0)</f>
        <v>0</v>
      </c>
      <c r="AF47" s="8">
        <f>YEAR(RawSalesTable[[#This Row],[Order_Date]])</f>
        <v>2025</v>
      </c>
      <c r="AG47" s="8">
        <f>MONTH(RawSalesTable[[#This Row],[Order_Date]])</f>
        <v>3</v>
      </c>
      <c r="AH47" s="8" t="str">
        <f>TEXT(RawSalesTable[[#This Row],[Order_Date]],"mmmm")</f>
        <v>mars</v>
      </c>
      <c r="AI47" s="8" t="str">
        <f>IF(RawSalesTable[[#This Row],[Month_Number]]&lt;=3,"Q1",IF(RawSalesTable[[#This Row],[Month_Number]]&lt;=6,"Q2",IF(RawSalesTable[[#This Row],[Month_Number]]&lt;=9,"Q3","Q4")))</f>
        <v>Q1</v>
      </c>
      <c r="AJ47" s="13">
        <f>DATE(YEAR(RawSalesTable[[#This Row],[Order_Date]]),MONTH(RawSalesTable[[#This Row],[Order_Date]]),1)</f>
        <v>45717</v>
      </c>
      <c r="AK47" s="8" t="str">
        <f>VLOOKUP(RawSalesTable[[#This Row],[Customer_ID_clean]],CustomersTable[],4,FALSE)</f>
        <v>Quebec</v>
      </c>
    </row>
    <row r="48" spans="1:37">
      <c r="A48" t="s">
        <v>229</v>
      </c>
      <c r="B48" s="3">
        <v>45961</v>
      </c>
      <c r="C48" t="s">
        <v>230</v>
      </c>
      <c r="D48" t="s">
        <v>231</v>
      </c>
      <c r="E48" t="s">
        <v>232</v>
      </c>
      <c r="F48" t="s">
        <v>116</v>
      </c>
      <c r="G48" t="s">
        <v>171</v>
      </c>
      <c r="H48" t="s">
        <v>233</v>
      </c>
      <c r="I48">
        <v>3</v>
      </c>
      <c r="J48" s="2">
        <v>370.4</v>
      </c>
      <c r="K48" s="4">
        <v>0.05</v>
      </c>
      <c r="L48" t="s">
        <v>106</v>
      </c>
      <c r="M48">
        <v>0</v>
      </c>
      <c r="N48" t="s">
        <v>91</v>
      </c>
      <c r="O48" t="str">
        <f>SUBSTITUTE(PROPER(TRIM(RawSalesTable[[#This Row],[Channel_Raw]])), "Market Place", "Marketplace")</f>
        <v>Retail Store</v>
      </c>
      <c r="P48" t="str">
        <f>TRIM(RawSalesTable[[#This Row],[Store_Raw]])</f>
        <v>Toronto Downtown</v>
      </c>
      <c r="Q48" t="str">
        <f>IF(TRIM(RawSalesTable[[#This Row],[Payment_Method_Raw]])="","Non renseigné",SUBSTITUTE(TRIM(RawSalesTable[[#This Row],[Payment_Method_Raw]]),"CC","Credit Card"))</f>
        <v>Credit Card</v>
      </c>
      <c r="R48" s="8" t="str">
        <f>UPPER(PROPER(RawSalesTable[[#This Row],[Customer_ID]]))</f>
        <v>C0063</v>
      </c>
      <c r="S48" s="8" t="str">
        <f>TRIM(LEFT(RawSalesTable[[#This Row],[Customer_Info]],FIND(",",RawSalesTable[[#This Row],[Customer_Info]]) -1))</f>
        <v>Adam Singh</v>
      </c>
      <c r="T48" s="8" t="str">
        <f>TRIM(MID(RawSalesTable[[#This Row],[Customer_Info]],FIND(",",RawSalesTable[[#This Row],[Customer_Info]])+1,FIND(",",RawSalesTable[[#This Row],[Customer_Info]],FIND(",",RawSalesTable[[#This Row],[Customer_Info]])+1)-FIND(",",RawSalesTable[[#This Row],[Customer_Info]])-1))</f>
        <v>Laval</v>
      </c>
      <c r="U48" s="8" t="str">
        <f>TRIM(RIGHT(RawSalesTable[[#This Row],[Customer_Info]], LEN(RawSalesTable[[#This Row],[Customer_Info]])-FIND(",",RawSalesTable[[#This Row],[Customer_Info]],FIND(",",RawSalesTable[[#This Row],[Customer_Info]])+1)))</f>
        <v>Small Business</v>
      </c>
      <c r="V48" s="8" t="str">
        <f>VLOOKUP(RawSalesTable[[#This Row],[Product_ID]],ProductsTable[],2,FALSE)</f>
        <v>Cable Set</v>
      </c>
      <c r="W48" s="8" t="str">
        <f>VLOOKUP(RawSalesTable[[#This Row],[Product_ID]],ProductsTable[],3,FALSE)</f>
        <v>Accessories</v>
      </c>
      <c r="X48" s="8">
        <f>VLOOKUP(RawSalesTable[[#This Row],[Product_ID]],ProductsTable[],5,FALSE)</f>
        <v>200.16</v>
      </c>
      <c r="Y48" s="8">
        <f>RawSalesTable[[#This Row],[Quantity]]*RawSalesTable[[#This Row],[Unit_Price]]</f>
        <v>1111.1999999999998</v>
      </c>
      <c r="Z48" s="8">
        <f>RawSalesTable[[#This Row],[Gross_Sales]]*RawSalesTable[[#This Row],[Discount_Pct]]</f>
        <v>55.559999999999995</v>
      </c>
      <c r="AA48" s="8">
        <f>RawSalesTable[[#This Row],[Gross_Sales]]-RawSalesTable[[#This Row],[Discount_Amount]]</f>
        <v>1055.6399999999999</v>
      </c>
      <c r="AB48" s="8">
        <f>RawSalesTable[[#This Row],[Unit_Cost]]*RawSalesTable[[#This Row],[Quantity]]</f>
        <v>600.48</v>
      </c>
      <c r="AC48" s="8">
        <f>RawSalesTable[[#This Row],[Net_Sales]]-RawSalesTable[[#This Row],[Total_Cost]]</f>
        <v>455.15999999999985</v>
      </c>
      <c r="AD48" s="9">
        <f>RawSalesTable[[#This Row],[Profit]]/RawSalesTable[[#This Row],[Net_Sales]]</f>
        <v>0.43116971694895978</v>
      </c>
      <c r="AE48" s="8">
        <f>IF(RawSalesTable[[#This Row],[Return_Status]]="Yes",1,0)</f>
        <v>0</v>
      </c>
      <c r="AF48" s="8">
        <f>YEAR(RawSalesTable[[#This Row],[Order_Date]])</f>
        <v>2025</v>
      </c>
      <c r="AG48" s="8">
        <f>MONTH(RawSalesTable[[#This Row],[Order_Date]])</f>
        <v>10</v>
      </c>
      <c r="AH48" s="8" t="str">
        <f>TEXT(RawSalesTable[[#This Row],[Order_Date]],"mmmm")</f>
        <v>octobre</v>
      </c>
      <c r="AI48" s="8" t="str">
        <f>IF(RawSalesTable[[#This Row],[Month_Number]]&lt;=3,"Q1",IF(RawSalesTable[[#This Row],[Month_Number]]&lt;=6,"Q2",IF(RawSalesTable[[#This Row],[Month_Number]]&lt;=9,"Q3","Q4")))</f>
        <v>Q4</v>
      </c>
      <c r="AJ48" s="13">
        <f>DATE(YEAR(RawSalesTable[[#This Row],[Order_Date]]),MONTH(RawSalesTable[[#This Row],[Order_Date]]),1)</f>
        <v>45931</v>
      </c>
      <c r="AK48" s="8" t="str">
        <f>VLOOKUP(RawSalesTable[[#This Row],[Customer_ID_clean]],CustomersTable[],4,FALSE)</f>
        <v>Quebec</v>
      </c>
    </row>
    <row r="49" spans="1:37">
      <c r="A49" t="s">
        <v>234</v>
      </c>
      <c r="B49" s="3">
        <v>45861</v>
      </c>
      <c r="C49" t="s">
        <v>119</v>
      </c>
      <c r="D49" t="s">
        <v>139</v>
      </c>
      <c r="E49" t="s">
        <v>121</v>
      </c>
      <c r="F49" t="s">
        <v>103</v>
      </c>
      <c r="G49" t="s">
        <v>122</v>
      </c>
      <c r="H49" t="s">
        <v>97</v>
      </c>
      <c r="I49">
        <v>5</v>
      </c>
      <c r="J49" s="2">
        <v>82.85</v>
      </c>
      <c r="K49" s="4">
        <v>0.1</v>
      </c>
      <c r="L49" t="s">
        <v>106</v>
      </c>
      <c r="M49">
        <v>0</v>
      </c>
      <c r="N49" t="s">
        <v>91</v>
      </c>
      <c r="O49" t="str">
        <f>SUBSTITUTE(PROPER(TRIM(RawSalesTable[[#This Row],[Channel_Raw]])), "Market Place", "Marketplace")</f>
        <v>Retail Store</v>
      </c>
      <c r="P49" t="str">
        <f>TRIM(RawSalesTable[[#This Row],[Store_Raw]])</f>
        <v>Vancouver West</v>
      </c>
      <c r="Q49" t="str">
        <f>IF(TRIM(RawSalesTable[[#This Row],[Payment_Method_Raw]])="","Non renseigné",SUBSTITUTE(TRIM(RawSalesTable[[#This Row],[Payment_Method_Raw]]),"CC","Credit Card"))</f>
        <v>Credit Card</v>
      </c>
      <c r="R49" s="8" t="str">
        <f>UPPER(PROPER(RawSalesTable[[#This Row],[Customer_ID]]))</f>
        <v>C0057</v>
      </c>
      <c r="S49" s="8" t="str">
        <f>TRIM(LEFT(RawSalesTable[[#This Row],[Customer_Info]],FIND(",",RawSalesTable[[#This Row],[Customer_Info]]) -1))</f>
        <v>Adam Khan</v>
      </c>
      <c r="T49" s="8" t="str">
        <f>TRIM(MID(RawSalesTable[[#This Row],[Customer_Info]],FIND(",",RawSalesTable[[#This Row],[Customer_Info]])+1,FIND(",",RawSalesTable[[#This Row],[Customer_Info]],FIND(",",RawSalesTable[[#This Row],[Customer_Info]])+1)-FIND(",",RawSalesTable[[#This Row],[Customer_Info]])-1))</f>
        <v>Edmonton</v>
      </c>
      <c r="U49" s="8" t="str">
        <f>TRIM(RIGHT(RawSalesTable[[#This Row],[Customer_Info]], LEN(RawSalesTable[[#This Row],[Customer_Info]])-FIND(",",RawSalesTable[[#This Row],[Customer_Info]],FIND(",",RawSalesTable[[#This Row],[Customer_Info]])+1)))</f>
        <v>Small Business</v>
      </c>
      <c r="V49" s="8" t="str">
        <f>VLOOKUP(RawSalesTable[[#This Row],[Product_ID]],ProductsTable[],2,FALSE)</f>
        <v>Standing Desk</v>
      </c>
      <c r="W49" s="8" t="str">
        <f>VLOOKUP(RawSalesTable[[#This Row],[Product_ID]],ProductsTable[],3,FALSE)</f>
        <v>Office</v>
      </c>
      <c r="X49" s="8">
        <f>VLOOKUP(RawSalesTable[[#This Row],[Product_ID]],ProductsTable[],5,FALSE)</f>
        <v>45.17</v>
      </c>
      <c r="Y49" s="8">
        <f>RawSalesTable[[#This Row],[Quantity]]*RawSalesTable[[#This Row],[Unit_Price]]</f>
        <v>414.25</v>
      </c>
      <c r="Z49" s="8">
        <f>RawSalesTable[[#This Row],[Gross_Sales]]*RawSalesTable[[#This Row],[Discount_Pct]]</f>
        <v>41.425000000000004</v>
      </c>
      <c r="AA49" s="8">
        <f>RawSalesTable[[#This Row],[Gross_Sales]]-RawSalesTable[[#This Row],[Discount_Amount]]</f>
        <v>372.82499999999999</v>
      </c>
      <c r="AB49" s="8">
        <f>RawSalesTable[[#This Row],[Unit_Cost]]*RawSalesTable[[#This Row],[Quantity]]</f>
        <v>225.85000000000002</v>
      </c>
      <c r="AC49" s="8">
        <f>RawSalesTable[[#This Row],[Net_Sales]]-RawSalesTable[[#This Row],[Total_Cost]]</f>
        <v>146.97499999999997</v>
      </c>
      <c r="AD49" s="9">
        <f>RawSalesTable[[#This Row],[Profit]]/RawSalesTable[[#This Row],[Net_Sales]]</f>
        <v>0.39421980822101516</v>
      </c>
      <c r="AE49" s="8">
        <f>IF(RawSalesTable[[#This Row],[Return_Status]]="Yes",1,0)</f>
        <v>0</v>
      </c>
      <c r="AF49" s="8">
        <f>YEAR(RawSalesTable[[#This Row],[Order_Date]])</f>
        <v>2025</v>
      </c>
      <c r="AG49" s="8">
        <f>MONTH(RawSalesTable[[#This Row],[Order_Date]])</f>
        <v>7</v>
      </c>
      <c r="AH49" s="8" t="str">
        <f>TEXT(RawSalesTable[[#This Row],[Order_Date]],"mmmm")</f>
        <v>juillet</v>
      </c>
      <c r="AI49" s="8" t="str">
        <f>IF(RawSalesTable[[#This Row],[Month_Number]]&lt;=3,"Q1",IF(RawSalesTable[[#This Row],[Month_Number]]&lt;=6,"Q2",IF(RawSalesTable[[#This Row],[Month_Number]]&lt;=9,"Q3","Q4")))</f>
        <v>Q3</v>
      </c>
      <c r="AJ49" s="13">
        <f>DATE(YEAR(RawSalesTable[[#This Row],[Order_Date]]),MONTH(RawSalesTable[[#This Row],[Order_Date]]),1)</f>
        <v>45839</v>
      </c>
      <c r="AK49" s="8" t="str">
        <f>VLOOKUP(RawSalesTable[[#This Row],[Customer_ID_clean]],CustomersTable[],4,FALSE)</f>
        <v>Alberta</v>
      </c>
    </row>
    <row r="50" spans="1:37">
      <c r="A50" t="s">
        <v>235</v>
      </c>
      <c r="B50" s="3">
        <v>45703</v>
      </c>
      <c r="C50" t="s">
        <v>236</v>
      </c>
      <c r="D50" t="s">
        <v>136</v>
      </c>
      <c r="E50" t="s">
        <v>237</v>
      </c>
      <c r="F50" t="s">
        <v>87</v>
      </c>
      <c r="G50" t="s">
        <v>96</v>
      </c>
      <c r="H50" t="s">
        <v>97</v>
      </c>
      <c r="I50">
        <v>1</v>
      </c>
      <c r="J50" s="2">
        <v>165.76</v>
      </c>
      <c r="K50" s="4">
        <v>0.2</v>
      </c>
      <c r="L50" t="s">
        <v>98</v>
      </c>
      <c r="M50">
        <v>3</v>
      </c>
      <c r="N50" t="s">
        <v>91</v>
      </c>
      <c r="O50" t="str">
        <f>SUBSTITUTE(PROPER(TRIM(RawSalesTable[[#This Row],[Channel_Raw]])), "Market Place", "Marketplace")</f>
        <v>Retail Store</v>
      </c>
      <c r="P50" t="str">
        <f>TRIM(RawSalesTable[[#This Row],[Store_Raw]])</f>
        <v>Online Fulfillment</v>
      </c>
      <c r="Q50" t="str">
        <f>IF(TRIM(RawSalesTable[[#This Row],[Payment_Method_Raw]])="","Non renseigné",SUBSTITUTE(TRIM(RawSalesTable[[#This Row],[Payment_Method_Raw]]),"CC","Credit Card"))</f>
        <v>Debit Card</v>
      </c>
      <c r="R50" s="8" t="str">
        <f>UPPER(PROPER(RawSalesTable[[#This Row],[Customer_ID]]))</f>
        <v>C0102</v>
      </c>
      <c r="S50" s="8" t="str">
        <f>TRIM(LEFT(RawSalesTable[[#This Row],[Customer_Info]],FIND(",",RawSalesTable[[#This Row],[Customer_Info]]) -1))</f>
        <v>Adam Roy</v>
      </c>
      <c r="T50" s="8" t="str">
        <f>TRIM(MID(RawSalesTable[[#This Row],[Customer_Info]],FIND(",",RawSalesTable[[#This Row],[Customer_Info]])+1,FIND(",",RawSalesTable[[#This Row],[Customer_Info]],FIND(",",RawSalesTable[[#This Row],[Customer_Info]])+1)-FIND(",",RawSalesTable[[#This Row],[Customer_Info]])-1))</f>
        <v>Edmonton</v>
      </c>
      <c r="U50" s="8" t="str">
        <f>TRIM(RIGHT(RawSalesTable[[#This Row],[Customer_Info]], LEN(RawSalesTable[[#This Row],[Customer_Info]])-FIND(",",RawSalesTable[[#This Row],[Customer_Info]],FIND(",",RawSalesTable[[#This Row],[Customer_Info]])+1)))</f>
        <v>Corporate</v>
      </c>
      <c r="V50" s="8" t="str">
        <f>VLOOKUP(RawSalesTable[[#This Row],[Product_ID]],ProductsTable[],2,FALSE)</f>
        <v>Mouse</v>
      </c>
      <c r="W50" s="8" t="str">
        <f>VLOOKUP(RawSalesTable[[#This Row],[Product_ID]],ProductsTable[],3,FALSE)</f>
        <v>Electronics</v>
      </c>
      <c r="X50" s="8">
        <f>VLOOKUP(RawSalesTable[[#This Row],[Product_ID]],ProductsTable[],5,FALSE)</f>
        <v>106.4</v>
      </c>
      <c r="Y50" s="8">
        <f>RawSalesTable[[#This Row],[Quantity]]*RawSalesTable[[#This Row],[Unit_Price]]</f>
        <v>165.76</v>
      </c>
      <c r="Z50" s="8">
        <f>RawSalesTable[[#This Row],[Gross_Sales]]*RawSalesTable[[#This Row],[Discount_Pct]]</f>
        <v>33.152000000000001</v>
      </c>
      <c r="AA50" s="8">
        <f>RawSalesTable[[#This Row],[Gross_Sales]]-RawSalesTable[[#This Row],[Discount_Amount]]</f>
        <v>132.608</v>
      </c>
      <c r="AB50" s="8">
        <f>RawSalesTable[[#This Row],[Unit_Cost]]*RawSalesTable[[#This Row],[Quantity]]</f>
        <v>106.4</v>
      </c>
      <c r="AC50" s="8">
        <f>RawSalesTable[[#This Row],[Net_Sales]]-RawSalesTable[[#This Row],[Total_Cost]]</f>
        <v>26.207999999999998</v>
      </c>
      <c r="AD50" s="9">
        <f>RawSalesTable[[#This Row],[Profit]]/RawSalesTable[[#This Row],[Net_Sales]]</f>
        <v>0.19763513513513511</v>
      </c>
      <c r="AE50" s="8">
        <f>IF(RawSalesTable[[#This Row],[Return_Status]]="Yes",1,0)</f>
        <v>0</v>
      </c>
      <c r="AF50" s="8">
        <f>YEAR(RawSalesTable[[#This Row],[Order_Date]])</f>
        <v>2025</v>
      </c>
      <c r="AG50" s="8">
        <f>MONTH(RawSalesTable[[#This Row],[Order_Date]])</f>
        <v>2</v>
      </c>
      <c r="AH50" s="8" t="str">
        <f>TEXT(RawSalesTable[[#This Row],[Order_Date]],"mmmm")</f>
        <v>février</v>
      </c>
      <c r="AI50" s="8" t="str">
        <f>IF(RawSalesTable[[#This Row],[Month_Number]]&lt;=3,"Q1",IF(RawSalesTable[[#This Row],[Month_Number]]&lt;=6,"Q2",IF(RawSalesTable[[#This Row],[Month_Number]]&lt;=9,"Q3","Q4")))</f>
        <v>Q1</v>
      </c>
      <c r="AJ50" s="13">
        <f>DATE(YEAR(RawSalesTable[[#This Row],[Order_Date]]),MONTH(RawSalesTable[[#This Row],[Order_Date]]),1)</f>
        <v>45689</v>
      </c>
      <c r="AK50" s="8" t="str">
        <f>VLOOKUP(RawSalesTable[[#This Row],[Customer_ID_clean]],CustomersTable[],4,FALSE)</f>
        <v>Alberta</v>
      </c>
    </row>
    <row r="51" spans="1:37">
      <c r="A51" t="s">
        <v>238</v>
      </c>
      <c r="B51" s="3">
        <v>45778</v>
      </c>
      <c r="C51" t="s">
        <v>239</v>
      </c>
      <c r="D51" t="s">
        <v>136</v>
      </c>
      <c r="E51" t="s">
        <v>240</v>
      </c>
      <c r="F51" t="s">
        <v>145</v>
      </c>
      <c r="G51" t="s">
        <v>104</v>
      </c>
      <c r="H51" t="s">
        <v>97</v>
      </c>
      <c r="I51">
        <v>1</v>
      </c>
      <c r="J51" s="2">
        <v>168.75</v>
      </c>
      <c r="K51" s="4">
        <v>0</v>
      </c>
      <c r="L51" t="s">
        <v>98</v>
      </c>
      <c r="M51">
        <v>0</v>
      </c>
      <c r="N51" t="s">
        <v>147</v>
      </c>
      <c r="O51" t="str">
        <f>SUBSTITUTE(PROPER(TRIM(RawSalesTable[[#This Row],[Channel_Raw]])), "Market Place", "Marketplace")</f>
        <v>Retail Store</v>
      </c>
      <c r="P51" t="str">
        <f>TRIM(RawSalesTable[[#This Row],[Store_Raw]])</f>
        <v>Calgary North</v>
      </c>
      <c r="Q51" t="str">
        <f>IF(TRIM(RawSalesTable[[#This Row],[Payment_Method_Raw]])="","Non renseigné",SUBSTITUTE(TRIM(RawSalesTable[[#This Row],[Payment_Method_Raw]]),"CC","Credit Card"))</f>
        <v>Debit Card</v>
      </c>
      <c r="R51" s="8" t="str">
        <f>UPPER(PROPER(RawSalesTable[[#This Row],[Customer_ID]]))</f>
        <v>C0089</v>
      </c>
      <c r="S51" s="8" t="str">
        <f>TRIM(LEFT(RawSalesTable[[#This Row],[Customer_Info]],FIND(",",RawSalesTable[[#This Row],[Customer_Info]]) -1))</f>
        <v>Lucas Martin</v>
      </c>
      <c r="T51" s="8" t="str">
        <f>TRIM(MID(RawSalesTable[[#This Row],[Customer_Info]],FIND(",",RawSalesTable[[#This Row],[Customer_Info]])+1,FIND(",",RawSalesTable[[#This Row],[Customer_Info]],FIND(",",RawSalesTable[[#This Row],[Customer_Info]])+1)-FIND(",",RawSalesTable[[#This Row],[Customer_Info]])-1))</f>
        <v>Vancouver</v>
      </c>
      <c r="U51" s="8" t="str">
        <f>TRIM(RIGHT(RawSalesTable[[#This Row],[Customer_Info]], LEN(RawSalesTable[[#This Row],[Customer_Info]])-FIND(",",RawSalesTable[[#This Row],[Customer_Info]],FIND(",",RawSalesTable[[#This Row],[Customer_Info]])+1)))</f>
        <v>Consumer</v>
      </c>
      <c r="V51" s="8" t="str">
        <f>VLOOKUP(RawSalesTable[[#This Row],[Product_ID]],ProductsTable[],2,FALSE)</f>
        <v>Mouse</v>
      </c>
      <c r="W51" s="8" t="str">
        <f>VLOOKUP(RawSalesTable[[#This Row],[Product_ID]],ProductsTable[],3,FALSE)</f>
        <v>Electronics</v>
      </c>
      <c r="X51" s="8">
        <f>VLOOKUP(RawSalesTable[[#This Row],[Product_ID]],ProductsTable[],5,FALSE)</f>
        <v>106.4</v>
      </c>
      <c r="Y51" s="8">
        <f>RawSalesTable[[#This Row],[Quantity]]*RawSalesTable[[#This Row],[Unit_Price]]</f>
        <v>168.75</v>
      </c>
      <c r="Z51" s="8">
        <f>RawSalesTable[[#This Row],[Gross_Sales]]*RawSalesTable[[#This Row],[Discount_Pct]]</f>
        <v>0</v>
      </c>
      <c r="AA51" s="8">
        <f>RawSalesTable[[#This Row],[Gross_Sales]]-RawSalesTable[[#This Row],[Discount_Amount]]</f>
        <v>168.75</v>
      </c>
      <c r="AB51" s="8">
        <f>RawSalesTable[[#This Row],[Unit_Cost]]*RawSalesTable[[#This Row],[Quantity]]</f>
        <v>106.4</v>
      </c>
      <c r="AC51" s="8">
        <f>RawSalesTable[[#This Row],[Net_Sales]]-RawSalesTable[[#This Row],[Total_Cost]]</f>
        <v>62.349999999999994</v>
      </c>
      <c r="AD51" s="9">
        <f>RawSalesTable[[#This Row],[Profit]]/RawSalesTable[[#This Row],[Net_Sales]]</f>
        <v>0.36948148148148147</v>
      </c>
      <c r="AE51" s="8">
        <f>IF(RawSalesTable[[#This Row],[Return_Status]]="Yes",1,0)</f>
        <v>1</v>
      </c>
      <c r="AF51" s="8">
        <f>YEAR(RawSalesTable[[#This Row],[Order_Date]])</f>
        <v>2025</v>
      </c>
      <c r="AG51" s="8">
        <f>MONTH(RawSalesTable[[#This Row],[Order_Date]])</f>
        <v>5</v>
      </c>
      <c r="AH51" s="8" t="str">
        <f>TEXT(RawSalesTable[[#This Row],[Order_Date]],"mmmm")</f>
        <v>mai</v>
      </c>
      <c r="AI51" s="8" t="str">
        <f>IF(RawSalesTable[[#This Row],[Month_Number]]&lt;=3,"Q1",IF(RawSalesTable[[#This Row],[Month_Number]]&lt;=6,"Q2",IF(RawSalesTable[[#This Row],[Month_Number]]&lt;=9,"Q3","Q4")))</f>
        <v>Q2</v>
      </c>
      <c r="AJ51" s="13">
        <f>DATE(YEAR(RawSalesTable[[#This Row],[Order_Date]]),MONTH(RawSalesTable[[#This Row],[Order_Date]]),1)</f>
        <v>45778</v>
      </c>
      <c r="AK51" s="8" t="str">
        <f>VLOOKUP(RawSalesTable[[#This Row],[Customer_ID_clean]],CustomersTable[],4,FALSE)</f>
        <v>British Columbia</v>
      </c>
    </row>
    <row r="52" spans="1:37">
      <c r="A52" t="s">
        <v>241</v>
      </c>
      <c r="B52" s="3">
        <v>46022</v>
      </c>
      <c r="C52" t="s">
        <v>169</v>
      </c>
      <c r="D52" t="s">
        <v>174</v>
      </c>
      <c r="E52" t="s">
        <v>170</v>
      </c>
      <c r="F52" t="s">
        <v>111</v>
      </c>
      <c r="G52" t="s">
        <v>104</v>
      </c>
      <c r="H52" t="s">
        <v>89</v>
      </c>
      <c r="I52">
        <v>3</v>
      </c>
      <c r="J52" s="2">
        <v>39.06</v>
      </c>
      <c r="K52" s="4">
        <v>0</v>
      </c>
      <c r="L52" t="s">
        <v>98</v>
      </c>
      <c r="M52">
        <v>5</v>
      </c>
      <c r="N52" t="s">
        <v>147</v>
      </c>
      <c r="O52" t="str">
        <f>SUBSTITUTE(PROPER(TRIM(RawSalesTable[[#This Row],[Channel_Raw]])), "Market Place", "Marketplace")</f>
        <v>Online</v>
      </c>
      <c r="P52" t="str">
        <f>TRIM(RawSalesTable[[#This Row],[Store_Raw]])</f>
        <v>Montreal Central</v>
      </c>
      <c r="Q52" t="str">
        <f>IF(TRIM(RawSalesTable[[#This Row],[Payment_Method_Raw]])="","Non renseigné",SUBSTITUTE(TRIM(RawSalesTable[[#This Row],[Payment_Method_Raw]]),"CC","Credit Card"))</f>
        <v>Debit Card</v>
      </c>
      <c r="R52" s="8" t="str">
        <f>UPPER(PROPER(RawSalesTable[[#This Row],[Customer_ID]]))</f>
        <v>C0064</v>
      </c>
      <c r="S52" s="8" t="str">
        <f>TRIM(LEFT(RawSalesTable[[#This Row],[Customer_Info]],FIND(",",RawSalesTable[[#This Row],[Customer_Info]]) -1))</f>
        <v>Amine Khan</v>
      </c>
      <c r="T52" s="8" t="str">
        <f>TRIM(MID(RawSalesTable[[#This Row],[Customer_Info]],FIND(",",RawSalesTable[[#This Row],[Customer_Info]])+1,FIND(",",RawSalesTable[[#This Row],[Customer_Info]],FIND(",",RawSalesTable[[#This Row],[Customer_Info]])+1)-FIND(",",RawSalesTable[[#This Row],[Customer_Info]])-1))</f>
        <v>Edmonton</v>
      </c>
      <c r="U52" s="8" t="str">
        <f>TRIM(RIGHT(RawSalesTable[[#This Row],[Customer_Info]], LEN(RawSalesTable[[#This Row],[Customer_Info]])-FIND(",",RawSalesTable[[#This Row],[Customer_Info]],FIND(",",RawSalesTable[[#This Row],[Customer_Info]])+1)))</f>
        <v>Consumer</v>
      </c>
      <c r="V52" s="8" t="str">
        <f>VLOOKUP(RawSalesTable[[#This Row],[Product_ID]],ProductsTable[],2,FALSE)</f>
        <v>Keyboard</v>
      </c>
      <c r="W52" s="8" t="str">
        <f>VLOOKUP(RawSalesTable[[#This Row],[Product_ID]],ProductsTable[],3,FALSE)</f>
        <v>Electronics</v>
      </c>
      <c r="X52" s="8">
        <f>VLOOKUP(RawSalesTable[[#This Row],[Product_ID]],ProductsTable[],5,FALSE)</f>
        <v>23.5</v>
      </c>
      <c r="Y52" s="8">
        <f>RawSalesTable[[#This Row],[Quantity]]*RawSalesTable[[#This Row],[Unit_Price]]</f>
        <v>117.18</v>
      </c>
      <c r="Z52" s="8">
        <f>RawSalesTable[[#This Row],[Gross_Sales]]*RawSalesTable[[#This Row],[Discount_Pct]]</f>
        <v>0</v>
      </c>
      <c r="AA52" s="8">
        <f>RawSalesTable[[#This Row],[Gross_Sales]]-RawSalesTable[[#This Row],[Discount_Amount]]</f>
        <v>117.18</v>
      </c>
      <c r="AB52" s="8">
        <f>RawSalesTable[[#This Row],[Unit_Cost]]*RawSalesTable[[#This Row],[Quantity]]</f>
        <v>70.5</v>
      </c>
      <c r="AC52" s="8">
        <f>RawSalesTable[[#This Row],[Net_Sales]]-RawSalesTable[[#This Row],[Total_Cost]]</f>
        <v>46.680000000000007</v>
      </c>
      <c r="AD52" s="9">
        <f>RawSalesTable[[#This Row],[Profit]]/RawSalesTable[[#This Row],[Net_Sales]]</f>
        <v>0.39836149513568869</v>
      </c>
      <c r="AE52" s="8">
        <f>IF(RawSalesTable[[#This Row],[Return_Status]]="Yes",1,0)</f>
        <v>1</v>
      </c>
      <c r="AF52" s="8">
        <f>YEAR(RawSalesTable[[#This Row],[Order_Date]])</f>
        <v>2025</v>
      </c>
      <c r="AG52" s="8">
        <f>MONTH(RawSalesTable[[#This Row],[Order_Date]])</f>
        <v>12</v>
      </c>
      <c r="AH52" s="8" t="str">
        <f>TEXT(RawSalesTable[[#This Row],[Order_Date]],"mmmm")</f>
        <v>décembre</v>
      </c>
      <c r="AI52" s="8" t="str">
        <f>IF(RawSalesTable[[#This Row],[Month_Number]]&lt;=3,"Q1",IF(RawSalesTable[[#This Row],[Month_Number]]&lt;=6,"Q2",IF(RawSalesTable[[#This Row],[Month_Number]]&lt;=9,"Q3","Q4")))</f>
        <v>Q4</v>
      </c>
      <c r="AJ52" s="13">
        <f>DATE(YEAR(RawSalesTable[[#This Row],[Order_Date]]),MONTH(RawSalesTable[[#This Row],[Order_Date]]),1)</f>
        <v>45992</v>
      </c>
      <c r="AK52" s="8" t="str">
        <f>VLOOKUP(RawSalesTable[[#This Row],[Customer_ID_clean]],CustomersTable[],4,FALSE)</f>
        <v>Alberta</v>
      </c>
    </row>
    <row r="53" spans="1:37">
      <c r="A53" t="s">
        <v>242</v>
      </c>
      <c r="B53" s="3">
        <v>45920</v>
      </c>
      <c r="C53" t="s">
        <v>243</v>
      </c>
      <c r="D53" t="s">
        <v>244</v>
      </c>
      <c r="E53" t="s">
        <v>245</v>
      </c>
      <c r="F53" t="s">
        <v>103</v>
      </c>
      <c r="G53" t="s">
        <v>130</v>
      </c>
      <c r="H53" t="s">
        <v>246</v>
      </c>
      <c r="I53">
        <v>1</v>
      </c>
      <c r="J53" s="2">
        <v>241.49</v>
      </c>
      <c r="K53" s="4">
        <v>0.1</v>
      </c>
      <c r="L53" t="s">
        <v>106</v>
      </c>
      <c r="M53">
        <v>2</v>
      </c>
      <c r="N53" t="s">
        <v>91</v>
      </c>
      <c r="O53" t="str">
        <f>SUBSTITUTE(PROPER(TRIM(RawSalesTable[[#This Row],[Channel_Raw]])), "Market Place", "Marketplace")</f>
        <v>Retail Store</v>
      </c>
      <c r="P53" t="str">
        <f>TRIM(RawSalesTable[[#This Row],[Store_Raw]])</f>
        <v>Vancouver West</v>
      </c>
      <c r="Q53" t="str">
        <f>IF(TRIM(RawSalesTable[[#This Row],[Payment_Method_Raw]])="","Non renseigné",SUBSTITUTE(TRIM(RawSalesTable[[#This Row],[Payment_Method_Raw]]),"CC","Credit Card"))</f>
        <v>Credit Card</v>
      </c>
      <c r="R53" s="8" t="str">
        <f>UPPER(PROPER(RawSalesTable[[#This Row],[Customer_ID]]))</f>
        <v>C0048</v>
      </c>
      <c r="S53" s="8" t="str">
        <f>TRIM(LEFT(RawSalesTable[[#This Row],[Customer_Info]],FIND(",",RawSalesTable[[#This Row],[Customer_Info]]) -1))</f>
        <v>Amelia Brown</v>
      </c>
      <c r="T53" s="8" t="str">
        <f>TRIM(MID(RawSalesTable[[#This Row],[Customer_Info]],FIND(",",RawSalesTable[[#This Row],[Customer_Info]])+1,FIND(",",RawSalesTable[[#This Row],[Customer_Info]],FIND(",",RawSalesTable[[#This Row],[Customer_Info]])+1)-FIND(",",RawSalesTable[[#This Row],[Customer_Info]])-1))</f>
        <v>Quebec City</v>
      </c>
      <c r="U53" s="8" t="str">
        <f>TRIM(RIGHT(RawSalesTable[[#This Row],[Customer_Info]], LEN(RawSalesTable[[#This Row],[Customer_Info]])-FIND(",",RawSalesTable[[#This Row],[Customer_Info]],FIND(",",RawSalesTable[[#This Row],[Customer_Info]])+1)))</f>
        <v>Corporate</v>
      </c>
      <c r="V53" s="8" t="str">
        <f>VLOOKUP(RawSalesTable[[#This Row],[Product_ID]],ProductsTable[],2,FALSE)</f>
        <v>Portable SSD</v>
      </c>
      <c r="W53" s="8" t="str">
        <f>VLOOKUP(RawSalesTable[[#This Row],[Product_ID]],ProductsTable[],3,FALSE)</f>
        <v>Electronics</v>
      </c>
      <c r="X53" s="8">
        <f>VLOOKUP(RawSalesTable[[#This Row],[Product_ID]],ProductsTable[],5,FALSE)</f>
        <v>131.19</v>
      </c>
      <c r="Y53" s="8">
        <f>RawSalesTable[[#This Row],[Quantity]]*RawSalesTable[[#This Row],[Unit_Price]]</f>
        <v>241.49</v>
      </c>
      <c r="Z53" s="8">
        <f>RawSalesTable[[#This Row],[Gross_Sales]]*RawSalesTable[[#This Row],[Discount_Pct]]</f>
        <v>24.149000000000001</v>
      </c>
      <c r="AA53" s="8">
        <f>RawSalesTable[[#This Row],[Gross_Sales]]-RawSalesTable[[#This Row],[Discount_Amount]]</f>
        <v>217.34100000000001</v>
      </c>
      <c r="AB53" s="8">
        <f>RawSalesTable[[#This Row],[Unit_Cost]]*RawSalesTable[[#This Row],[Quantity]]</f>
        <v>131.19</v>
      </c>
      <c r="AC53" s="8">
        <f>RawSalesTable[[#This Row],[Net_Sales]]-RawSalesTable[[#This Row],[Total_Cost]]</f>
        <v>86.15100000000001</v>
      </c>
      <c r="AD53" s="9">
        <f>RawSalesTable[[#This Row],[Profit]]/RawSalesTable[[#This Row],[Net_Sales]]</f>
        <v>0.39638632379532629</v>
      </c>
      <c r="AE53" s="8">
        <f>IF(RawSalesTable[[#This Row],[Return_Status]]="Yes",1,0)</f>
        <v>0</v>
      </c>
      <c r="AF53" s="8">
        <f>YEAR(RawSalesTable[[#This Row],[Order_Date]])</f>
        <v>2025</v>
      </c>
      <c r="AG53" s="8">
        <f>MONTH(RawSalesTable[[#This Row],[Order_Date]])</f>
        <v>9</v>
      </c>
      <c r="AH53" s="8" t="str">
        <f>TEXT(RawSalesTable[[#This Row],[Order_Date]],"mmmm")</f>
        <v>septembre</v>
      </c>
      <c r="AI53" s="8" t="str">
        <f>IF(RawSalesTable[[#This Row],[Month_Number]]&lt;=3,"Q1",IF(RawSalesTable[[#This Row],[Month_Number]]&lt;=6,"Q2",IF(RawSalesTable[[#This Row],[Month_Number]]&lt;=9,"Q3","Q4")))</f>
        <v>Q3</v>
      </c>
      <c r="AJ53" s="13">
        <f>DATE(YEAR(RawSalesTable[[#This Row],[Order_Date]]),MONTH(RawSalesTable[[#This Row],[Order_Date]]),1)</f>
        <v>45901</v>
      </c>
      <c r="AK53" s="8" t="str">
        <f>VLOOKUP(RawSalesTable[[#This Row],[Customer_ID_clean]],CustomersTable[],4,FALSE)</f>
        <v>Quebec</v>
      </c>
    </row>
    <row r="54" spans="1:37">
      <c r="A54" t="s">
        <v>247</v>
      </c>
      <c r="B54" s="3">
        <v>46015</v>
      </c>
      <c r="C54" t="s">
        <v>248</v>
      </c>
      <c r="D54" t="s">
        <v>249</v>
      </c>
      <c r="E54" t="s">
        <v>250</v>
      </c>
      <c r="F54" t="s">
        <v>116</v>
      </c>
      <c r="G54" t="s">
        <v>122</v>
      </c>
      <c r="H54" t="s">
        <v>89</v>
      </c>
      <c r="I54">
        <v>2</v>
      </c>
      <c r="J54" s="2">
        <v>434.43</v>
      </c>
      <c r="K54" s="4">
        <v>0.05</v>
      </c>
      <c r="L54" t="s">
        <v>98</v>
      </c>
      <c r="M54">
        <v>7</v>
      </c>
      <c r="N54" t="s">
        <v>91</v>
      </c>
      <c r="O54" t="str">
        <f>SUBSTITUTE(PROPER(TRIM(RawSalesTable[[#This Row],[Channel_Raw]])), "Market Place", "Marketplace")</f>
        <v>Online</v>
      </c>
      <c r="P54" t="str">
        <f>TRIM(RawSalesTable[[#This Row],[Store_Raw]])</f>
        <v>Toronto Downtown</v>
      </c>
      <c r="Q54" t="str">
        <f>IF(TRIM(RawSalesTable[[#This Row],[Payment_Method_Raw]])="","Non renseigné",SUBSTITUTE(TRIM(RawSalesTable[[#This Row],[Payment_Method_Raw]]),"CC","Credit Card"))</f>
        <v>Debit Card</v>
      </c>
      <c r="R54" s="8" t="str">
        <f>UPPER(PROPER(RawSalesTable[[#This Row],[Customer_ID]]))</f>
        <v>C0012</v>
      </c>
      <c r="S54" s="8" t="str">
        <f>TRIM(LEFT(RawSalesTable[[#This Row],[Customer_Info]],FIND(",",RawSalesTable[[#This Row],[Customer_Info]]) -1))</f>
        <v>Daniel Taylor</v>
      </c>
      <c r="T54" s="8" t="str">
        <f>TRIM(MID(RawSalesTable[[#This Row],[Customer_Info]],FIND(",",RawSalesTable[[#This Row],[Customer_Info]])+1,FIND(",",RawSalesTable[[#This Row],[Customer_Info]],FIND(",",RawSalesTable[[#This Row],[Customer_Info]])+1)-FIND(",",RawSalesTable[[#This Row],[Customer_Info]])-1))</f>
        <v>Victoria</v>
      </c>
      <c r="U54" s="8" t="str">
        <f>TRIM(RIGHT(RawSalesTable[[#This Row],[Customer_Info]], LEN(RawSalesTable[[#This Row],[Customer_Info]])-FIND(",",RawSalesTable[[#This Row],[Customer_Info]],FIND(",",RawSalesTable[[#This Row],[Customer_Info]])+1)))</f>
        <v>Corporate</v>
      </c>
      <c r="V54" s="8" t="str">
        <f>VLOOKUP(RawSalesTable[[#This Row],[Product_ID]],ProductsTable[],2,FALSE)</f>
        <v>Humidifier</v>
      </c>
      <c r="W54" s="8" t="str">
        <f>VLOOKUP(RawSalesTable[[#This Row],[Product_ID]],ProductsTable[],3,FALSE)</f>
        <v>Home</v>
      </c>
      <c r="X54" s="8">
        <f>VLOOKUP(RawSalesTable[[#This Row],[Product_ID]],ProductsTable[],5,FALSE)</f>
        <v>239.67</v>
      </c>
      <c r="Y54" s="8">
        <f>RawSalesTable[[#This Row],[Quantity]]*RawSalesTable[[#This Row],[Unit_Price]]</f>
        <v>868.86</v>
      </c>
      <c r="Z54" s="8">
        <f>RawSalesTable[[#This Row],[Gross_Sales]]*RawSalesTable[[#This Row],[Discount_Pct]]</f>
        <v>43.443000000000005</v>
      </c>
      <c r="AA54" s="8">
        <f>RawSalesTable[[#This Row],[Gross_Sales]]-RawSalesTable[[#This Row],[Discount_Amount]]</f>
        <v>825.41700000000003</v>
      </c>
      <c r="AB54" s="8">
        <f>RawSalesTable[[#This Row],[Unit_Cost]]*RawSalesTable[[#This Row],[Quantity]]</f>
        <v>479.34</v>
      </c>
      <c r="AC54" s="8">
        <f>RawSalesTable[[#This Row],[Net_Sales]]-RawSalesTable[[#This Row],[Total_Cost]]</f>
        <v>346.07700000000006</v>
      </c>
      <c r="AD54" s="9">
        <f>RawSalesTable[[#This Row],[Profit]]/RawSalesTable[[#This Row],[Net_Sales]]</f>
        <v>0.41927534809678024</v>
      </c>
      <c r="AE54" s="8">
        <f>IF(RawSalesTable[[#This Row],[Return_Status]]="Yes",1,0)</f>
        <v>0</v>
      </c>
      <c r="AF54" s="8">
        <f>YEAR(RawSalesTable[[#This Row],[Order_Date]])</f>
        <v>2025</v>
      </c>
      <c r="AG54" s="8">
        <f>MONTH(RawSalesTable[[#This Row],[Order_Date]])</f>
        <v>12</v>
      </c>
      <c r="AH54" s="8" t="str">
        <f>TEXT(RawSalesTable[[#This Row],[Order_Date]],"mmmm")</f>
        <v>décembre</v>
      </c>
      <c r="AI54" s="8" t="str">
        <f>IF(RawSalesTable[[#This Row],[Month_Number]]&lt;=3,"Q1",IF(RawSalesTable[[#This Row],[Month_Number]]&lt;=6,"Q2",IF(RawSalesTable[[#This Row],[Month_Number]]&lt;=9,"Q3","Q4")))</f>
        <v>Q4</v>
      </c>
      <c r="AJ54" s="13">
        <f>DATE(YEAR(RawSalesTable[[#This Row],[Order_Date]]),MONTH(RawSalesTable[[#This Row],[Order_Date]]),1)</f>
        <v>45992</v>
      </c>
      <c r="AK54" s="8" t="str">
        <f>VLOOKUP(RawSalesTable[[#This Row],[Customer_ID_clean]],CustomersTable[],4,FALSE)</f>
        <v>British Columbia</v>
      </c>
    </row>
    <row r="55" spans="1:37">
      <c r="A55" t="s">
        <v>251</v>
      </c>
      <c r="B55" s="3">
        <v>45976</v>
      </c>
      <c r="C55" t="s">
        <v>197</v>
      </c>
      <c r="D55" t="s">
        <v>252</v>
      </c>
      <c r="E55" t="s">
        <v>198</v>
      </c>
      <c r="F55" t="s">
        <v>145</v>
      </c>
      <c r="G55" t="s">
        <v>88</v>
      </c>
      <c r="H55" t="s">
        <v>105</v>
      </c>
      <c r="I55">
        <v>2</v>
      </c>
      <c r="J55" s="2">
        <v>257.69</v>
      </c>
      <c r="K55" s="4">
        <v>0.05</v>
      </c>
      <c r="L55" t="s">
        <v>253</v>
      </c>
      <c r="M55">
        <v>7</v>
      </c>
      <c r="N55" t="s">
        <v>91</v>
      </c>
      <c r="O55" t="str">
        <f>SUBSTITUTE(PROPER(TRIM(RawSalesTable[[#This Row],[Channel_Raw]])), "Market Place", "Marketplace")</f>
        <v>Marketplace</v>
      </c>
      <c r="P55" t="str">
        <f>TRIM(RawSalesTable[[#This Row],[Store_Raw]])</f>
        <v>Calgary North</v>
      </c>
      <c r="Q55" t="str">
        <f>IF(TRIM(RawSalesTable[[#This Row],[Payment_Method_Raw]])="","Non renseigné",SUBSTITUTE(TRIM(RawSalesTable[[#This Row],[Payment_Method_Raw]]),"CC","Credit Card"))</f>
        <v>Credit Card</v>
      </c>
      <c r="R55" s="8" t="str">
        <f>UPPER(PROPER(RawSalesTable[[#This Row],[Customer_ID]]))</f>
        <v>C0091</v>
      </c>
      <c r="S55" s="8" t="str">
        <f>TRIM(LEFT(RawSalesTable[[#This Row],[Customer_Info]],FIND(",",RawSalesTable[[#This Row],[Customer_Info]]) -1))</f>
        <v>Leo Taylor</v>
      </c>
      <c r="T55" s="8" t="str">
        <f>TRIM(MID(RawSalesTable[[#This Row],[Customer_Info]],FIND(",",RawSalesTable[[#This Row],[Customer_Info]])+1,FIND(",",RawSalesTable[[#This Row],[Customer_Info]],FIND(",",RawSalesTable[[#This Row],[Customer_Info]])+1)-FIND(",",RawSalesTable[[#This Row],[Customer_Info]])-1))</f>
        <v>Victoria</v>
      </c>
      <c r="U55" s="8" t="str">
        <f>TRIM(RIGHT(RawSalesTable[[#This Row],[Customer_Info]], LEN(RawSalesTable[[#This Row],[Customer_Info]])-FIND(",",RawSalesTable[[#This Row],[Customer_Info]],FIND(",",RawSalesTable[[#This Row],[Customer_Info]])+1)))</f>
        <v>Small Business</v>
      </c>
      <c r="V55" s="8" t="str">
        <f>VLOOKUP(RawSalesTable[[#This Row],[Product_ID]],ProductsTable[],2,FALSE)</f>
        <v>Vacuum</v>
      </c>
      <c r="W55" s="8" t="str">
        <f>VLOOKUP(RawSalesTable[[#This Row],[Product_ID]],ProductsTable[],3,FALSE)</f>
        <v>Home</v>
      </c>
      <c r="X55" s="8">
        <f>VLOOKUP(RawSalesTable[[#This Row],[Product_ID]],ProductsTable[],5,FALSE)</f>
        <v>186.94</v>
      </c>
      <c r="Y55" s="8">
        <f>RawSalesTable[[#This Row],[Quantity]]*RawSalesTable[[#This Row],[Unit_Price]]</f>
        <v>515.38</v>
      </c>
      <c r="Z55" s="8">
        <f>RawSalesTable[[#This Row],[Gross_Sales]]*RawSalesTable[[#This Row],[Discount_Pct]]</f>
        <v>25.769000000000002</v>
      </c>
      <c r="AA55" s="8">
        <f>RawSalesTable[[#This Row],[Gross_Sales]]-RawSalesTable[[#This Row],[Discount_Amount]]</f>
        <v>489.61099999999999</v>
      </c>
      <c r="AB55" s="8">
        <f>RawSalesTable[[#This Row],[Unit_Cost]]*RawSalesTable[[#This Row],[Quantity]]</f>
        <v>373.88</v>
      </c>
      <c r="AC55" s="8">
        <f>RawSalesTable[[#This Row],[Net_Sales]]-RawSalesTable[[#This Row],[Total_Cost]]</f>
        <v>115.73099999999999</v>
      </c>
      <c r="AD55" s="9">
        <f>RawSalesTable[[#This Row],[Profit]]/RawSalesTable[[#This Row],[Net_Sales]]</f>
        <v>0.23637336579447765</v>
      </c>
      <c r="AE55" s="8">
        <f>IF(RawSalesTable[[#This Row],[Return_Status]]="Yes",1,0)</f>
        <v>0</v>
      </c>
      <c r="AF55" s="8">
        <f>YEAR(RawSalesTable[[#This Row],[Order_Date]])</f>
        <v>2025</v>
      </c>
      <c r="AG55" s="8">
        <f>MONTH(RawSalesTable[[#This Row],[Order_Date]])</f>
        <v>11</v>
      </c>
      <c r="AH55" s="8" t="str">
        <f>TEXT(RawSalesTable[[#This Row],[Order_Date]],"mmmm")</f>
        <v>novembre</v>
      </c>
      <c r="AI55" s="8" t="str">
        <f>IF(RawSalesTable[[#This Row],[Month_Number]]&lt;=3,"Q1",IF(RawSalesTable[[#This Row],[Month_Number]]&lt;=6,"Q2",IF(RawSalesTable[[#This Row],[Month_Number]]&lt;=9,"Q3","Q4")))</f>
        <v>Q4</v>
      </c>
      <c r="AJ55" s="13">
        <f>DATE(YEAR(RawSalesTable[[#This Row],[Order_Date]]),MONTH(RawSalesTable[[#This Row],[Order_Date]]),1)</f>
        <v>45962</v>
      </c>
      <c r="AK55" s="8" t="str">
        <f>VLOOKUP(RawSalesTable[[#This Row],[Customer_ID_clean]],CustomersTable[],4,FALSE)</f>
        <v>British Columbia</v>
      </c>
    </row>
    <row r="56" spans="1:37">
      <c r="A56" t="s">
        <v>254</v>
      </c>
      <c r="B56" s="3">
        <v>45765</v>
      </c>
      <c r="C56" t="s">
        <v>84</v>
      </c>
      <c r="D56" t="s">
        <v>255</v>
      </c>
      <c r="E56" t="s">
        <v>86</v>
      </c>
      <c r="F56" t="s">
        <v>103</v>
      </c>
      <c r="G56" t="s">
        <v>88</v>
      </c>
      <c r="H56" t="s">
        <v>97</v>
      </c>
      <c r="I56">
        <v>5</v>
      </c>
      <c r="J56" s="2">
        <v>244.71</v>
      </c>
      <c r="K56" s="4">
        <v>0</v>
      </c>
      <c r="L56" t="s">
        <v>90</v>
      </c>
      <c r="M56">
        <v>2</v>
      </c>
      <c r="N56" t="s">
        <v>91</v>
      </c>
      <c r="O56" t="str">
        <f>SUBSTITUTE(PROPER(TRIM(RawSalesTable[[#This Row],[Channel_Raw]])), "Market Place", "Marketplace")</f>
        <v>Retail Store</v>
      </c>
      <c r="P56" t="str">
        <f>TRIM(RawSalesTable[[#This Row],[Store_Raw]])</f>
        <v>Vancouver West</v>
      </c>
      <c r="Q56" t="str">
        <f>IF(TRIM(RawSalesTable[[#This Row],[Payment_Method_Raw]])="","Non renseigné",SUBSTITUTE(TRIM(RawSalesTable[[#This Row],[Payment_Method_Raw]]),"CC","Credit Card"))</f>
        <v>PayPal</v>
      </c>
      <c r="R56" s="8" t="str">
        <f>UPPER(PROPER(RawSalesTable[[#This Row],[Customer_ID]]))</f>
        <v>C0113</v>
      </c>
      <c r="S56" s="8" t="str">
        <f>TRIM(LEFT(RawSalesTable[[#This Row],[Customer_Info]],FIND(",",RawSalesTable[[#This Row],[Customer_Info]]) -1))</f>
        <v>Olivia Johnson</v>
      </c>
      <c r="T56" s="8" t="str">
        <f>TRIM(MID(RawSalesTable[[#This Row],[Customer_Info]],FIND(",",RawSalesTable[[#This Row],[Customer_Info]])+1,FIND(",",RawSalesTable[[#This Row],[Customer_Info]],FIND(",",RawSalesTable[[#This Row],[Customer_Info]])+1)-FIND(",",RawSalesTable[[#This Row],[Customer_Info]])-1))</f>
        <v>Surrey</v>
      </c>
      <c r="U56" s="8" t="str">
        <f>TRIM(RIGHT(RawSalesTable[[#This Row],[Customer_Info]], LEN(RawSalesTable[[#This Row],[Customer_Info]])-FIND(",",RawSalesTable[[#This Row],[Customer_Info]],FIND(",",RawSalesTable[[#This Row],[Customer_Info]])+1)))</f>
        <v>Consumer</v>
      </c>
      <c r="V56" s="8" t="str">
        <f>VLOOKUP(RawSalesTable[[#This Row],[Product_ID]],ProductsTable[],2,FALSE)</f>
        <v>Document Shredder</v>
      </c>
      <c r="W56" s="8" t="str">
        <f>VLOOKUP(RawSalesTable[[#This Row],[Product_ID]],ProductsTable[],3,FALSE)</f>
        <v>Office</v>
      </c>
      <c r="X56" s="8">
        <f>VLOOKUP(RawSalesTable[[#This Row],[Product_ID]],ProductsTable[],5,FALSE)</f>
        <v>117.65</v>
      </c>
      <c r="Y56" s="8">
        <f>RawSalesTable[[#This Row],[Quantity]]*RawSalesTable[[#This Row],[Unit_Price]]</f>
        <v>1223.55</v>
      </c>
      <c r="Z56" s="8">
        <f>RawSalesTable[[#This Row],[Gross_Sales]]*RawSalesTable[[#This Row],[Discount_Pct]]</f>
        <v>0</v>
      </c>
      <c r="AA56" s="8">
        <f>RawSalesTable[[#This Row],[Gross_Sales]]-RawSalesTable[[#This Row],[Discount_Amount]]</f>
        <v>1223.55</v>
      </c>
      <c r="AB56" s="8">
        <f>RawSalesTable[[#This Row],[Unit_Cost]]*RawSalesTable[[#This Row],[Quantity]]</f>
        <v>588.25</v>
      </c>
      <c r="AC56" s="8">
        <f>RawSalesTable[[#This Row],[Net_Sales]]-RawSalesTable[[#This Row],[Total_Cost]]</f>
        <v>635.29999999999995</v>
      </c>
      <c r="AD56" s="9">
        <f>RawSalesTable[[#This Row],[Profit]]/RawSalesTable[[#This Row],[Net_Sales]]</f>
        <v>0.51922683993298191</v>
      </c>
      <c r="AE56" s="8">
        <f>IF(RawSalesTable[[#This Row],[Return_Status]]="Yes",1,0)</f>
        <v>0</v>
      </c>
      <c r="AF56" s="8">
        <f>YEAR(RawSalesTable[[#This Row],[Order_Date]])</f>
        <v>2025</v>
      </c>
      <c r="AG56" s="8">
        <f>MONTH(RawSalesTable[[#This Row],[Order_Date]])</f>
        <v>4</v>
      </c>
      <c r="AH56" s="8" t="str">
        <f>TEXT(RawSalesTable[[#This Row],[Order_Date]],"mmmm")</f>
        <v>avril</v>
      </c>
      <c r="AI56" s="8" t="str">
        <f>IF(RawSalesTable[[#This Row],[Month_Number]]&lt;=3,"Q1",IF(RawSalesTable[[#This Row],[Month_Number]]&lt;=6,"Q2",IF(RawSalesTable[[#This Row],[Month_Number]]&lt;=9,"Q3","Q4")))</f>
        <v>Q2</v>
      </c>
      <c r="AJ56" s="13">
        <f>DATE(YEAR(RawSalesTable[[#This Row],[Order_Date]]),MONTH(RawSalesTable[[#This Row],[Order_Date]]),1)</f>
        <v>45748</v>
      </c>
      <c r="AK56" s="8" t="str">
        <f>VLOOKUP(RawSalesTable[[#This Row],[Customer_ID_clean]],CustomersTable[],4,FALSE)</f>
        <v>British Columbia</v>
      </c>
    </row>
    <row r="57" spans="1:37">
      <c r="A57" t="s">
        <v>256</v>
      </c>
      <c r="B57" s="3">
        <v>45731</v>
      </c>
      <c r="C57" t="s">
        <v>257</v>
      </c>
      <c r="D57" t="s">
        <v>139</v>
      </c>
      <c r="E57" t="s">
        <v>258</v>
      </c>
      <c r="F57" t="s">
        <v>103</v>
      </c>
      <c r="G57" t="s">
        <v>104</v>
      </c>
      <c r="H57" t="s">
        <v>89</v>
      </c>
      <c r="I57">
        <v>1</v>
      </c>
      <c r="J57" s="2">
        <v>83.33</v>
      </c>
      <c r="K57" s="4">
        <v>0</v>
      </c>
      <c r="L57" t="s">
        <v>98</v>
      </c>
      <c r="M57">
        <v>1</v>
      </c>
      <c r="N57" t="s">
        <v>147</v>
      </c>
      <c r="O57" t="str">
        <f>SUBSTITUTE(PROPER(TRIM(RawSalesTable[[#This Row],[Channel_Raw]])), "Market Place", "Marketplace")</f>
        <v>Online</v>
      </c>
      <c r="P57" t="str">
        <f>TRIM(RawSalesTable[[#This Row],[Store_Raw]])</f>
        <v>Vancouver West</v>
      </c>
      <c r="Q57" t="str">
        <f>IF(TRIM(RawSalesTable[[#This Row],[Payment_Method_Raw]])="","Non renseigné",SUBSTITUTE(TRIM(RawSalesTable[[#This Row],[Payment_Method_Raw]]),"CC","Credit Card"))</f>
        <v>Debit Card</v>
      </c>
      <c r="R57" s="8" t="str">
        <f>UPPER(PROPER(RawSalesTable[[#This Row],[Customer_ID]]))</f>
        <v>C0068</v>
      </c>
      <c r="S57" s="8" t="str">
        <f>TRIM(LEFT(RawSalesTable[[#This Row],[Customer_Info]],FIND(",",RawSalesTable[[#This Row],[Customer_Info]]) -1))</f>
        <v>Yasmine Martin</v>
      </c>
      <c r="T57" s="8" t="str">
        <f>TRIM(MID(RawSalesTable[[#This Row],[Customer_Info]],FIND(",",RawSalesTable[[#This Row],[Customer_Info]])+1,FIND(",",RawSalesTable[[#This Row],[Customer_Info]],FIND(",",RawSalesTable[[#This Row],[Customer_Info]])+1)-FIND(",",RawSalesTable[[#This Row],[Customer_Info]])-1))</f>
        <v>Calgary</v>
      </c>
      <c r="U57" s="8" t="str">
        <f>TRIM(RIGHT(RawSalesTable[[#This Row],[Customer_Info]], LEN(RawSalesTable[[#This Row],[Customer_Info]])-FIND(",",RawSalesTable[[#This Row],[Customer_Info]],FIND(",",RawSalesTable[[#This Row],[Customer_Info]])+1)))</f>
        <v>Consumer</v>
      </c>
      <c r="V57" s="8" t="str">
        <f>VLOOKUP(RawSalesTable[[#This Row],[Product_ID]],ProductsTable[],2,FALSE)</f>
        <v>Standing Desk</v>
      </c>
      <c r="W57" s="8" t="str">
        <f>VLOOKUP(RawSalesTable[[#This Row],[Product_ID]],ProductsTable[],3,FALSE)</f>
        <v>Office</v>
      </c>
      <c r="X57" s="8">
        <f>VLOOKUP(RawSalesTable[[#This Row],[Product_ID]],ProductsTable[],5,FALSE)</f>
        <v>45.17</v>
      </c>
      <c r="Y57" s="8">
        <f>RawSalesTable[[#This Row],[Quantity]]*RawSalesTable[[#This Row],[Unit_Price]]</f>
        <v>83.33</v>
      </c>
      <c r="Z57" s="8">
        <f>RawSalesTable[[#This Row],[Gross_Sales]]*RawSalesTable[[#This Row],[Discount_Pct]]</f>
        <v>0</v>
      </c>
      <c r="AA57" s="8">
        <f>RawSalesTable[[#This Row],[Gross_Sales]]-RawSalesTable[[#This Row],[Discount_Amount]]</f>
        <v>83.33</v>
      </c>
      <c r="AB57" s="8">
        <f>RawSalesTable[[#This Row],[Unit_Cost]]*RawSalesTable[[#This Row],[Quantity]]</f>
        <v>45.17</v>
      </c>
      <c r="AC57" s="8">
        <f>RawSalesTable[[#This Row],[Net_Sales]]-RawSalesTable[[#This Row],[Total_Cost]]</f>
        <v>38.159999999999997</v>
      </c>
      <c r="AD57" s="9">
        <f>RawSalesTable[[#This Row],[Profit]]/RawSalesTable[[#This Row],[Net_Sales]]</f>
        <v>0.45793831753270126</v>
      </c>
      <c r="AE57" s="8">
        <f>IF(RawSalesTable[[#This Row],[Return_Status]]="Yes",1,0)</f>
        <v>1</v>
      </c>
      <c r="AF57" s="8">
        <f>YEAR(RawSalesTable[[#This Row],[Order_Date]])</f>
        <v>2025</v>
      </c>
      <c r="AG57" s="8">
        <f>MONTH(RawSalesTable[[#This Row],[Order_Date]])</f>
        <v>3</v>
      </c>
      <c r="AH57" s="8" t="str">
        <f>TEXT(RawSalesTable[[#This Row],[Order_Date]],"mmmm")</f>
        <v>mars</v>
      </c>
      <c r="AI57" s="8" t="str">
        <f>IF(RawSalesTable[[#This Row],[Month_Number]]&lt;=3,"Q1",IF(RawSalesTable[[#This Row],[Month_Number]]&lt;=6,"Q2",IF(RawSalesTable[[#This Row],[Month_Number]]&lt;=9,"Q3","Q4")))</f>
        <v>Q1</v>
      </c>
      <c r="AJ57" s="13">
        <f>DATE(YEAR(RawSalesTable[[#This Row],[Order_Date]]),MONTH(RawSalesTable[[#This Row],[Order_Date]]),1)</f>
        <v>45717</v>
      </c>
      <c r="AK57" s="8" t="str">
        <f>VLOOKUP(RawSalesTable[[#This Row],[Customer_ID_clean]],CustomersTable[],4,FALSE)</f>
        <v>Alberta</v>
      </c>
    </row>
    <row r="58" spans="1:37">
      <c r="A58" t="s">
        <v>259</v>
      </c>
      <c r="B58" s="3">
        <v>45714</v>
      </c>
      <c r="C58" t="s">
        <v>260</v>
      </c>
      <c r="D58" t="s">
        <v>261</v>
      </c>
      <c r="E58" t="s">
        <v>262</v>
      </c>
      <c r="F58" t="s">
        <v>87</v>
      </c>
      <c r="G58" t="s">
        <v>96</v>
      </c>
      <c r="H58" t="s">
        <v>89</v>
      </c>
      <c r="I58">
        <v>4</v>
      </c>
      <c r="J58" s="2">
        <v>247.77</v>
      </c>
      <c r="K58" s="4">
        <v>0.1</v>
      </c>
      <c r="L58" t="s">
        <v>106</v>
      </c>
      <c r="M58">
        <v>5</v>
      </c>
      <c r="N58" t="s">
        <v>147</v>
      </c>
      <c r="O58" t="str">
        <f>SUBSTITUTE(PROPER(TRIM(RawSalesTable[[#This Row],[Channel_Raw]])), "Market Place", "Marketplace")</f>
        <v>Online</v>
      </c>
      <c r="P58" t="str">
        <f>TRIM(RawSalesTable[[#This Row],[Store_Raw]])</f>
        <v>Online Fulfillment</v>
      </c>
      <c r="Q58" t="str">
        <f>IF(TRIM(RawSalesTable[[#This Row],[Payment_Method_Raw]])="","Non renseigné",SUBSTITUTE(TRIM(RawSalesTable[[#This Row],[Payment_Method_Raw]]),"CC","Credit Card"))</f>
        <v>Credit Card</v>
      </c>
      <c r="R58" s="8" t="str">
        <f>UPPER(PROPER(RawSalesTable[[#This Row],[Customer_ID]]))</f>
        <v>C0076</v>
      </c>
      <c r="S58" s="8" t="str">
        <f>TRIM(LEFT(RawSalesTable[[#This Row],[Customer_Info]],FIND(",",RawSalesTable[[#This Row],[Customer_Info]]) -1))</f>
        <v>Maya Taylor</v>
      </c>
      <c r="T58" s="8" t="str">
        <f>TRIM(MID(RawSalesTable[[#This Row],[Customer_Info]],FIND(",",RawSalesTable[[#This Row],[Customer_Info]])+1,FIND(",",RawSalesTable[[#This Row],[Customer_Info]],FIND(",",RawSalesTable[[#This Row],[Customer_Info]])+1)-FIND(",",RawSalesTable[[#This Row],[Customer_Info]])-1))</f>
        <v>Saskatoon</v>
      </c>
      <c r="U58" s="8" t="str">
        <f>TRIM(RIGHT(RawSalesTable[[#This Row],[Customer_Info]], LEN(RawSalesTable[[#This Row],[Customer_Info]])-FIND(",",RawSalesTable[[#This Row],[Customer_Info]],FIND(",",RawSalesTable[[#This Row],[Customer_Info]])+1)))</f>
        <v>Corporate</v>
      </c>
      <c r="V58" s="8" t="str">
        <f>VLOOKUP(RawSalesTable[[#This Row],[Product_ID]],ProductsTable[],2,FALSE)</f>
        <v>Dumbbell Set</v>
      </c>
      <c r="W58" s="8" t="str">
        <f>VLOOKUP(RawSalesTable[[#This Row],[Product_ID]],ProductsTable[],3,FALSE)</f>
        <v>Fitness</v>
      </c>
      <c r="X58" s="8">
        <f>VLOOKUP(RawSalesTable[[#This Row],[Product_ID]],ProductsTable[],5,FALSE)</f>
        <v>131.72999999999999</v>
      </c>
      <c r="Y58" s="8">
        <f>RawSalesTable[[#This Row],[Quantity]]*RawSalesTable[[#This Row],[Unit_Price]]</f>
        <v>991.08</v>
      </c>
      <c r="Z58" s="8">
        <f>RawSalesTable[[#This Row],[Gross_Sales]]*RawSalesTable[[#This Row],[Discount_Pct]]</f>
        <v>99.108000000000004</v>
      </c>
      <c r="AA58" s="8">
        <f>RawSalesTable[[#This Row],[Gross_Sales]]-RawSalesTable[[#This Row],[Discount_Amount]]</f>
        <v>891.97199999999998</v>
      </c>
      <c r="AB58" s="8">
        <f>RawSalesTable[[#This Row],[Unit_Cost]]*RawSalesTable[[#This Row],[Quantity]]</f>
        <v>526.91999999999996</v>
      </c>
      <c r="AC58" s="8">
        <f>RawSalesTable[[#This Row],[Net_Sales]]-RawSalesTable[[#This Row],[Total_Cost]]</f>
        <v>365.05200000000002</v>
      </c>
      <c r="AD58" s="9">
        <f>RawSalesTable[[#This Row],[Profit]]/RawSalesTable[[#This Row],[Net_Sales]]</f>
        <v>0.4092639679272444</v>
      </c>
      <c r="AE58" s="8">
        <f>IF(RawSalesTable[[#This Row],[Return_Status]]="Yes",1,0)</f>
        <v>1</v>
      </c>
      <c r="AF58" s="8">
        <f>YEAR(RawSalesTable[[#This Row],[Order_Date]])</f>
        <v>2025</v>
      </c>
      <c r="AG58" s="8">
        <f>MONTH(RawSalesTable[[#This Row],[Order_Date]])</f>
        <v>2</v>
      </c>
      <c r="AH58" s="8" t="str">
        <f>TEXT(RawSalesTable[[#This Row],[Order_Date]],"mmmm")</f>
        <v>février</v>
      </c>
      <c r="AI58" s="8" t="str">
        <f>IF(RawSalesTable[[#This Row],[Month_Number]]&lt;=3,"Q1",IF(RawSalesTable[[#This Row],[Month_Number]]&lt;=6,"Q2",IF(RawSalesTable[[#This Row],[Month_Number]]&lt;=9,"Q3","Q4")))</f>
        <v>Q1</v>
      </c>
      <c r="AJ58" s="13">
        <f>DATE(YEAR(RawSalesTable[[#This Row],[Order_Date]]),MONTH(RawSalesTable[[#This Row],[Order_Date]]),1)</f>
        <v>45689</v>
      </c>
      <c r="AK58" s="8" t="str">
        <f>VLOOKUP(RawSalesTable[[#This Row],[Customer_ID_clean]],CustomersTable[],4,FALSE)</f>
        <v>Saskatchewan</v>
      </c>
    </row>
    <row r="59" spans="1:37">
      <c r="A59" t="s">
        <v>263</v>
      </c>
      <c r="B59" s="3">
        <v>45855</v>
      </c>
      <c r="C59" t="s">
        <v>128</v>
      </c>
      <c r="D59" t="s">
        <v>157</v>
      </c>
      <c r="E59" t="s">
        <v>129</v>
      </c>
      <c r="F59" t="s">
        <v>116</v>
      </c>
      <c r="G59" t="s">
        <v>96</v>
      </c>
      <c r="H59" t="s">
        <v>97</v>
      </c>
      <c r="I59">
        <v>1</v>
      </c>
      <c r="J59" s="2">
        <v>299.83</v>
      </c>
      <c r="K59" s="4">
        <v>0</v>
      </c>
      <c r="L59" t="s">
        <v>90</v>
      </c>
      <c r="M59">
        <v>3</v>
      </c>
      <c r="N59" t="s">
        <v>91</v>
      </c>
      <c r="O59" t="str">
        <f>SUBSTITUTE(PROPER(TRIM(RawSalesTable[[#This Row],[Channel_Raw]])), "Market Place", "Marketplace")</f>
        <v>Retail Store</v>
      </c>
      <c r="P59" t="str">
        <f>TRIM(RawSalesTable[[#This Row],[Store_Raw]])</f>
        <v>Toronto Downtown</v>
      </c>
      <c r="Q59" t="str">
        <f>IF(TRIM(RawSalesTable[[#This Row],[Payment_Method_Raw]])="","Non renseigné",SUBSTITUTE(TRIM(RawSalesTable[[#This Row],[Payment_Method_Raw]]),"CC","Credit Card"))</f>
        <v>PayPal</v>
      </c>
      <c r="R59" s="8" t="str">
        <f>UPPER(PROPER(RawSalesTable[[#This Row],[Customer_ID]]))</f>
        <v>C0015</v>
      </c>
      <c r="S59" s="8" t="str">
        <f>TRIM(LEFT(RawSalesTable[[#This Row],[Customer_Info]],FIND(",",RawSalesTable[[#This Row],[Customer_Info]]) -1))</f>
        <v>Zoe Singh</v>
      </c>
      <c r="T59" s="8" t="str">
        <f>TRIM(MID(RawSalesTable[[#This Row],[Customer_Info]],FIND(",",RawSalesTable[[#This Row],[Customer_Info]])+1,FIND(",",RawSalesTable[[#This Row],[Customer_Info]],FIND(",",RawSalesTable[[#This Row],[Customer_Info]])+1)-FIND(",",RawSalesTable[[#This Row],[Customer_Info]])-1))</f>
        <v>Halifax</v>
      </c>
      <c r="U59" s="8" t="str">
        <f>TRIM(RIGHT(RawSalesTable[[#This Row],[Customer_Info]], LEN(RawSalesTable[[#This Row],[Customer_Info]])-FIND(",",RawSalesTable[[#This Row],[Customer_Info]],FIND(",",RawSalesTable[[#This Row],[Customer_Info]])+1)))</f>
        <v>Consumer</v>
      </c>
      <c r="V59" s="8" t="str">
        <f>VLOOKUP(RawSalesTable[[#This Row],[Product_ID]],ProductsTable[],2,FALSE)</f>
        <v>Notebook</v>
      </c>
      <c r="W59" s="8" t="str">
        <f>VLOOKUP(RawSalesTable[[#This Row],[Product_ID]],ProductsTable[],3,FALSE)</f>
        <v>Office</v>
      </c>
      <c r="X59" s="8">
        <f>VLOOKUP(RawSalesTable[[#This Row],[Product_ID]],ProductsTable[],5,FALSE)</f>
        <v>176.13</v>
      </c>
      <c r="Y59" s="8">
        <f>RawSalesTable[[#This Row],[Quantity]]*RawSalesTable[[#This Row],[Unit_Price]]</f>
        <v>299.83</v>
      </c>
      <c r="Z59" s="8">
        <f>RawSalesTable[[#This Row],[Gross_Sales]]*RawSalesTable[[#This Row],[Discount_Pct]]</f>
        <v>0</v>
      </c>
      <c r="AA59" s="8">
        <f>RawSalesTable[[#This Row],[Gross_Sales]]-RawSalesTable[[#This Row],[Discount_Amount]]</f>
        <v>299.83</v>
      </c>
      <c r="AB59" s="8">
        <f>RawSalesTable[[#This Row],[Unit_Cost]]*RawSalesTable[[#This Row],[Quantity]]</f>
        <v>176.13</v>
      </c>
      <c r="AC59" s="8">
        <f>RawSalesTable[[#This Row],[Net_Sales]]-RawSalesTable[[#This Row],[Total_Cost]]</f>
        <v>123.69999999999999</v>
      </c>
      <c r="AD59" s="9">
        <f>RawSalesTable[[#This Row],[Profit]]/RawSalesTable[[#This Row],[Net_Sales]]</f>
        <v>0.4125671213687756</v>
      </c>
      <c r="AE59" s="8">
        <f>IF(RawSalesTable[[#This Row],[Return_Status]]="Yes",1,0)</f>
        <v>0</v>
      </c>
      <c r="AF59" s="8">
        <f>YEAR(RawSalesTable[[#This Row],[Order_Date]])</f>
        <v>2025</v>
      </c>
      <c r="AG59" s="8">
        <f>MONTH(RawSalesTable[[#This Row],[Order_Date]])</f>
        <v>7</v>
      </c>
      <c r="AH59" s="8" t="str">
        <f>TEXT(RawSalesTable[[#This Row],[Order_Date]],"mmmm")</f>
        <v>juillet</v>
      </c>
      <c r="AI59" s="8" t="str">
        <f>IF(RawSalesTable[[#This Row],[Month_Number]]&lt;=3,"Q1",IF(RawSalesTable[[#This Row],[Month_Number]]&lt;=6,"Q2",IF(RawSalesTable[[#This Row],[Month_Number]]&lt;=9,"Q3","Q4")))</f>
        <v>Q3</v>
      </c>
      <c r="AJ59" s="13">
        <f>DATE(YEAR(RawSalesTable[[#This Row],[Order_Date]]),MONTH(RawSalesTable[[#This Row],[Order_Date]]),1)</f>
        <v>45839</v>
      </c>
      <c r="AK59" s="8" t="str">
        <f>VLOOKUP(RawSalesTable[[#This Row],[Customer_ID_clean]],CustomersTable[],4,FALSE)</f>
        <v>Nova Scotia</v>
      </c>
    </row>
    <row r="60" spans="1:37">
      <c r="A60" t="s">
        <v>264</v>
      </c>
      <c r="B60" s="3">
        <v>45933</v>
      </c>
      <c r="C60" t="s">
        <v>265</v>
      </c>
      <c r="D60" t="s">
        <v>244</v>
      </c>
      <c r="E60" t="s">
        <v>266</v>
      </c>
      <c r="F60" t="s">
        <v>145</v>
      </c>
      <c r="G60" t="s">
        <v>88</v>
      </c>
      <c r="H60" t="s">
        <v>89</v>
      </c>
      <c r="I60">
        <v>2</v>
      </c>
      <c r="J60" s="2">
        <v>242.3</v>
      </c>
      <c r="K60" s="4">
        <v>0.1</v>
      </c>
      <c r="L60" t="s">
        <v>98</v>
      </c>
      <c r="M60">
        <v>9</v>
      </c>
      <c r="N60" t="s">
        <v>91</v>
      </c>
      <c r="O60" t="str">
        <f>SUBSTITUTE(PROPER(TRIM(RawSalesTable[[#This Row],[Channel_Raw]])), "Market Place", "Marketplace")</f>
        <v>Online</v>
      </c>
      <c r="P60" t="str">
        <f>TRIM(RawSalesTable[[#This Row],[Store_Raw]])</f>
        <v>Calgary North</v>
      </c>
      <c r="Q60" t="str">
        <f>IF(TRIM(RawSalesTable[[#This Row],[Payment_Method_Raw]])="","Non renseigné",SUBSTITUTE(TRIM(RawSalesTable[[#This Row],[Payment_Method_Raw]]),"CC","Credit Card"))</f>
        <v>Debit Card</v>
      </c>
      <c r="R60" s="8" t="str">
        <f>UPPER(PROPER(RawSalesTable[[#This Row],[Customer_ID]]))</f>
        <v>C0020</v>
      </c>
      <c r="S60" s="8" t="str">
        <f>TRIM(LEFT(RawSalesTable[[#This Row],[Customer_Info]],FIND(",",RawSalesTable[[#This Row],[Customer_Info]]) -1))</f>
        <v>Nora Khan</v>
      </c>
      <c r="T60" s="8" t="str">
        <f>TRIM(MID(RawSalesTable[[#This Row],[Customer_Info]],FIND(",",RawSalesTable[[#This Row],[Customer_Info]])+1,FIND(",",RawSalesTable[[#This Row],[Customer_Info]],FIND(",",RawSalesTable[[#This Row],[Customer_Info]])+1)-FIND(",",RawSalesTable[[#This Row],[Customer_Info]])-1))</f>
        <v>Mississauga</v>
      </c>
      <c r="U60" s="8" t="str">
        <f>TRIM(RIGHT(RawSalesTable[[#This Row],[Customer_Info]], LEN(RawSalesTable[[#This Row],[Customer_Info]])-FIND(",",RawSalesTable[[#This Row],[Customer_Info]],FIND(",",RawSalesTable[[#This Row],[Customer_Info]])+1)))</f>
        <v>Consumer</v>
      </c>
      <c r="V60" s="8" t="str">
        <f>VLOOKUP(RawSalesTable[[#This Row],[Product_ID]],ProductsTable[],2,FALSE)</f>
        <v>Portable SSD</v>
      </c>
      <c r="W60" s="8" t="str">
        <f>VLOOKUP(RawSalesTable[[#This Row],[Product_ID]],ProductsTable[],3,FALSE)</f>
        <v>Electronics</v>
      </c>
      <c r="X60" s="8">
        <f>VLOOKUP(RawSalesTable[[#This Row],[Product_ID]],ProductsTable[],5,FALSE)</f>
        <v>131.19</v>
      </c>
      <c r="Y60" s="8">
        <f>RawSalesTable[[#This Row],[Quantity]]*RawSalesTable[[#This Row],[Unit_Price]]</f>
        <v>484.6</v>
      </c>
      <c r="Z60" s="8">
        <f>RawSalesTable[[#This Row],[Gross_Sales]]*RawSalesTable[[#This Row],[Discount_Pct]]</f>
        <v>48.460000000000008</v>
      </c>
      <c r="AA60" s="8">
        <f>RawSalesTable[[#This Row],[Gross_Sales]]-RawSalesTable[[#This Row],[Discount_Amount]]</f>
        <v>436.14</v>
      </c>
      <c r="AB60" s="8">
        <f>RawSalesTable[[#This Row],[Unit_Cost]]*RawSalesTable[[#This Row],[Quantity]]</f>
        <v>262.38</v>
      </c>
      <c r="AC60" s="8">
        <f>RawSalesTable[[#This Row],[Net_Sales]]-RawSalesTable[[#This Row],[Total_Cost]]</f>
        <v>173.76</v>
      </c>
      <c r="AD60" s="9">
        <f>RawSalesTable[[#This Row],[Profit]]/RawSalesTable[[#This Row],[Net_Sales]]</f>
        <v>0.39840418214334844</v>
      </c>
      <c r="AE60" s="8">
        <f>IF(RawSalesTable[[#This Row],[Return_Status]]="Yes",1,0)</f>
        <v>0</v>
      </c>
      <c r="AF60" s="8">
        <f>YEAR(RawSalesTable[[#This Row],[Order_Date]])</f>
        <v>2025</v>
      </c>
      <c r="AG60" s="8">
        <f>MONTH(RawSalesTable[[#This Row],[Order_Date]])</f>
        <v>10</v>
      </c>
      <c r="AH60" s="8" t="str">
        <f>TEXT(RawSalesTable[[#This Row],[Order_Date]],"mmmm")</f>
        <v>octobre</v>
      </c>
      <c r="AI60" s="8" t="str">
        <f>IF(RawSalesTable[[#This Row],[Month_Number]]&lt;=3,"Q1",IF(RawSalesTable[[#This Row],[Month_Number]]&lt;=6,"Q2",IF(RawSalesTable[[#This Row],[Month_Number]]&lt;=9,"Q3","Q4")))</f>
        <v>Q4</v>
      </c>
      <c r="AJ60" s="13">
        <f>DATE(YEAR(RawSalesTable[[#This Row],[Order_Date]]),MONTH(RawSalesTable[[#This Row],[Order_Date]]),1)</f>
        <v>45931</v>
      </c>
      <c r="AK60" s="8" t="str">
        <f>VLOOKUP(RawSalesTable[[#This Row],[Customer_ID_clean]],CustomersTable[],4,FALSE)</f>
        <v>Ontario</v>
      </c>
    </row>
    <row r="61" spans="1:37">
      <c r="A61" t="s">
        <v>267</v>
      </c>
      <c r="B61" s="3">
        <v>45800</v>
      </c>
      <c r="C61" t="s">
        <v>268</v>
      </c>
      <c r="D61" t="s">
        <v>252</v>
      </c>
      <c r="E61" t="s">
        <v>269</v>
      </c>
      <c r="F61" t="s">
        <v>87</v>
      </c>
      <c r="G61" t="s">
        <v>117</v>
      </c>
      <c r="H61" t="s">
        <v>97</v>
      </c>
      <c r="I61">
        <v>1</v>
      </c>
      <c r="J61" s="2">
        <v>274.64999999999998</v>
      </c>
      <c r="K61" s="4">
        <v>0.2</v>
      </c>
      <c r="L61" t="s">
        <v>154</v>
      </c>
      <c r="M61">
        <v>2</v>
      </c>
      <c r="N61" t="s">
        <v>91</v>
      </c>
      <c r="O61" t="str">
        <f>SUBSTITUTE(PROPER(TRIM(RawSalesTable[[#This Row],[Channel_Raw]])), "Market Place", "Marketplace")</f>
        <v>Retail Store</v>
      </c>
      <c r="P61" t="str">
        <f>TRIM(RawSalesTable[[#This Row],[Store_Raw]])</f>
        <v>Online Fulfillment</v>
      </c>
      <c r="Q61" t="str">
        <f>IF(TRIM(RawSalesTable[[#This Row],[Payment_Method_Raw]])="","Non renseigné",SUBSTITUTE(TRIM(RawSalesTable[[#This Row],[Payment_Method_Raw]]),"CC","Credit Card"))</f>
        <v>Gift Card</v>
      </c>
      <c r="R61" s="8" t="str">
        <f>UPPER(PROPER(RawSalesTable[[#This Row],[Customer_ID]]))</f>
        <v>C0043</v>
      </c>
      <c r="S61" s="8" t="str">
        <f>TRIM(LEFT(RawSalesTable[[#This Row],[Customer_Info]],FIND(",",RawSalesTable[[#This Row],[Customer_Info]]) -1))</f>
        <v>Ava Brown</v>
      </c>
      <c r="T61" s="8" t="str">
        <f>TRIM(MID(RawSalesTable[[#This Row],[Customer_Info]],FIND(",",RawSalesTable[[#This Row],[Customer_Info]])+1,FIND(",",RawSalesTable[[#This Row],[Customer_Info]],FIND(",",RawSalesTable[[#This Row],[Customer_Info]])+1)-FIND(",",RawSalesTable[[#This Row],[Customer_Info]])-1))</f>
        <v>Ottawa</v>
      </c>
      <c r="U61" s="8" t="str">
        <f>TRIM(RIGHT(RawSalesTable[[#This Row],[Customer_Info]], LEN(RawSalesTable[[#This Row],[Customer_Info]])-FIND(",",RawSalesTable[[#This Row],[Customer_Info]],FIND(",",RawSalesTable[[#This Row],[Customer_Info]])+1)))</f>
        <v>Small Business</v>
      </c>
      <c r="V61" s="8" t="str">
        <f>VLOOKUP(RawSalesTable[[#This Row],[Product_ID]],ProductsTable[],2,FALSE)</f>
        <v>Vacuum</v>
      </c>
      <c r="W61" s="8" t="str">
        <f>VLOOKUP(RawSalesTable[[#This Row],[Product_ID]],ProductsTable[],3,FALSE)</f>
        <v>Home</v>
      </c>
      <c r="X61" s="8">
        <f>VLOOKUP(RawSalesTable[[#This Row],[Product_ID]],ProductsTable[],5,FALSE)</f>
        <v>186.94</v>
      </c>
      <c r="Y61" s="8">
        <f>RawSalesTable[[#This Row],[Quantity]]*RawSalesTable[[#This Row],[Unit_Price]]</f>
        <v>274.64999999999998</v>
      </c>
      <c r="Z61" s="8">
        <f>RawSalesTable[[#This Row],[Gross_Sales]]*RawSalesTable[[#This Row],[Discount_Pct]]</f>
        <v>54.93</v>
      </c>
      <c r="AA61" s="8">
        <f>RawSalesTable[[#This Row],[Gross_Sales]]-RawSalesTable[[#This Row],[Discount_Amount]]</f>
        <v>219.71999999999997</v>
      </c>
      <c r="AB61" s="8">
        <f>RawSalesTable[[#This Row],[Unit_Cost]]*RawSalesTable[[#This Row],[Quantity]]</f>
        <v>186.94</v>
      </c>
      <c r="AC61" s="8">
        <f>RawSalesTable[[#This Row],[Net_Sales]]-RawSalesTable[[#This Row],[Total_Cost]]</f>
        <v>32.779999999999973</v>
      </c>
      <c r="AD61" s="9">
        <f>RawSalesTable[[#This Row],[Profit]]/RawSalesTable[[#This Row],[Net_Sales]]</f>
        <v>0.14918987802657918</v>
      </c>
      <c r="AE61" s="8">
        <f>IF(RawSalesTable[[#This Row],[Return_Status]]="Yes",1,0)</f>
        <v>0</v>
      </c>
      <c r="AF61" s="8">
        <f>YEAR(RawSalesTable[[#This Row],[Order_Date]])</f>
        <v>2025</v>
      </c>
      <c r="AG61" s="8">
        <f>MONTH(RawSalesTable[[#This Row],[Order_Date]])</f>
        <v>5</v>
      </c>
      <c r="AH61" s="8" t="str">
        <f>TEXT(RawSalesTable[[#This Row],[Order_Date]],"mmmm")</f>
        <v>mai</v>
      </c>
      <c r="AI61" s="8" t="str">
        <f>IF(RawSalesTable[[#This Row],[Month_Number]]&lt;=3,"Q1",IF(RawSalesTable[[#This Row],[Month_Number]]&lt;=6,"Q2",IF(RawSalesTable[[#This Row],[Month_Number]]&lt;=9,"Q3","Q4")))</f>
        <v>Q2</v>
      </c>
      <c r="AJ61" s="13">
        <f>DATE(YEAR(RawSalesTable[[#This Row],[Order_Date]]),MONTH(RawSalesTable[[#This Row],[Order_Date]]),1)</f>
        <v>45778</v>
      </c>
      <c r="AK61" s="8" t="str">
        <f>VLOOKUP(RawSalesTable[[#This Row],[Customer_ID_clean]],CustomersTable[],4,FALSE)</f>
        <v>Ontario</v>
      </c>
    </row>
    <row r="62" spans="1:37">
      <c r="A62" t="s">
        <v>270</v>
      </c>
      <c r="B62" s="3">
        <v>45861</v>
      </c>
      <c r="C62" t="s">
        <v>151</v>
      </c>
      <c r="D62" t="s">
        <v>271</v>
      </c>
      <c r="E62" t="s">
        <v>153</v>
      </c>
      <c r="F62" t="s">
        <v>116</v>
      </c>
      <c r="G62" t="s">
        <v>104</v>
      </c>
      <c r="H62" t="s">
        <v>228</v>
      </c>
      <c r="I62">
        <v>3</v>
      </c>
      <c r="J62" s="2">
        <v>212.19</v>
      </c>
      <c r="K62" s="4">
        <v>0.2</v>
      </c>
      <c r="L62" t="s">
        <v>106</v>
      </c>
      <c r="M62">
        <v>3</v>
      </c>
      <c r="N62" t="s">
        <v>91</v>
      </c>
      <c r="O62" t="str">
        <f>SUBSTITUTE(PROPER(TRIM(RawSalesTable[[#This Row],[Channel_Raw]])), "Market Place", "Marketplace")</f>
        <v>Online</v>
      </c>
      <c r="P62" t="str">
        <f>TRIM(RawSalesTable[[#This Row],[Store_Raw]])</f>
        <v>Toronto Downtown</v>
      </c>
      <c r="Q62" t="str">
        <f>IF(TRIM(RawSalesTable[[#This Row],[Payment_Method_Raw]])="","Non renseigné",SUBSTITUTE(TRIM(RawSalesTable[[#This Row],[Payment_Method_Raw]]),"CC","Credit Card"))</f>
        <v>Credit Card</v>
      </c>
      <c r="R62" s="8" t="str">
        <f>UPPER(PROPER(RawSalesTable[[#This Row],[Customer_ID]]))</f>
        <v>C0014</v>
      </c>
      <c r="S62" s="8" t="str">
        <f>TRIM(LEFT(RawSalesTable[[#This Row],[Customer_Info]],FIND(",",RawSalesTable[[#This Row],[Customer_Info]]) -1))</f>
        <v>Zoe Scott</v>
      </c>
      <c r="T62" s="8" t="str">
        <f>TRIM(MID(RawSalesTable[[#This Row],[Customer_Info]],FIND(",",RawSalesTable[[#This Row],[Customer_Info]])+1,FIND(",",RawSalesTable[[#This Row],[Customer_Info]],FIND(",",RawSalesTable[[#This Row],[Customer_Info]])+1)-FIND(",",RawSalesTable[[#This Row],[Customer_Info]])-1))</f>
        <v>Montreal</v>
      </c>
      <c r="U62" s="8" t="str">
        <f>TRIM(RIGHT(RawSalesTable[[#This Row],[Customer_Info]], LEN(RawSalesTable[[#This Row],[Customer_Info]])-FIND(",",RawSalesTable[[#This Row],[Customer_Info]],FIND(",",RawSalesTable[[#This Row],[Customer_Info]])+1)))</f>
        <v>Small Business</v>
      </c>
      <c r="V62" s="8" t="str">
        <f>VLOOKUP(RawSalesTable[[#This Row],[Product_ID]],ProductsTable[],2,FALSE)</f>
        <v>Resistance Bands</v>
      </c>
      <c r="W62" s="8" t="str">
        <f>VLOOKUP(RawSalesTable[[#This Row],[Product_ID]],ProductsTable[],3,FALSE)</f>
        <v>Fitness</v>
      </c>
      <c r="X62" s="8">
        <f>VLOOKUP(RawSalesTable[[#This Row],[Product_ID]],ProductsTable[],5,FALSE)</f>
        <v>139.19999999999999</v>
      </c>
      <c r="Y62" s="8">
        <f>RawSalesTable[[#This Row],[Quantity]]*RawSalesTable[[#This Row],[Unit_Price]]</f>
        <v>636.56999999999994</v>
      </c>
      <c r="Z62" s="8">
        <f>RawSalesTable[[#This Row],[Gross_Sales]]*RawSalesTable[[#This Row],[Discount_Pct]]</f>
        <v>127.31399999999999</v>
      </c>
      <c r="AA62" s="8">
        <f>RawSalesTable[[#This Row],[Gross_Sales]]-RawSalesTable[[#This Row],[Discount_Amount]]</f>
        <v>509.25599999999997</v>
      </c>
      <c r="AB62" s="8">
        <f>RawSalesTable[[#This Row],[Unit_Cost]]*RawSalesTable[[#This Row],[Quantity]]</f>
        <v>417.59999999999997</v>
      </c>
      <c r="AC62" s="8">
        <f>RawSalesTable[[#This Row],[Net_Sales]]-RawSalesTable[[#This Row],[Total_Cost]]</f>
        <v>91.656000000000006</v>
      </c>
      <c r="AD62" s="9">
        <f>RawSalesTable[[#This Row],[Profit]]/RawSalesTable[[#This Row],[Net_Sales]]</f>
        <v>0.17998020641877566</v>
      </c>
      <c r="AE62" s="8">
        <f>IF(RawSalesTable[[#This Row],[Return_Status]]="Yes",1,0)</f>
        <v>0</v>
      </c>
      <c r="AF62" s="8">
        <f>YEAR(RawSalesTable[[#This Row],[Order_Date]])</f>
        <v>2025</v>
      </c>
      <c r="AG62" s="8">
        <f>MONTH(RawSalesTable[[#This Row],[Order_Date]])</f>
        <v>7</v>
      </c>
      <c r="AH62" s="8" t="str">
        <f>TEXT(RawSalesTable[[#This Row],[Order_Date]],"mmmm")</f>
        <v>juillet</v>
      </c>
      <c r="AI62" s="8" t="str">
        <f>IF(RawSalesTable[[#This Row],[Month_Number]]&lt;=3,"Q1",IF(RawSalesTable[[#This Row],[Month_Number]]&lt;=6,"Q2",IF(RawSalesTable[[#This Row],[Month_Number]]&lt;=9,"Q3","Q4")))</f>
        <v>Q3</v>
      </c>
      <c r="AJ62" s="13">
        <f>DATE(YEAR(RawSalesTable[[#This Row],[Order_Date]]),MONTH(RawSalesTable[[#This Row],[Order_Date]]),1)</f>
        <v>45839</v>
      </c>
      <c r="AK62" s="8" t="str">
        <f>VLOOKUP(RawSalesTable[[#This Row],[Customer_ID_clean]],CustomersTable[],4,FALSE)</f>
        <v>Quebec</v>
      </c>
    </row>
    <row r="63" spans="1:37">
      <c r="A63" t="s">
        <v>272</v>
      </c>
      <c r="B63" s="3">
        <v>45999</v>
      </c>
      <c r="C63" t="s">
        <v>273</v>
      </c>
      <c r="D63" t="s">
        <v>85</v>
      </c>
      <c r="E63" t="s">
        <v>274</v>
      </c>
      <c r="F63" t="s">
        <v>103</v>
      </c>
      <c r="G63" t="s">
        <v>104</v>
      </c>
      <c r="H63" t="s">
        <v>105</v>
      </c>
      <c r="I63">
        <v>1</v>
      </c>
      <c r="J63" s="2">
        <v>306.63</v>
      </c>
      <c r="K63" s="4">
        <v>0.1</v>
      </c>
      <c r="L63" t="s">
        <v>106</v>
      </c>
      <c r="M63">
        <v>2</v>
      </c>
      <c r="N63" t="s">
        <v>91</v>
      </c>
      <c r="O63" t="str">
        <f>SUBSTITUTE(PROPER(TRIM(RawSalesTable[[#This Row],[Channel_Raw]])), "Market Place", "Marketplace")</f>
        <v>Marketplace</v>
      </c>
      <c r="P63" t="str">
        <f>TRIM(RawSalesTable[[#This Row],[Store_Raw]])</f>
        <v>Vancouver West</v>
      </c>
      <c r="Q63" t="str">
        <f>IF(TRIM(RawSalesTable[[#This Row],[Payment_Method_Raw]])="","Non renseigné",SUBSTITUTE(TRIM(RawSalesTable[[#This Row],[Payment_Method_Raw]]),"CC","Credit Card"))</f>
        <v>Credit Card</v>
      </c>
      <c r="R63" s="8" t="str">
        <f>UPPER(PROPER(RawSalesTable[[#This Row],[Customer_ID]]))</f>
        <v>C0066</v>
      </c>
      <c r="S63" s="8" t="str">
        <f>TRIM(LEFT(RawSalesTable[[#This Row],[Customer_Info]],FIND(",",RawSalesTable[[#This Row],[Customer_Info]]) -1))</f>
        <v>Noah Clark</v>
      </c>
      <c r="T63" s="8" t="str">
        <f>TRIM(MID(RawSalesTable[[#This Row],[Customer_Info]],FIND(",",RawSalesTable[[#This Row],[Customer_Info]])+1,FIND(",",RawSalesTable[[#This Row],[Customer_Info]],FIND(",",RawSalesTable[[#This Row],[Customer_Info]])+1)-FIND(",",RawSalesTable[[#This Row],[Customer_Info]])-1))</f>
        <v>Laval</v>
      </c>
      <c r="U63" s="8" t="str">
        <f>TRIM(RIGHT(RawSalesTable[[#This Row],[Customer_Info]], LEN(RawSalesTable[[#This Row],[Customer_Info]])-FIND(",",RawSalesTable[[#This Row],[Customer_Info]],FIND(",",RawSalesTable[[#This Row],[Customer_Info]])+1)))</f>
        <v>Consumer</v>
      </c>
      <c r="V63" s="8" t="str">
        <f>VLOOKUP(RawSalesTable[[#This Row],[Product_ID]],ProductsTable[],2,FALSE)</f>
        <v>Yoga Mat</v>
      </c>
      <c r="W63" s="8" t="str">
        <f>VLOOKUP(RawSalesTable[[#This Row],[Product_ID]],ProductsTable[],3,FALSE)</f>
        <v>Fitness</v>
      </c>
      <c r="X63" s="8">
        <f>VLOOKUP(RawSalesTable[[#This Row],[Product_ID]],ProductsTable[],5,FALSE)</f>
        <v>197.33</v>
      </c>
      <c r="Y63" s="8">
        <f>RawSalesTable[[#This Row],[Quantity]]*RawSalesTable[[#This Row],[Unit_Price]]</f>
        <v>306.63</v>
      </c>
      <c r="Z63" s="8">
        <f>RawSalesTable[[#This Row],[Gross_Sales]]*RawSalesTable[[#This Row],[Discount_Pct]]</f>
        <v>30.663</v>
      </c>
      <c r="AA63" s="8">
        <f>RawSalesTable[[#This Row],[Gross_Sales]]-RawSalesTable[[#This Row],[Discount_Amount]]</f>
        <v>275.96699999999998</v>
      </c>
      <c r="AB63" s="8">
        <f>RawSalesTable[[#This Row],[Unit_Cost]]*RawSalesTable[[#This Row],[Quantity]]</f>
        <v>197.33</v>
      </c>
      <c r="AC63" s="8">
        <f>RawSalesTable[[#This Row],[Net_Sales]]-RawSalesTable[[#This Row],[Total_Cost]]</f>
        <v>78.636999999999972</v>
      </c>
      <c r="AD63" s="9">
        <f>RawSalesTable[[#This Row],[Profit]]/RawSalesTable[[#This Row],[Net_Sales]]</f>
        <v>0.28495073686346545</v>
      </c>
      <c r="AE63" s="8">
        <f>IF(RawSalesTable[[#This Row],[Return_Status]]="Yes",1,0)</f>
        <v>0</v>
      </c>
      <c r="AF63" s="8">
        <f>YEAR(RawSalesTable[[#This Row],[Order_Date]])</f>
        <v>2025</v>
      </c>
      <c r="AG63" s="8">
        <f>MONTH(RawSalesTable[[#This Row],[Order_Date]])</f>
        <v>12</v>
      </c>
      <c r="AH63" s="8" t="str">
        <f>TEXT(RawSalesTable[[#This Row],[Order_Date]],"mmmm")</f>
        <v>décembre</v>
      </c>
      <c r="AI63" s="8" t="str">
        <f>IF(RawSalesTable[[#This Row],[Month_Number]]&lt;=3,"Q1",IF(RawSalesTable[[#This Row],[Month_Number]]&lt;=6,"Q2",IF(RawSalesTable[[#This Row],[Month_Number]]&lt;=9,"Q3","Q4")))</f>
        <v>Q4</v>
      </c>
      <c r="AJ63" s="13">
        <f>DATE(YEAR(RawSalesTable[[#This Row],[Order_Date]]),MONTH(RawSalesTable[[#This Row],[Order_Date]]),1)</f>
        <v>45992</v>
      </c>
      <c r="AK63" s="8" t="str">
        <f>VLOOKUP(RawSalesTable[[#This Row],[Customer_ID_clean]],CustomersTable[],4,FALSE)</f>
        <v>Quebec</v>
      </c>
    </row>
    <row r="64" spans="1:37">
      <c r="A64" t="s">
        <v>275</v>
      </c>
      <c r="B64" s="3">
        <v>45963</v>
      </c>
      <c r="C64" t="s">
        <v>248</v>
      </c>
      <c r="D64" t="s">
        <v>194</v>
      </c>
      <c r="E64" t="s">
        <v>250</v>
      </c>
      <c r="F64" t="s">
        <v>103</v>
      </c>
      <c r="G64" t="s">
        <v>183</v>
      </c>
      <c r="H64" t="s">
        <v>89</v>
      </c>
      <c r="I64">
        <v>3</v>
      </c>
      <c r="J64" s="2">
        <v>205.39</v>
      </c>
      <c r="K64" s="4">
        <v>0</v>
      </c>
      <c r="L64" t="s">
        <v>106</v>
      </c>
      <c r="M64">
        <v>6</v>
      </c>
      <c r="N64" t="s">
        <v>91</v>
      </c>
      <c r="O64" t="str">
        <f>SUBSTITUTE(PROPER(TRIM(RawSalesTable[[#This Row],[Channel_Raw]])), "Market Place", "Marketplace")</f>
        <v>Online</v>
      </c>
      <c r="P64" t="str">
        <f>TRIM(RawSalesTable[[#This Row],[Store_Raw]])</f>
        <v>Vancouver West</v>
      </c>
      <c r="Q64" t="str">
        <f>IF(TRIM(RawSalesTable[[#This Row],[Payment_Method_Raw]])="","Non renseigné",SUBSTITUTE(TRIM(RawSalesTable[[#This Row],[Payment_Method_Raw]]),"CC","Credit Card"))</f>
        <v>Credit Card</v>
      </c>
      <c r="R64" s="8" t="str">
        <f>UPPER(PROPER(RawSalesTable[[#This Row],[Customer_ID]]))</f>
        <v>C0012</v>
      </c>
      <c r="S64" s="8" t="str">
        <f>TRIM(LEFT(RawSalesTable[[#This Row],[Customer_Info]],FIND(",",RawSalesTable[[#This Row],[Customer_Info]]) -1))</f>
        <v>Daniel Taylor</v>
      </c>
      <c r="T64" s="8" t="str">
        <f>TRIM(MID(RawSalesTable[[#This Row],[Customer_Info]],FIND(",",RawSalesTable[[#This Row],[Customer_Info]])+1,FIND(",",RawSalesTable[[#This Row],[Customer_Info]],FIND(",",RawSalesTable[[#This Row],[Customer_Info]])+1)-FIND(",",RawSalesTable[[#This Row],[Customer_Info]])-1))</f>
        <v>Victoria</v>
      </c>
      <c r="U64" s="8" t="str">
        <f>TRIM(RIGHT(RawSalesTable[[#This Row],[Customer_Info]], LEN(RawSalesTable[[#This Row],[Customer_Info]])-FIND(",",RawSalesTable[[#This Row],[Customer_Info]],FIND(",",RawSalesTable[[#This Row],[Customer_Info]])+1)))</f>
        <v>Corporate</v>
      </c>
      <c r="V64" s="8" t="str">
        <f>VLOOKUP(RawSalesTable[[#This Row],[Product_ID]],ProductsTable[],2,FALSE)</f>
        <v>Jump Rope</v>
      </c>
      <c r="W64" s="8" t="str">
        <f>VLOOKUP(RawSalesTable[[#This Row],[Product_ID]],ProductsTable[],3,FALSE)</f>
        <v>Fitness</v>
      </c>
      <c r="X64" s="8">
        <f>VLOOKUP(RawSalesTable[[#This Row],[Product_ID]],ProductsTable[],5,FALSE)</f>
        <v>101</v>
      </c>
      <c r="Y64" s="8">
        <f>RawSalesTable[[#This Row],[Quantity]]*RawSalesTable[[#This Row],[Unit_Price]]</f>
        <v>616.16999999999996</v>
      </c>
      <c r="Z64" s="8">
        <f>RawSalesTable[[#This Row],[Gross_Sales]]*RawSalesTable[[#This Row],[Discount_Pct]]</f>
        <v>0</v>
      </c>
      <c r="AA64" s="8">
        <f>RawSalesTable[[#This Row],[Gross_Sales]]-RawSalesTable[[#This Row],[Discount_Amount]]</f>
        <v>616.16999999999996</v>
      </c>
      <c r="AB64" s="8">
        <f>RawSalesTable[[#This Row],[Unit_Cost]]*RawSalesTable[[#This Row],[Quantity]]</f>
        <v>303</v>
      </c>
      <c r="AC64" s="8">
        <f>RawSalesTable[[#This Row],[Net_Sales]]-RawSalesTable[[#This Row],[Total_Cost]]</f>
        <v>313.16999999999996</v>
      </c>
      <c r="AD64" s="9">
        <f>RawSalesTable[[#This Row],[Profit]]/RawSalesTable[[#This Row],[Net_Sales]]</f>
        <v>0.50825259262865763</v>
      </c>
      <c r="AE64" s="8">
        <f>IF(RawSalesTable[[#This Row],[Return_Status]]="Yes",1,0)</f>
        <v>0</v>
      </c>
      <c r="AF64" s="8">
        <f>YEAR(RawSalesTable[[#This Row],[Order_Date]])</f>
        <v>2025</v>
      </c>
      <c r="AG64" s="8">
        <f>MONTH(RawSalesTable[[#This Row],[Order_Date]])</f>
        <v>11</v>
      </c>
      <c r="AH64" s="8" t="str">
        <f>TEXT(RawSalesTable[[#This Row],[Order_Date]],"mmmm")</f>
        <v>novembre</v>
      </c>
      <c r="AI64" s="8" t="str">
        <f>IF(RawSalesTable[[#This Row],[Month_Number]]&lt;=3,"Q1",IF(RawSalesTable[[#This Row],[Month_Number]]&lt;=6,"Q2",IF(RawSalesTable[[#This Row],[Month_Number]]&lt;=9,"Q3","Q4")))</f>
        <v>Q4</v>
      </c>
      <c r="AJ64" s="13">
        <f>DATE(YEAR(RawSalesTable[[#This Row],[Order_Date]]),MONTH(RawSalesTable[[#This Row],[Order_Date]]),1)</f>
        <v>45962</v>
      </c>
      <c r="AK64" s="8" t="str">
        <f>VLOOKUP(RawSalesTable[[#This Row],[Customer_ID_clean]],CustomersTable[],4,FALSE)</f>
        <v>British Columbia</v>
      </c>
    </row>
    <row r="65" spans="1:37">
      <c r="A65" t="s">
        <v>276</v>
      </c>
      <c r="B65" s="3">
        <v>45954</v>
      </c>
      <c r="C65" t="s">
        <v>225</v>
      </c>
      <c r="D65" t="s">
        <v>277</v>
      </c>
      <c r="E65" t="s">
        <v>227</v>
      </c>
      <c r="F65" t="s">
        <v>145</v>
      </c>
      <c r="G65" t="s">
        <v>130</v>
      </c>
      <c r="H65" t="s">
        <v>89</v>
      </c>
      <c r="I65">
        <v>1</v>
      </c>
      <c r="J65" s="2">
        <v>394.09</v>
      </c>
      <c r="K65" s="4">
        <v>0.2</v>
      </c>
      <c r="L65" t="s">
        <v>90</v>
      </c>
      <c r="M65">
        <v>6</v>
      </c>
      <c r="N65" t="s">
        <v>91</v>
      </c>
      <c r="O65" t="str">
        <f>SUBSTITUTE(PROPER(TRIM(RawSalesTable[[#This Row],[Channel_Raw]])), "Market Place", "Marketplace")</f>
        <v>Online</v>
      </c>
      <c r="P65" t="str">
        <f>TRIM(RawSalesTable[[#This Row],[Store_Raw]])</f>
        <v>Calgary North</v>
      </c>
      <c r="Q65" t="str">
        <f>IF(TRIM(RawSalesTable[[#This Row],[Payment_Method_Raw]])="","Non renseigné",SUBSTITUTE(TRIM(RawSalesTable[[#This Row],[Payment_Method_Raw]]),"CC","Credit Card"))</f>
        <v>PayPal</v>
      </c>
      <c r="R65" s="8" t="str">
        <f>UPPER(PROPER(RawSalesTable[[#This Row],[Customer_ID]]))</f>
        <v>C0110</v>
      </c>
      <c r="S65" s="8" t="str">
        <f>TRIM(LEFT(RawSalesTable[[#This Row],[Customer_Info]],FIND(",",RawSalesTable[[#This Row],[Customer_Info]]) -1))</f>
        <v>Sarah Smith</v>
      </c>
      <c r="T65" s="8" t="str">
        <f>TRIM(MID(RawSalesTable[[#This Row],[Customer_Info]],FIND(",",RawSalesTable[[#This Row],[Customer_Info]])+1,FIND(",",RawSalesTable[[#This Row],[Customer_Info]],FIND(",",RawSalesTable[[#This Row],[Customer_Info]])+1)-FIND(",",RawSalesTable[[#This Row],[Customer_Info]])-1))</f>
        <v>Laval</v>
      </c>
      <c r="U65" s="8" t="str">
        <f>TRIM(RIGHT(RawSalesTable[[#This Row],[Customer_Info]], LEN(RawSalesTable[[#This Row],[Customer_Info]])-FIND(",",RawSalesTable[[#This Row],[Customer_Info]],FIND(",",RawSalesTable[[#This Row],[Customer_Info]])+1)))</f>
        <v>Consumer</v>
      </c>
      <c r="V65" s="8" t="str">
        <f>VLOOKUP(RawSalesTable[[#This Row],[Product_ID]],ProductsTable[],2,FALSE)</f>
        <v>Headphones</v>
      </c>
      <c r="W65" s="8" t="str">
        <f>VLOOKUP(RawSalesTable[[#This Row],[Product_ID]],ProductsTable[],3,FALSE)</f>
        <v>Electronics</v>
      </c>
      <c r="X65" s="8">
        <f>VLOOKUP(RawSalesTable[[#This Row],[Product_ID]],ProductsTable[],5,FALSE)</f>
        <v>254.6</v>
      </c>
      <c r="Y65" s="8">
        <f>RawSalesTable[[#This Row],[Quantity]]*RawSalesTable[[#This Row],[Unit_Price]]</f>
        <v>394.09</v>
      </c>
      <c r="Z65" s="8">
        <f>RawSalesTable[[#This Row],[Gross_Sales]]*RawSalesTable[[#This Row],[Discount_Pct]]</f>
        <v>78.817999999999998</v>
      </c>
      <c r="AA65" s="8">
        <f>RawSalesTable[[#This Row],[Gross_Sales]]-RawSalesTable[[#This Row],[Discount_Amount]]</f>
        <v>315.27199999999999</v>
      </c>
      <c r="AB65" s="8">
        <f>RawSalesTable[[#This Row],[Unit_Cost]]*RawSalesTable[[#This Row],[Quantity]]</f>
        <v>254.6</v>
      </c>
      <c r="AC65" s="8">
        <f>RawSalesTable[[#This Row],[Net_Sales]]-RawSalesTable[[#This Row],[Total_Cost]]</f>
        <v>60.671999999999997</v>
      </c>
      <c r="AD65" s="9">
        <f>RawSalesTable[[#This Row],[Profit]]/RawSalesTable[[#This Row],[Net_Sales]]</f>
        <v>0.19244335050369205</v>
      </c>
      <c r="AE65" s="8">
        <f>IF(RawSalesTable[[#This Row],[Return_Status]]="Yes",1,0)</f>
        <v>0</v>
      </c>
      <c r="AF65" s="8">
        <f>YEAR(RawSalesTable[[#This Row],[Order_Date]])</f>
        <v>2025</v>
      </c>
      <c r="AG65" s="8">
        <f>MONTH(RawSalesTable[[#This Row],[Order_Date]])</f>
        <v>10</v>
      </c>
      <c r="AH65" s="8" t="str">
        <f>TEXT(RawSalesTable[[#This Row],[Order_Date]],"mmmm")</f>
        <v>octobre</v>
      </c>
      <c r="AI65" s="8" t="str">
        <f>IF(RawSalesTable[[#This Row],[Month_Number]]&lt;=3,"Q1",IF(RawSalesTable[[#This Row],[Month_Number]]&lt;=6,"Q2",IF(RawSalesTable[[#This Row],[Month_Number]]&lt;=9,"Q3","Q4")))</f>
        <v>Q4</v>
      </c>
      <c r="AJ65" s="13">
        <f>DATE(YEAR(RawSalesTable[[#This Row],[Order_Date]]),MONTH(RawSalesTable[[#This Row],[Order_Date]]),1)</f>
        <v>45931</v>
      </c>
      <c r="AK65" s="8" t="str">
        <f>VLOOKUP(RawSalesTable[[#This Row],[Customer_ID_clean]],CustomersTable[],4,FALSE)</f>
        <v>Quebec</v>
      </c>
    </row>
    <row r="66" spans="1:37">
      <c r="A66" t="s">
        <v>278</v>
      </c>
      <c r="B66" s="3">
        <v>45862</v>
      </c>
      <c r="C66" t="s">
        <v>279</v>
      </c>
      <c r="D66" t="s">
        <v>101</v>
      </c>
      <c r="E66" t="s">
        <v>280</v>
      </c>
      <c r="F66" t="s">
        <v>145</v>
      </c>
      <c r="G66" t="s">
        <v>130</v>
      </c>
      <c r="H66" t="s">
        <v>89</v>
      </c>
      <c r="I66">
        <v>2</v>
      </c>
      <c r="J66" s="2">
        <v>309.14</v>
      </c>
      <c r="K66" s="4">
        <v>0.15</v>
      </c>
      <c r="L66" t="s">
        <v>106</v>
      </c>
      <c r="M66">
        <v>9</v>
      </c>
      <c r="N66" t="s">
        <v>91</v>
      </c>
      <c r="O66" t="str">
        <f>SUBSTITUTE(PROPER(TRIM(RawSalesTable[[#This Row],[Channel_Raw]])), "Market Place", "Marketplace")</f>
        <v>Online</v>
      </c>
      <c r="P66" t="str">
        <f>TRIM(RawSalesTable[[#This Row],[Store_Raw]])</f>
        <v>Calgary North</v>
      </c>
      <c r="Q66" t="str">
        <f>IF(TRIM(RawSalesTable[[#This Row],[Payment_Method_Raw]])="","Non renseigné",SUBSTITUTE(TRIM(RawSalesTable[[#This Row],[Payment_Method_Raw]]),"CC","Credit Card"))</f>
        <v>Credit Card</v>
      </c>
      <c r="R66" s="8" t="str">
        <f>UPPER(PROPER(RawSalesTable[[#This Row],[Customer_ID]]))</f>
        <v>C0069</v>
      </c>
      <c r="S66" s="8" t="str">
        <f>TRIM(LEFT(RawSalesTable[[#This Row],[Customer_Info]],FIND(",",RawSalesTable[[#This Row],[Customer_Info]]) -1))</f>
        <v>Sarah White</v>
      </c>
      <c r="T66" s="8" t="str">
        <f>TRIM(MID(RawSalesTable[[#This Row],[Customer_Info]],FIND(",",RawSalesTable[[#This Row],[Customer_Info]])+1,FIND(",",RawSalesTable[[#This Row],[Customer_Info]],FIND(",",RawSalesTable[[#This Row],[Customer_Info]])+1)-FIND(",",RawSalesTable[[#This Row],[Customer_Info]])-1))</f>
        <v>Ottawa</v>
      </c>
      <c r="U66" s="8" t="str">
        <f>TRIM(RIGHT(RawSalesTable[[#This Row],[Customer_Info]], LEN(RawSalesTable[[#This Row],[Customer_Info]])-FIND(",",RawSalesTable[[#This Row],[Customer_Info]],FIND(",",RawSalesTable[[#This Row],[Customer_Info]])+1)))</f>
        <v>Consumer</v>
      </c>
      <c r="V66" s="8" t="str">
        <f>VLOOKUP(RawSalesTable[[#This Row],[Product_ID]],ProductsTable[],2,FALSE)</f>
        <v>Kettle</v>
      </c>
      <c r="W66" s="8" t="str">
        <f>VLOOKUP(RawSalesTable[[#This Row],[Product_ID]],ProductsTable[],3,FALSE)</f>
        <v>Home</v>
      </c>
      <c r="X66" s="8">
        <f>VLOOKUP(RawSalesTable[[#This Row],[Product_ID]],ProductsTable[],5,FALSE)</f>
        <v>139.86000000000001</v>
      </c>
      <c r="Y66" s="8">
        <f>RawSalesTable[[#This Row],[Quantity]]*RawSalesTable[[#This Row],[Unit_Price]]</f>
        <v>618.28</v>
      </c>
      <c r="Z66" s="8">
        <f>RawSalesTable[[#This Row],[Gross_Sales]]*RawSalesTable[[#This Row],[Discount_Pct]]</f>
        <v>92.74199999999999</v>
      </c>
      <c r="AA66" s="8">
        <f>RawSalesTable[[#This Row],[Gross_Sales]]-RawSalesTable[[#This Row],[Discount_Amount]]</f>
        <v>525.53800000000001</v>
      </c>
      <c r="AB66" s="8">
        <f>RawSalesTable[[#This Row],[Unit_Cost]]*RawSalesTable[[#This Row],[Quantity]]</f>
        <v>279.72000000000003</v>
      </c>
      <c r="AC66" s="8">
        <f>RawSalesTable[[#This Row],[Net_Sales]]-RawSalesTable[[#This Row],[Total_Cost]]</f>
        <v>245.81799999999998</v>
      </c>
      <c r="AD66" s="9">
        <f>RawSalesTable[[#This Row],[Profit]]/RawSalesTable[[#This Row],[Net_Sales]]</f>
        <v>0.46774543420266468</v>
      </c>
      <c r="AE66" s="8">
        <f>IF(RawSalesTable[[#This Row],[Return_Status]]="Yes",1,0)</f>
        <v>0</v>
      </c>
      <c r="AF66" s="8">
        <f>YEAR(RawSalesTable[[#This Row],[Order_Date]])</f>
        <v>2025</v>
      </c>
      <c r="AG66" s="8">
        <f>MONTH(RawSalesTable[[#This Row],[Order_Date]])</f>
        <v>7</v>
      </c>
      <c r="AH66" s="8" t="str">
        <f>TEXT(RawSalesTable[[#This Row],[Order_Date]],"mmmm")</f>
        <v>juillet</v>
      </c>
      <c r="AI66" s="8" t="str">
        <f>IF(RawSalesTable[[#This Row],[Month_Number]]&lt;=3,"Q1",IF(RawSalesTable[[#This Row],[Month_Number]]&lt;=6,"Q2",IF(RawSalesTable[[#This Row],[Month_Number]]&lt;=9,"Q3","Q4")))</f>
        <v>Q3</v>
      </c>
      <c r="AJ66" s="13">
        <f>DATE(YEAR(RawSalesTable[[#This Row],[Order_Date]]),MONTH(RawSalesTable[[#This Row],[Order_Date]]),1)</f>
        <v>45839</v>
      </c>
      <c r="AK66" s="8" t="str">
        <f>VLOOKUP(RawSalesTable[[#This Row],[Customer_ID_clean]],CustomersTable[],4,FALSE)</f>
        <v>Ontario</v>
      </c>
    </row>
    <row r="67" spans="1:37">
      <c r="A67" t="s">
        <v>281</v>
      </c>
      <c r="B67" s="3">
        <v>45722</v>
      </c>
      <c r="C67" t="s">
        <v>100</v>
      </c>
      <c r="D67" t="s">
        <v>136</v>
      </c>
      <c r="E67" t="s">
        <v>102</v>
      </c>
      <c r="F67" t="s">
        <v>87</v>
      </c>
      <c r="G67" t="s">
        <v>130</v>
      </c>
      <c r="H67" t="s">
        <v>228</v>
      </c>
      <c r="I67">
        <v>1</v>
      </c>
      <c r="J67" s="2">
        <v>155.66999999999999</v>
      </c>
      <c r="K67" s="4">
        <v>0</v>
      </c>
      <c r="L67" t="s">
        <v>106</v>
      </c>
      <c r="M67">
        <v>6</v>
      </c>
      <c r="N67" t="s">
        <v>91</v>
      </c>
      <c r="O67" t="str">
        <f>SUBSTITUTE(PROPER(TRIM(RawSalesTable[[#This Row],[Channel_Raw]])), "Market Place", "Marketplace")</f>
        <v>Online</v>
      </c>
      <c r="P67" t="str">
        <f>TRIM(RawSalesTable[[#This Row],[Store_Raw]])</f>
        <v>Online Fulfillment</v>
      </c>
      <c r="Q67" t="str">
        <f>IF(TRIM(RawSalesTable[[#This Row],[Payment_Method_Raw]])="","Non renseigné",SUBSTITUTE(TRIM(RawSalesTable[[#This Row],[Payment_Method_Raw]]),"CC","Credit Card"))</f>
        <v>Credit Card</v>
      </c>
      <c r="R67" s="8" t="str">
        <f>UPPER(PROPER(RawSalesTable[[#This Row],[Customer_ID]]))</f>
        <v>C0003</v>
      </c>
      <c r="S67" s="8" t="str">
        <f>TRIM(LEFT(RawSalesTable[[#This Row],[Customer_Info]],FIND(",",RawSalesTable[[#This Row],[Customer_Info]]) -1))</f>
        <v>Amelia Young</v>
      </c>
      <c r="T67" s="8" t="str">
        <f>TRIM(MID(RawSalesTable[[#This Row],[Customer_Info]],FIND(",",RawSalesTable[[#This Row],[Customer_Info]])+1,FIND(",",RawSalesTable[[#This Row],[Customer_Info]],FIND(",",RawSalesTable[[#This Row],[Customer_Info]])+1)-FIND(",",RawSalesTable[[#This Row],[Customer_Info]])-1))</f>
        <v>Ottawa</v>
      </c>
      <c r="U67" s="8" t="str">
        <f>TRIM(RIGHT(RawSalesTable[[#This Row],[Customer_Info]], LEN(RawSalesTable[[#This Row],[Customer_Info]])-FIND(",",RawSalesTable[[#This Row],[Customer_Info]],FIND(",",RawSalesTable[[#This Row],[Customer_Info]])+1)))</f>
        <v>Corporate</v>
      </c>
      <c r="V67" s="8" t="str">
        <f>VLOOKUP(RawSalesTable[[#This Row],[Product_ID]],ProductsTable[],2,FALSE)</f>
        <v>Mouse</v>
      </c>
      <c r="W67" s="8" t="str">
        <f>VLOOKUP(RawSalesTable[[#This Row],[Product_ID]],ProductsTable[],3,FALSE)</f>
        <v>Electronics</v>
      </c>
      <c r="X67" s="8">
        <f>VLOOKUP(RawSalesTable[[#This Row],[Product_ID]],ProductsTable[],5,FALSE)</f>
        <v>106.4</v>
      </c>
      <c r="Y67" s="8">
        <f>RawSalesTable[[#This Row],[Quantity]]*RawSalesTable[[#This Row],[Unit_Price]]</f>
        <v>155.66999999999999</v>
      </c>
      <c r="Z67" s="8">
        <f>RawSalesTable[[#This Row],[Gross_Sales]]*RawSalesTable[[#This Row],[Discount_Pct]]</f>
        <v>0</v>
      </c>
      <c r="AA67" s="8">
        <f>RawSalesTable[[#This Row],[Gross_Sales]]-RawSalesTable[[#This Row],[Discount_Amount]]</f>
        <v>155.66999999999999</v>
      </c>
      <c r="AB67" s="8">
        <f>RawSalesTable[[#This Row],[Unit_Cost]]*RawSalesTable[[#This Row],[Quantity]]</f>
        <v>106.4</v>
      </c>
      <c r="AC67" s="8">
        <f>RawSalesTable[[#This Row],[Net_Sales]]-RawSalesTable[[#This Row],[Total_Cost]]</f>
        <v>49.269999999999982</v>
      </c>
      <c r="AD67" s="9">
        <f>RawSalesTable[[#This Row],[Profit]]/RawSalesTable[[#This Row],[Net_Sales]]</f>
        <v>0.31650285861116456</v>
      </c>
      <c r="AE67" s="8">
        <f>IF(RawSalesTable[[#This Row],[Return_Status]]="Yes",1,0)</f>
        <v>0</v>
      </c>
      <c r="AF67" s="8">
        <f>YEAR(RawSalesTable[[#This Row],[Order_Date]])</f>
        <v>2025</v>
      </c>
      <c r="AG67" s="8">
        <f>MONTH(RawSalesTable[[#This Row],[Order_Date]])</f>
        <v>3</v>
      </c>
      <c r="AH67" s="8" t="str">
        <f>TEXT(RawSalesTable[[#This Row],[Order_Date]],"mmmm")</f>
        <v>mars</v>
      </c>
      <c r="AI67" s="8" t="str">
        <f>IF(RawSalesTable[[#This Row],[Month_Number]]&lt;=3,"Q1",IF(RawSalesTable[[#This Row],[Month_Number]]&lt;=6,"Q2",IF(RawSalesTable[[#This Row],[Month_Number]]&lt;=9,"Q3","Q4")))</f>
        <v>Q1</v>
      </c>
      <c r="AJ67" s="13">
        <f>DATE(YEAR(RawSalesTable[[#This Row],[Order_Date]]),MONTH(RawSalesTable[[#This Row],[Order_Date]]),1)</f>
        <v>45717</v>
      </c>
      <c r="AK67" s="8" t="str">
        <f>VLOOKUP(RawSalesTable[[#This Row],[Customer_ID_clean]],CustomersTable[],4,FALSE)</f>
        <v>Ontario</v>
      </c>
    </row>
    <row r="68" spans="1:37">
      <c r="A68" t="s">
        <v>282</v>
      </c>
      <c r="B68" s="3">
        <v>45947</v>
      </c>
      <c r="C68" t="s">
        <v>283</v>
      </c>
      <c r="D68" t="s">
        <v>94</v>
      </c>
      <c r="E68" t="s">
        <v>284</v>
      </c>
      <c r="F68" t="s">
        <v>145</v>
      </c>
      <c r="G68" t="s">
        <v>130</v>
      </c>
      <c r="H68" t="s">
        <v>89</v>
      </c>
      <c r="I68">
        <v>1</v>
      </c>
      <c r="J68" s="2">
        <v>318.31</v>
      </c>
      <c r="K68" s="4">
        <v>0.1</v>
      </c>
      <c r="L68" t="s">
        <v>90</v>
      </c>
      <c r="M68">
        <v>6</v>
      </c>
      <c r="N68" t="s">
        <v>91</v>
      </c>
      <c r="O68" t="str">
        <f>SUBSTITUTE(PROPER(TRIM(RawSalesTable[[#This Row],[Channel_Raw]])), "Market Place", "Marketplace")</f>
        <v>Online</v>
      </c>
      <c r="P68" t="str">
        <f>TRIM(RawSalesTable[[#This Row],[Store_Raw]])</f>
        <v>Calgary North</v>
      </c>
      <c r="Q68" t="str">
        <f>IF(TRIM(RawSalesTable[[#This Row],[Payment_Method_Raw]])="","Non renseigné",SUBSTITUTE(TRIM(RawSalesTable[[#This Row],[Payment_Method_Raw]]),"CC","Credit Card"))</f>
        <v>PayPal</v>
      </c>
      <c r="R68" s="8" t="str">
        <f>UPPER(PROPER(RawSalesTable[[#This Row],[Customer_ID]]))</f>
        <v>C0033</v>
      </c>
      <c r="S68" s="8" t="str">
        <f>TRIM(LEFT(RawSalesTable[[#This Row],[Customer_Info]],FIND(",",RawSalesTable[[#This Row],[Customer_Info]]) -1))</f>
        <v>Maya Hall</v>
      </c>
      <c r="T68" s="8" t="str">
        <f>TRIM(MID(RawSalesTable[[#This Row],[Customer_Info]],FIND(",",RawSalesTable[[#This Row],[Customer_Info]])+1,FIND(",",RawSalesTable[[#This Row],[Customer_Info]],FIND(",",RawSalesTable[[#This Row],[Customer_Info]])+1)-FIND(",",RawSalesTable[[#This Row],[Customer_Info]])-1))</f>
        <v>Winnipeg</v>
      </c>
      <c r="U68" s="8" t="str">
        <f>TRIM(RIGHT(RawSalesTable[[#This Row],[Customer_Info]], LEN(RawSalesTable[[#This Row],[Customer_Info]])-FIND(",",RawSalesTable[[#This Row],[Customer_Info]],FIND(",",RawSalesTable[[#This Row],[Customer_Info]])+1)))</f>
        <v>Consumer</v>
      </c>
      <c r="V68" s="8" t="str">
        <f>VLOOKUP(RawSalesTable[[#This Row],[Product_ID]],ProductsTable[],2,FALSE)</f>
        <v>Backpack</v>
      </c>
      <c r="W68" s="8" t="str">
        <f>VLOOKUP(RawSalesTable[[#This Row],[Product_ID]],ProductsTable[],3,FALSE)</f>
        <v>Accessories</v>
      </c>
      <c r="X68" s="8">
        <f>VLOOKUP(RawSalesTable[[#This Row],[Product_ID]],ProductsTable[],5,FALSE)</f>
        <v>152.55000000000001</v>
      </c>
      <c r="Y68" s="8">
        <f>RawSalesTable[[#This Row],[Quantity]]*RawSalesTable[[#This Row],[Unit_Price]]</f>
        <v>318.31</v>
      </c>
      <c r="Z68" s="8">
        <f>RawSalesTable[[#This Row],[Gross_Sales]]*RawSalesTable[[#This Row],[Discount_Pct]]</f>
        <v>31.831000000000003</v>
      </c>
      <c r="AA68" s="8">
        <f>RawSalesTable[[#This Row],[Gross_Sales]]-RawSalesTable[[#This Row],[Discount_Amount]]</f>
        <v>286.47899999999998</v>
      </c>
      <c r="AB68" s="8">
        <f>RawSalesTable[[#This Row],[Unit_Cost]]*RawSalesTable[[#This Row],[Quantity]]</f>
        <v>152.55000000000001</v>
      </c>
      <c r="AC68" s="8">
        <f>RawSalesTable[[#This Row],[Net_Sales]]-RawSalesTable[[#This Row],[Total_Cost]]</f>
        <v>133.92899999999997</v>
      </c>
      <c r="AD68" s="9">
        <f>RawSalesTable[[#This Row],[Profit]]/RawSalesTable[[#This Row],[Net_Sales]]</f>
        <v>0.46750023561936471</v>
      </c>
      <c r="AE68" s="8">
        <f>IF(RawSalesTable[[#This Row],[Return_Status]]="Yes",1,0)</f>
        <v>0</v>
      </c>
      <c r="AF68" s="8">
        <f>YEAR(RawSalesTable[[#This Row],[Order_Date]])</f>
        <v>2025</v>
      </c>
      <c r="AG68" s="8">
        <f>MONTH(RawSalesTable[[#This Row],[Order_Date]])</f>
        <v>10</v>
      </c>
      <c r="AH68" s="8" t="str">
        <f>TEXT(RawSalesTable[[#This Row],[Order_Date]],"mmmm")</f>
        <v>octobre</v>
      </c>
      <c r="AI68" s="8" t="str">
        <f>IF(RawSalesTable[[#This Row],[Month_Number]]&lt;=3,"Q1",IF(RawSalesTable[[#This Row],[Month_Number]]&lt;=6,"Q2",IF(RawSalesTable[[#This Row],[Month_Number]]&lt;=9,"Q3","Q4")))</f>
        <v>Q4</v>
      </c>
      <c r="AJ68" s="13">
        <f>DATE(YEAR(RawSalesTable[[#This Row],[Order_Date]]),MONTH(RawSalesTable[[#This Row],[Order_Date]]),1)</f>
        <v>45931</v>
      </c>
      <c r="AK68" s="8" t="str">
        <f>VLOOKUP(RawSalesTable[[#This Row],[Customer_ID_clean]],CustomersTable[],4,FALSE)</f>
        <v>Manitoba</v>
      </c>
    </row>
    <row r="69" spans="1:37">
      <c r="A69" t="s">
        <v>285</v>
      </c>
      <c r="B69" s="3">
        <v>45971</v>
      </c>
      <c r="C69" t="s">
        <v>286</v>
      </c>
      <c r="D69" t="s">
        <v>157</v>
      </c>
      <c r="E69" t="s">
        <v>287</v>
      </c>
      <c r="F69" t="s">
        <v>116</v>
      </c>
      <c r="G69" t="s">
        <v>117</v>
      </c>
      <c r="H69" t="s">
        <v>97</v>
      </c>
      <c r="I69">
        <v>1</v>
      </c>
      <c r="J69" s="2">
        <v>294.95</v>
      </c>
      <c r="K69" s="4">
        <v>0.05</v>
      </c>
      <c r="L69" t="s">
        <v>106</v>
      </c>
      <c r="M69">
        <v>2</v>
      </c>
      <c r="N69" t="s">
        <v>91</v>
      </c>
      <c r="O69" t="str">
        <f>SUBSTITUTE(PROPER(TRIM(RawSalesTable[[#This Row],[Channel_Raw]])), "Market Place", "Marketplace")</f>
        <v>Retail Store</v>
      </c>
      <c r="P69" t="str">
        <f>TRIM(RawSalesTable[[#This Row],[Store_Raw]])</f>
        <v>Toronto Downtown</v>
      </c>
      <c r="Q69" t="str">
        <f>IF(TRIM(RawSalesTable[[#This Row],[Payment_Method_Raw]])="","Non renseigné",SUBSTITUTE(TRIM(RawSalesTable[[#This Row],[Payment_Method_Raw]]),"CC","Credit Card"))</f>
        <v>Credit Card</v>
      </c>
      <c r="R69" s="8" t="str">
        <f>UPPER(PROPER(RawSalesTable[[#This Row],[Customer_ID]]))</f>
        <v>C0098</v>
      </c>
      <c r="S69" s="8" t="str">
        <f>TRIM(LEFT(RawSalesTable[[#This Row],[Customer_Info]],FIND(",",RawSalesTable[[#This Row],[Customer_Info]]) -1))</f>
        <v>Nora Young</v>
      </c>
      <c r="T69" s="8" t="str">
        <f>TRIM(MID(RawSalesTable[[#This Row],[Customer_Info]],FIND(",",RawSalesTable[[#This Row],[Customer_Info]])+1,FIND(",",RawSalesTable[[#This Row],[Customer_Info]],FIND(",",RawSalesTable[[#This Row],[Customer_Info]])+1)-FIND(",",RawSalesTable[[#This Row],[Customer_Info]])-1))</f>
        <v>Winnipeg</v>
      </c>
      <c r="U69" s="8" t="str">
        <f>TRIM(RIGHT(RawSalesTable[[#This Row],[Customer_Info]], LEN(RawSalesTable[[#This Row],[Customer_Info]])-FIND(",",RawSalesTable[[#This Row],[Customer_Info]],FIND(",",RawSalesTable[[#This Row],[Customer_Info]])+1)))</f>
        <v>Consumer</v>
      </c>
      <c r="V69" s="8" t="str">
        <f>VLOOKUP(RawSalesTable[[#This Row],[Product_ID]],ProductsTable[],2,FALSE)</f>
        <v>Notebook</v>
      </c>
      <c r="W69" s="8" t="str">
        <f>VLOOKUP(RawSalesTable[[#This Row],[Product_ID]],ProductsTable[],3,FALSE)</f>
        <v>Office</v>
      </c>
      <c r="X69" s="8">
        <f>VLOOKUP(RawSalesTable[[#This Row],[Product_ID]],ProductsTable[],5,FALSE)</f>
        <v>176.13</v>
      </c>
      <c r="Y69" s="8">
        <f>RawSalesTable[[#This Row],[Quantity]]*RawSalesTable[[#This Row],[Unit_Price]]</f>
        <v>294.95</v>
      </c>
      <c r="Z69" s="8">
        <f>RawSalesTable[[#This Row],[Gross_Sales]]*RawSalesTable[[#This Row],[Discount_Pct]]</f>
        <v>14.7475</v>
      </c>
      <c r="AA69" s="8">
        <f>RawSalesTable[[#This Row],[Gross_Sales]]-RawSalesTable[[#This Row],[Discount_Amount]]</f>
        <v>280.20249999999999</v>
      </c>
      <c r="AB69" s="8">
        <f>RawSalesTable[[#This Row],[Unit_Cost]]*RawSalesTable[[#This Row],[Quantity]]</f>
        <v>176.13</v>
      </c>
      <c r="AC69" s="8">
        <f>RawSalesTable[[#This Row],[Net_Sales]]-RawSalesTable[[#This Row],[Total_Cost]]</f>
        <v>104.07249999999999</v>
      </c>
      <c r="AD69" s="9">
        <f>RawSalesTable[[#This Row],[Profit]]/RawSalesTable[[#This Row],[Net_Sales]]</f>
        <v>0.37141888455670452</v>
      </c>
      <c r="AE69" s="8">
        <f>IF(RawSalesTable[[#This Row],[Return_Status]]="Yes",1,0)</f>
        <v>0</v>
      </c>
      <c r="AF69" s="8">
        <f>YEAR(RawSalesTable[[#This Row],[Order_Date]])</f>
        <v>2025</v>
      </c>
      <c r="AG69" s="8">
        <f>MONTH(RawSalesTable[[#This Row],[Order_Date]])</f>
        <v>11</v>
      </c>
      <c r="AH69" s="8" t="str">
        <f>TEXT(RawSalesTable[[#This Row],[Order_Date]],"mmmm")</f>
        <v>novembre</v>
      </c>
      <c r="AI69" s="8" t="str">
        <f>IF(RawSalesTable[[#This Row],[Month_Number]]&lt;=3,"Q1",IF(RawSalesTable[[#This Row],[Month_Number]]&lt;=6,"Q2",IF(RawSalesTable[[#This Row],[Month_Number]]&lt;=9,"Q3","Q4")))</f>
        <v>Q4</v>
      </c>
      <c r="AJ69" s="13">
        <f>DATE(YEAR(RawSalesTable[[#This Row],[Order_Date]]),MONTH(RawSalesTable[[#This Row],[Order_Date]]),1)</f>
        <v>45962</v>
      </c>
      <c r="AK69" s="8" t="str">
        <f>VLOOKUP(RawSalesTable[[#This Row],[Customer_ID_clean]],CustomersTable[],4,FALSE)</f>
        <v>Manitoba</v>
      </c>
    </row>
    <row r="70" spans="1:37">
      <c r="A70" t="s">
        <v>288</v>
      </c>
      <c r="B70" s="3">
        <v>45931</v>
      </c>
      <c r="C70" t="s">
        <v>243</v>
      </c>
      <c r="D70" t="s">
        <v>244</v>
      </c>
      <c r="E70" t="s">
        <v>245</v>
      </c>
      <c r="F70" t="s">
        <v>111</v>
      </c>
      <c r="G70" t="s">
        <v>88</v>
      </c>
      <c r="H70" t="s">
        <v>89</v>
      </c>
      <c r="I70">
        <v>3</v>
      </c>
      <c r="J70" s="2">
        <v>229.15</v>
      </c>
      <c r="K70" s="4">
        <v>0</v>
      </c>
      <c r="L70" t="s">
        <v>98</v>
      </c>
      <c r="M70">
        <v>2</v>
      </c>
      <c r="N70" t="s">
        <v>91</v>
      </c>
      <c r="O70" t="str">
        <f>SUBSTITUTE(PROPER(TRIM(RawSalesTable[[#This Row],[Channel_Raw]])), "Market Place", "Marketplace")</f>
        <v>Online</v>
      </c>
      <c r="P70" t="str">
        <f>TRIM(RawSalesTable[[#This Row],[Store_Raw]])</f>
        <v>Montreal Central</v>
      </c>
      <c r="Q70" t="str">
        <f>IF(TRIM(RawSalesTable[[#This Row],[Payment_Method_Raw]])="","Non renseigné",SUBSTITUTE(TRIM(RawSalesTable[[#This Row],[Payment_Method_Raw]]),"CC","Credit Card"))</f>
        <v>Debit Card</v>
      </c>
      <c r="R70" s="8" t="str">
        <f>UPPER(PROPER(RawSalesTable[[#This Row],[Customer_ID]]))</f>
        <v>C0048</v>
      </c>
      <c r="S70" s="8" t="str">
        <f>TRIM(LEFT(RawSalesTable[[#This Row],[Customer_Info]],FIND(",",RawSalesTable[[#This Row],[Customer_Info]]) -1))</f>
        <v>Amelia Brown</v>
      </c>
      <c r="T70" s="8" t="str">
        <f>TRIM(MID(RawSalesTable[[#This Row],[Customer_Info]],FIND(",",RawSalesTable[[#This Row],[Customer_Info]])+1,FIND(",",RawSalesTable[[#This Row],[Customer_Info]],FIND(",",RawSalesTable[[#This Row],[Customer_Info]])+1)-FIND(",",RawSalesTable[[#This Row],[Customer_Info]])-1))</f>
        <v>Quebec City</v>
      </c>
      <c r="U70" s="8" t="str">
        <f>TRIM(RIGHT(RawSalesTable[[#This Row],[Customer_Info]], LEN(RawSalesTable[[#This Row],[Customer_Info]])-FIND(",",RawSalesTable[[#This Row],[Customer_Info]],FIND(",",RawSalesTable[[#This Row],[Customer_Info]])+1)))</f>
        <v>Corporate</v>
      </c>
      <c r="V70" s="8" t="str">
        <f>VLOOKUP(RawSalesTable[[#This Row],[Product_ID]],ProductsTable[],2,FALSE)</f>
        <v>Portable SSD</v>
      </c>
      <c r="W70" s="8" t="str">
        <f>VLOOKUP(RawSalesTable[[#This Row],[Product_ID]],ProductsTable[],3,FALSE)</f>
        <v>Electronics</v>
      </c>
      <c r="X70" s="8">
        <f>VLOOKUP(RawSalesTable[[#This Row],[Product_ID]],ProductsTable[],5,FALSE)</f>
        <v>131.19</v>
      </c>
      <c r="Y70" s="8">
        <f>RawSalesTable[[#This Row],[Quantity]]*RawSalesTable[[#This Row],[Unit_Price]]</f>
        <v>687.45</v>
      </c>
      <c r="Z70" s="8">
        <f>RawSalesTable[[#This Row],[Gross_Sales]]*RawSalesTable[[#This Row],[Discount_Pct]]</f>
        <v>0</v>
      </c>
      <c r="AA70" s="8">
        <f>RawSalesTable[[#This Row],[Gross_Sales]]-RawSalesTable[[#This Row],[Discount_Amount]]</f>
        <v>687.45</v>
      </c>
      <c r="AB70" s="8">
        <f>RawSalesTable[[#This Row],[Unit_Cost]]*RawSalesTable[[#This Row],[Quantity]]</f>
        <v>393.57</v>
      </c>
      <c r="AC70" s="8">
        <f>RawSalesTable[[#This Row],[Net_Sales]]-RawSalesTable[[#This Row],[Total_Cost]]</f>
        <v>293.88000000000005</v>
      </c>
      <c r="AD70" s="9">
        <f>RawSalesTable[[#This Row],[Profit]]/RawSalesTable[[#This Row],[Net_Sales]]</f>
        <v>0.42749290857516914</v>
      </c>
      <c r="AE70" s="8">
        <f>IF(RawSalesTable[[#This Row],[Return_Status]]="Yes",1,0)</f>
        <v>0</v>
      </c>
      <c r="AF70" s="8">
        <f>YEAR(RawSalesTable[[#This Row],[Order_Date]])</f>
        <v>2025</v>
      </c>
      <c r="AG70" s="8">
        <f>MONTH(RawSalesTable[[#This Row],[Order_Date]])</f>
        <v>10</v>
      </c>
      <c r="AH70" s="8" t="str">
        <f>TEXT(RawSalesTable[[#This Row],[Order_Date]],"mmmm")</f>
        <v>octobre</v>
      </c>
      <c r="AI70" s="8" t="str">
        <f>IF(RawSalesTable[[#This Row],[Month_Number]]&lt;=3,"Q1",IF(RawSalesTable[[#This Row],[Month_Number]]&lt;=6,"Q2",IF(RawSalesTable[[#This Row],[Month_Number]]&lt;=9,"Q3","Q4")))</f>
        <v>Q4</v>
      </c>
      <c r="AJ70" s="13">
        <f>DATE(YEAR(RawSalesTable[[#This Row],[Order_Date]]),MONTH(RawSalesTable[[#This Row],[Order_Date]]),1)</f>
        <v>45931</v>
      </c>
      <c r="AK70" s="8" t="str">
        <f>VLOOKUP(RawSalesTable[[#This Row],[Customer_ID_clean]],CustomersTable[],4,FALSE)</f>
        <v>Quebec</v>
      </c>
    </row>
    <row r="71" spans="1:37">
      <c r="A71" t="s">
        <v>289</v>
      </c>
      <c r="B71" s="3">
        <v>45796</v>
      </c>
      <c r="C71" t="s">
        <v>290</v>
      </c>
      <c r="D71" t="s">
        <v>252</v>
      </c>
      <c r="E71" t="s">
        <v>291</v>
      </c>
      <c r="F71" t="s">
        <v>111</v>
      </c>
      <c r="G71" t="s">
        <v>122</v>
      </c>
      <c r="H71" t="s">
        <v>105</v>
      </c>
      <c r="I71">
        <v>2</v>
      </c>
      <c r="J71" s="2">
        <v>284.68</v>
      </c>
      <c r="K71" s="4">
        <v>0.2</v>
      </c>
      <c r="L71" t="s">
        <v>106</v>
      </c>
      <c r="M71">
        <v>3</v>
      </c>
      <c r="N71" t="s">
        <v>91</v>
      </c>
      <c r="O71" t="str">
        <f>SUBSTITUTE(PROPER(TRIM(RawSalesTable[[#This Row],[Channel_Raw]])), "Market Place", "Marketplace")</f>
        <v>Marketplace</v>
      </c>
      <c r="P71" t="str">
        <f>TRIM(RawSalesTable[[#This Row],[Store_Raw]])</f>
        <v>Montreal Central</v>
      </c>
      <c r="Q71" t="str">
        <f>IF(TRIM(RawSalesTable[[#This Row],[Payment_Method_Raw]])="","Non renseigné",SUBSTITUTE(TRIM(RawSalesTable[[#This Row],[Payment_Method_Raw]]),"CC","Credit Card"))</f>
        <v>Credit Card</v>
      </c>
      <c r="R71" s="8" t="str">
        <f>UPPER(PROPER(RawSalesTable[[#This Row],[Customer_ID]]))</f>
        <v>C0116</v>
      </c>
      <c r="S71" s="8" t="str">
        <f>TRIM(LEFT(RawSalesTable[[#This Row],[Customer_Info]],FIND(",",RawSalesTable[[#This Row],[Customer_Info]]) -1))</f>
        <v>Lucas Brown</v>
      </c>
      <c r="T71" s="8" t="str">
        <f>TRIM(MID(RawSalesTable[[#This Row],[Customer_Info]],FIND(",",RawSalesTable[[#This Row],[Customer_Info]])+1,FIND(",",RawSalesTable[[#This Row],[Customer_Info]],FIND(",",RawSalesTable[[#This Row],[Customer_Info]])+1)-FIND(",",RawSalesTable[[#This Row],[Customer_Info]])-1))</f>
        <v>Mississauga</v>
      </c>
      <c r="U71" s="8" t="str">
        <f>TRIM(RIGHT(RawSalesTable[[#This Row],[Customer_Info]], LEN(RawSalesTable[[#This Row],[Customer_Info]])-FIND(",",RawSalesTable[[#This Row],[Customer_Info]],FIND(",",RawSalesTable[[#This Row],[Customer_Info]])+1)))</f>
        <v>Corporate</v>
      </c>
      <c r="V71" s="8" t="str">
        <f>VLOOKUP(RawSalesTable[[#This Row],[Product_ID]],ProductsTable[],2,FALSE)</f>
        <v>Vacuum</v>
      </c>
      <c r="W71" s="8" t="str">
        <f>VLOOKUP(RawSalesTable[[#This Row],[Product_ID]],ProductsTable[],3,FALSE)</f>
        <v>Home</v>
      </c>
      <c r="X71" s="8">
        <f>VLOOKUP(RawSalesTable[[#This Row],[Product_ID]],ProductsTable[],5,FALSE)</f>
        <v>186.94</v>
      </c>
      <c r="Y71" s="8">
        <f>RawSalesTable[[#This Row],[Quantity]]*RawSalesTable[[#This Row],[Unit_Price]]</f>
        <v>569.36</v>
      </c>
      <c r="Z71" s="8">
        <f>RawSalesTable[[#This Row],[Gross_Sales]]*RawSalesTable[[#This Row],[Discount_Pct]]</f>
        <v>113.87200000000001</v>
      </c>
      <c r="AA71" s="8">
        <f>RawSalesTable[[#This Row],[Gross_Sales]]-RawSalesTable[[#This Row],[Discount_Amount]]</f>
        <v>455.488</v>
      </c>
      <c r="AB71" s="8">
        <f>RawSalesTable[[#This Row],[Unit_Cost]]*RawSalesTable[[#This Row],[Quantity]]</f>
        <v>373.88</v>
      </c>
      <c r="AC71" s="8">
        <f>RawSalesTable[[#This Row],[Net_Sales]]-RawSalesTable[[#This Row],[Total_Cost]]</f>
        <v>81.608000000000004</v>
      </c>
      <c r="AD71" s="9">
        <f>RawSalesTable[[#This Row],[Profit]]/RawSalesTable[[#This Row],[Net_Sales]]</f>
        <v>0.17916608121399466</v>
      </c>
      <c r="AE71" s="8">
        <f>IF(RawSalesTable[[#This Row],[Return_Status]]="Yes",1,0)</f>
        <v>0</v>
      </c>
      <c r="AF71" s="8">
        <f>YEAR(RawSalesTable[[#This Row],[Order_Date]])</f>
        <v>2025</v>
      </c>
      <c r="AG71" s="8">
        <f>MONTH(RawSalesTable[[#This Row],[Order_Date]])</f>
        <v>5</v>
      </c>
      <c r="AH71" s="8" t="str">
        <f>TEXT(RawSalesTable[[#This Row],[Order_Date]],"mmmm")</f>
        <v>mai</v>
      </c>
      <c r="AI71" s="8" t="str">
        <f>IF(RawSalesTable[[#This Row],[Month_Number]]&lt;=3,"Q1",IF(RawSalesTable[[#This Row],[Month_Number]]&lt;=6,"Q2",IF(RawSalesTable[[#This Row],[Month_Number]]&lt;=9,"Q3","Q4")))</f>
        <v>Q2</v>
      </c>
      <c r="AJ71" s="13">
        <f>DATE(YEAR(RawSalesTable[[#This Row],[Order_Date]]),MONTH(RawSalesTable[[#This Row],[Order_Date]]),1)</f>
        <v>45778</v>
      </c>
      <c r="AK71" s="8" t="str">
        <f>VLOOKUP(RawSalesTable[[#This Row],[Customer_ID_clean]],CustomersTable[],4,FALSE)</f>
        <v>Ontario</v>
      </c>
    </row>
    <row r="72" spans="1:37">
      <c r="A72" t="s">
        <v>292</v>
      </c>
      <c r="B72" s="3">
        <v>45718</v>
      </c>
      <c r="C72" t="s">
        <v>293</v>
      </c>
      <c r="D72" t="s">
        <v>255</v>
      </c>
      <c r="E72" t="s">
        <v>294</v>
      </c>
      <c r="F72" t="s">
        <v>103</v>
      </c>
      <c r="G72" t="s">
        <v>117</v>
      </c>
      <c r="H72" t="s">
        <v>89</v>
      </c>
      <c r="I72">
        <v>1</v>
      </c>
      <c r="J72" s="2">
        <v>226.51</v>
      </c>
      <c r="K72" s="4">
        <v>0.15</v>
      </c>
      <c r="L72" t="s">
        <v>253</v>
      </c>
      <c r="M72">
        <v>8</v>
      </c>
      <c r="N72" t="s">
        <v>91</v>
      </c>
      <c r="O72" t="str">
        <f>SUBSTITUTE(PROPER(TRIM(RawSalesTable[[#This Row],[Channel_Raw]])), "Market Place", "Marketplace")</f>
        <v>Online</v>
      </c>
      <c r="P72" t="str">
        <f>TRIM(RawSalesTable[[#This Row],[Store_Raw]])</f>
        <v>Vancouver West</v>
      </c>
      <c r="Q72" t="str">
        <f>IF(TRIM(RawSalesTable[[#This Row],[Payment_Method_Raw]])="","Non renseigné",SUBSTITUTE(TRIM(RawSalesTable[[#This Row],[Payment_Method_Raw]]),"CC","Credit Card"))</f>
        <v>Credit Card</v>
      </c>
      <c r="R72" s="8" t="str">
        <f>UPPER(PROPER(RawSalesTable[[#This Row],[Customer_ID]]))</f>
        <v>C0007</v>
      </c>
      <c r="S72" s="8" t="str">
        <f>TRIM(LEFT(RawSalesTable[[#This Row],[Customer_Info]],FIND(",",RawSalesTable[[#This Row],[Customer_Info]]) -1))</f>
        <v>Lucas Wilson</v>
      </c>
      <c r="T72" s="8" t="str">
        <f>TRIM(MID(RawSalesTable[[#This Row],[Customer_Info]],FIND(",",RawSalesTable[[#This Row],[Customer_Info]])+1,FIND(",",RawSalesTable[[#This Row],[Customer_Info]],FIND(",",RawSalesTable[[#This Row],[Customer_Info]])+1)-FIND(",",RawSalesTable[[#This Row],[Customer_Info]])-1))</f>
        <v>Ottawa</v>
      </c>
      <c r="U72" s="8" t="str">
        <f>TRIM(RIGHT(RawSalesTable[[#This Row],[Customer_Info]], LEN(RawSalesTable[[#This Row],[Customer_Info]])-FIND(",",RawSalesTable[[#This Row],[Customer_Info]],FIND(",",RawSalesTable[[#This Row],[Customer_Info]])+1)))</f>
        <v>Consumer</v>
      </c>
      <c r="V72" s="8" t="str">
        <f>VLOOKUP(RawSalesTable[[#This Row],[Product_ID]],ProductsTable[],2,FALSE)</f>
        <v>Document Shredder</v>
      </c>
      <c r="W72" s="8" t="str">
        <f>VLOOKUP(RawSalesTable[[#This Row],[Product_ID]],ProductsTable[],3,FALSE)</f>
        <v>Office</v>
      </c>
      <c r="X72" s="8">
        <f>VLOOKUP(RawSalesTable[[#This Row],[Product_ID]],ProductsTable[],5,FALSE)</f>
        <v>117.65</v>
      </c>
      <c r="Y72" s="8">
        <f>RawSalesTable[[#This Row],[Quantity]]*RawSalesTable[[#This Row],[Unit_Price]]</f>
        <v>226.51</v>
      </c>
      <c r="Z72" s="8">
        <f>RawSalesTable[[#This Row],[Gross_Sales]]*RawSalesTable[[#This Row],[Discount_Pct]]</f>
        <v>33.976499999999994</v>
      </c>
      <c r="AA72" s="8">
        <f>RawSalesTable[[#This Row],[Gross_Sales]]-RawSalesTable[[#This Row],[Discount_Amount]]</f>
        <v>192.5335</v>
      </c>
      <c r="AB72" s="8">
        <f>RawSalesTable[[#This Row],[Unit_Cost]]*RawSalesTable[[#This Row],[Quantity]]</f>
        <v>117.65</v>
      </c>
      <c r="AC72" s="8">
        <f>RawSalesTable[[#This Row],[Net_Sales]]-RawSalesTable[[#This Row],[Total_Cost]]</f>
        <v>74.883499999999998</v>
      </c>
      <c r="AD72" s="9">
        <f>RawSalesTable[[#This Row],[Profit]]/RawSalesTable[[#This Row],[Net_Sales]]</f>
        <v>0.38893750957625556</v>
      </c>
      <c r="AE72" s="8">
        <f>IF(RawSalesTable[[#This Row],[Return_Status]]="Yes",1,0)</f>
        <v>0</v>
      </c>
      <c r="AF72" s="8">
        <f>YEAR(RawSalesTable[[#This Row],[Order_Date]])</f>
        <v>2025</v>
      </c>
      <c r="AG72" s="8">
        <f>MONTH(RawSalesTable[[#This Row],[Order_Date]])</f>
        <v>3</v>
      </c>
      <c r="AH72" s="8" t="str">
        <f>TEXT(RawSalesTable[[#This Row],[Order_Date]],"mmmm")</f>
        <v>mars</v>
      </c>
      <c r="AI72" s="8" t="str">
        <f>IF(RawSalesTable[[#This Row],[Month_Number]]&lt;=3,"Q1",IF(RawSalesTable[[#This Row],[Month_Number]]&lt;=6,"Q2",IF(RawSalesTable[[#This Row],[Month_Number]]&lt;=9,"Q3","Q4")))</f>
        <v>Q1</v>
      </c>
      <c r="AJ72" s="13">
        <f>DATE(YEAR(RawSalesTable[[#This Row],[Order_Date]]),MONTH(RawSalesTable[[#This Row],[Order_Date]]),1)</f>
        <v>45717</v>
      </c>
      <c r="AK72" s="8" t="str">
        <f>VLOOKUP(RawSalesTable[[#This Row],[Customer_ID_clean]],CustomersTable[],4,FALSE)</f>
        <v>Ontario</v>
      </c>
    </row>
    <row r="73" spans="1:37">
      <c r="A73" t="s">
        <v>295</v>
      </c>
      <c r="B73" s="3">
        <v>45929</v>
      </c>
      <c r="C73" t="s">
        <v>296</v>
      </c>
      <c r="D73" t="s">
        <v>157</v>
      </c>
      <c r="E73" t="s">
        <v>297</v>
      </c>
      <c r="F73" t="s">
        <v>103</v>
      </c>
      <c r="G73" t="s">
        <v>122</v>
      </c>
      <c r="H73" t="s">
        <v>97</v>
      </c>
      <c r="I73">
        <v>3</v>
      </c>
      <c r="J73" s="2">
        <v>307.64999999999998</v>
      </c>
      <c r="K73" s="4">
        <v>0</v>
      </c>
      <c r="L73" t="s">
        <v>106</v>
      </c>
      <c r="M73">
        <v>4</v>
      </c>
      <c r="N73" t="s">
        <v>91</v>
      </c>
      <c r="O73" t="str">
        <f>SUBSTITUTE(PROPER(TRIM(RawSalesTable[[#This Row],[Channel_Raw]])), "Market Place", "Marketplace")</f>
        <v>Retail Store</v>
      </c>
      <c r="P73" t="str">
        <f>TRIM(RawSalesTable[[#This Row],[Store_Raw]])</f>
        <v>Vancouver West</v>
      </c>
      <c r="Q73" t="str">
        <f>IF(TRIM(RawSalesTable[[#This Row],[Payment_Method_Raw]])="","Non renseigné",SUBSTITUTE(TRIM(RawSalesTable[[#This Row],[Payment_Method_Raw]]),"CC","Credit Card"))</f>
        <v>Credit Card</v>
      </c>
      <c r="R73" s="8" t="str">
        <f>UPPER(PROPER(RawSalesTable[[#This Row],[Customer_ID]]))</f>
        <v>C0040</v>
      </c>
      <c r="S73" s="8" t="str">
        <f>TRIM(LEFT(RawSalesTable[[#This Row],[Customer_Info]],FIND(",",RawSalesTable[[#This Row],[Customer_Info]]) -1))</f>
        <v>Ethan Young</v>
      </c>
      <c r="T73" s="8" t="str">
        <f>TRIM(MID(RawSalesTable[[#This Row],[Customer_Info]],FIND(",",RawSalesTable[[#This Row],[Customer_Info]])+1,FIND(",",RawSalesTable[[#This Row],[Customer_Info]],FIND(",",RawSalesTable[[#This Row],[Customer_Info]])+1)-FIND(",",RawSalesTable[[#This Row],[Customer_Info]])-1))</f>
        <v>Surrey</v>
      </c>
      <c r="U73" s="8" t="str">
        <f>TRIM(RIGHT(RawSalesTable[[#This Row],[Customer_Info]], LEN(RawSalesTable[[#This Row],[Customer_Info]])-FIND(",",RawSalesTable[[#This Row],[Customer_Info]],FIND(",",RawSalesTable[[#This Row],[Customer_Info]])+1)))</f>
        <v>Consumer</v>
      </c>
      <c r="V73" s="8" t="str">
        <f>VLOOKUP(RawSalesTable[[#This Row],[Product_ID]],ProductsTable[],2,FALSE)</f>
        <v>Notebook</v>
      </c>
      <c r="W73" s="8" t="str">
        <f>VLOOKUP(RawSalesTable[[#This Row],[Product_ID]],ProductsTable[],3,FALSE)</f>
        <v>Office</v>
      </c>
      <c r="X73" s="8">
        <f>VLOOKUP(RawSalesTable[[#This Row],[Product_ID]],ProductsTable[],5,FALSE)</f>
        <v>176.13</v>
      </c>
      <c r="Y73" s="8">
        <f>RawSalesTable[[#This Row],[Quantity]]*RawSalesTable[[#This Row],[Unit_Price]]</f>
        <v>922.94999999999993</v>
      </c>
      <c r="Z73" s="8">
        <f>RawSalesTable[[#This Row],[Gross_Sales]]*RawSalesTable[[#This Row],[Discount_Pct]]</f>
        <v>0</v>
      </c>
      <c r="AA73" s="8">
        <f>RawSalesTable[[#This Row],[Gross_Sales]]-RawSalesTable[[#This Row],[Discount_Amount]]</f>
        <v>922.94999999999993</v>
      </c>
      <c r="AB73" s="8">
        <f>RawSalesTable[[#This Row],[Unit_Cost]]*RawSalesTable[[#This Row],[Quantity]]</f>
        <v>528.39</v>
      </c>
      <c r="AC73" s="8">
        <f>RawSalesTable[[#This Row],[Net_Sales]]-RawSalesTable[[#This Row],[Total_Cost]]</f>
        <v>394.55999999999995</v>
      </c>
      <c r="AD73" s="9">
        <f>RawSalesTable[[#This Row],[Profit]]/RawSalesTable[[#This Row],[Net_Sales]]</f>
        <v>0.4274987810823988</v>
      </c>
      <c r="AE73" s="8">
        <f>IF(RawSalesTable[[#This Row],[Return_Status]]="Yes",1,0)</f>
        <v>0</v>
      </c>
      <c r="AF73" s="8">
        <f>YEAR(RawSalesTable[[#This Row],[Order_Date]])</f>
        <v>2025</v>
      </c>
      <c r="AG73" s="8">
        <f>MONTH(RawSalesTable[[#This Row],[Order_Date]])</f>
        <v>9</v>
      </c>
      <c r="AH73" s="8" t="str">
        <f>TEXT(RawSalesTable[[#This Row],[Order_Date]],"mmmm")</f>
        <v>septembre</v>
      </c>
      <c r="AI73" s="8" t="str">
        <f>IF(RawSalesTable[[#This Row],[Month_Number]]&lt;=3,"Q1",IF(RawSalesTable[[#This Row],[Month_Number]]&lt;=6,"Q2",IF(RawSalesTable[[#This Row],[Month_Number]]&lt;=9,"Q3","Q4")))</f>
        <v>Q3</v>
      </c>
      <c r="AJ73" s="13">
        <f>DATE(YEAR(RawSalesTable[[#This Row],[Order_Date]]),MONTH(RawSalesTable[[#This Row],[Order_Date]]),1)</f>
        <v>45901</v>
      </c>
      <c r="AK73" s="8" t="str">
        <f>VLOOKUP(RawSalesTable[[#This Row],[Customer_ID_clean]],CustomersTable[],4,FALSE)</f>
        <v>British Columbia</v>
      </c>
    </row>
    <row r="74" spans="1:37">
      <c r="A74" t="s">
        <v>298</v>
      </c>
      <c r="B74" s="3">
        <v>45730</v>
      </c>
      <c r="C74" t="s">
        <v>243</v>
      </c>
      <c r="D74" t="s">
        <v>244</v>
      </c>
      <c r="E74" t="s">
        <v>245</v>
      </c>
      <c r="F74" t="s">
        <v>145</v>
      </c>
      <c r="G74" t="s">
        <v>88</v>
      </c>
      <c r="H74" t="s">
        <v>97</v>
      </c>
      <c r="I74">
        <v>5</v>
      </c>
      <c r="J74" s="2">
        <v>234.75</v>
      </c>
      <c r="K74" s="4">
        <v>0.1</v>
      </c>
      <c r="L74" t="s">
        <v>106</v>
      </c>
      <c r="M74">
        <v>3</v>
      </c>
      <c r="N74" t="s">
        <v>91</v>
      </c>
      <c r="O74" t="str">
        <f>SUBSTITUTE(PROPER(TRIM(RawSalesTable[[#This Row],[Channel_Raw]])), "Market Place", "Marketplace")</f>
        <v>Retail Store</v>
      </c>
      <c r="P74" t="str">
        <f>TRIM(RawSalesTable[[#This Row],[Store_Raw]])</f>
        <v>Calgary North</v>
      </c>
      <c r="Q74" t="str">
        <f>IF(TRIM(RawSalesTable[[#This Row],[Payment_Method_Raw]])="","Non renseigné",SUBSTITUTE(TRIM(RawSalesTable[[#This Row],[Payment_Method_Raw]]),"CC","Credit Card"))</f>
        <v>Credit Card</v>
      </c>
      <c r="R74" s="8" t="str">
        <f>UPPER(PROPER(RawSalesTable[[#This Row],[Customer_ID]]))</f>
        <v>C0048</v>
      </c>
      <c r="S74" s="8" t="str">
        <f>TRIM(LEFT(RawSalesTable[[#This Row],[Customer_Info]],FIND(",",RawSalesTable[[#This Row],[Customer_Info]]) -1))</f>
        <v>Amelia Brown</v>
      </c>
      <c r="T74" s="8" t="str">
        <f>TRIM(MID(RawSalesTable[[#This Row],[Customer_Info]],FIND(",",RawSalesTable[[#This Row],[Customer_Info]])+1,FIND(",",RawSalesTable[[#This Row],[Customer_Info]],FIND(",",RawSalesTable[[#This Row],[Customer_Info]])+1)-FIND(",",RawSalesTable[[#This Row],[Customer_Info]])-1))</f>
        <v>Quebec City</v>
      </c>
      <c r="U74" s="8" t="str">
        <f>TRIM(RIGHT(RawSalesTable[[#This Row],[Customer_Info]], LEN(RawSalesTable[[#This Row],[Customer_Info]])-FIND(",",RawSalesTable[[#This Row],[Customer_Info]],FIND(",",RawSalesTable[[#This Row],[Customer_Info]])+1)))</f>
        <v>Corporate</v>
      </c>
      <c r="V74" s="8" t="str">
        <f>VLOOKUP(RawSalesTable[[#This Row],[Product_ID]],ProductsTable[],2,FALSE)</f>
        <v>Portable SSD</v>
      </c>
      <c r="W74" s="8" t="str">
        <f>VLOOKUP(RawSalesTable[[#This Row],[Product_ID]],ProductsTable[],3,FALSE)</f>
        <v>Electronics</v>
      </c>
      <c r="X74" s="8">
        <f>VLOOKUP(RawSalesTable[[#This Row],[Product_ID]],ProductsTable[],5,FALSE)</f>
        <v>131.19</v>
      </c>
      <c r="Y74" s="8">
        <f>RawSalesTable[[#This Row],[Quantity]]*RawSalesTable[[#This Row],[Unit_Price]]</f>
        <v>1173.75</v>
      </c>
      <c r="Z74" s="8">
        <f>RawSalesTable[[#This Row],[Gross_Sales]]*RawSalesTable[[#This Row],[Discount_Pct]]</f>
        <v>117.375</v>
      </c>
      <c r="AA74" s="8">
        <f>RawSalesTable[[#This Row],[Gross_Sales]]-RawSalesTable[[#This Row],[Discount_Amount]]</f>
        <v>1056.375</v>
      </c>
      <c r="AB74" s="8">
        <f>RawSalesTable[[#This Row],[Unit_Cost]]*RawSalesTable[[#This Row],[Quantity]]</f>
        <v>655.95</v>
      </c>
      <c r="AC74" s="8">
        <f>RawSalesTable[[#This Row],[Net_Sales]]-RawSalesTable[[#This Row],[Total_Cost]]</f>
        <v>400.42499999999995</v>
      </c>
      <c r="AD74" s="9">
        <f>RawSalesTable[[#This Row],[Profit]]/RawSalesTable[[#This Row],[Net_Sales]]</f>
        <v>0.37905573304934326</v>
      </c>
      <c r="AE74" s="8">
        <f>IF(RawSalesTable[[#This Row],[Return_Status]]="Yes",1,0)</f>
        <v>0</v>
      </c>
      <c r="AF74" s="8">
        <f>YEAR(RawSalesTable[[#This Row],[Order_Date]])</f>
        <v>2025</v>
      </c>
      <c r="AG74" s="8">
        <f>MONTH(RawSalesTable[[#This Row],[Order_Date]])</f>
        <v>3</v>
      </c>
      <c r="AH74" s="8" t="str">
        <f>TEXT(RawSalesTable[[#This Row],[Order_Date]],"mmmm")</f>
        <v>mars</v>
      </c>
      <c r="AI74" s="8" t="str">
        <f>IF(RawSalesTable[[#This Row],[Month_Number]]&lt;=3,"Q1",IF(RawSalesTable[[#This Row],[Month_Number]]&lt;=6,"Q2",IF(RawSalesTable[[#This Row],[Month_Number]]&lt;=9,"Q3","Q4")))</f>
        <v>Q1</v>
      </c>
      <c r="AJ74" s="13">
        <f>DATE(YEAR(RawSalesTable[[#This Row],[Order_Date]]),MONTH(RawSalesTable[[#This Row],[Order_Date]]),1)</f>
        <v>45717</v>
      </c>
      <c r="AK74" s="8" t="str">
        <f>VLOOKUP(RawSalesTable[[#This Row],[Customer_ID_clean]],CustomersTable[],4,FALSE)</f>
        <v>Quebec</v>
      </c>
    </row>
    <row r="75" spans="1:37">
      <c r="A75" t="s">
        <v>299</v>
      </c>
      <c r="B75" s="3">
        <v>45718</v>
      </c>
      <c r="C75" t="s">
        <v>300</v>
      </c>
      <c r="D75" t="s">
        <v>101</v>
      </c>
      <c r="E75" t="s">
        <v>301</v>
      </c>
      <c r="F75" t="s">
        <v>87</v>
      </c>
      <c r="G75" t="s">
        <v>88</v>
      </c>
      <c r="H75" t="s">
        <v>97</v>
      </c>
      <c r="I75">
        <v>2</v>
      </c>
      <c r="J75" s="2">
        <v>314.29000000000002</v>
      </c>
      <c r="K75" s="4">
        <v>0.1</v>
      </c>
      <c r="L75" t="s">
        <v>98</v>
      </c>
      <c r="M75">
        <v>0</v>
      </c>
      <c r="N75" t="s">
        <v>91</v>
      </c>
      <c r="O75" t="str">
        <f>SUBSTITUTE(PROPER(TRIM(RawSalesTable[[#This Row],[Channel_Raw]])), "Market Place", "Marketplace")</f>
        <v>Retail Store</v>
      </c>
      <c r="P75" t="str">
        <f>TRIM(RawSalesTable[[#This Row],[Store_Raw]])</f>
        <v>Online Fulfillment</v>
      </c>
      <c r="Q75" t="str">
        <f>IF(TRIM(RawSalesTable[[#This Row],[Payment_Method_Raw]])="","Non renseigné",SUBSTITUTE(TRIM(RawSalesTable[[#This Row],[Payment_Method_Raw]]),"CC","Credit Card"))</f>
        <v>Debit Card</v>
      </c>
      <c r="R75" s="8" t="str">
        <f>UPPER(PROPER(RawSalesTable[[#This Row],[Customer_ID]]))</f>
        <v>C0016</v>
      </c>
      <c r="S75" s="8" t="str">
        <f>TRIM(LEFT(RawSalesTable[[#This Row],[Customer_Info]],FIND(",",RawSalesTable[[#This Row],[Customer_Info]]) -1))</f>
        <v>Nora Singh</v>
      </c>
      <c r="T75" s="8" t="str">
        <f>TRIM(MID(RawSalesTable[[#This Row],[Customer_Info]],FIND(",",RawSalesTable[[#This Row],[Customer_Info]])+1,FIND(",",RawSalesTable[[#This Row],[Customer_Info]],FIND(",",RawSalesTable[[#This Row],[Customer_Info]])+1)-FIND(",",RawSalesTable[[#This Row],[Customer_Info]])-1))</f>
        <v>Calgary</v>
      </c>
      <c r="U75" s="8" t="str">
        <f>TRIM(RIGHT(RawSalesTable[[#This Row],[Customer_Info]], LEN(RawSalesTable[[#This Row],[Customer_Info]])-FIND(",",RawSalesTable[[#This Row],[Customer_Info]],FIND(",",RawSalesTable[[#This Row],[Customer_Info]])+1)))</f>
        <v>Consumer</v>
      </c>
      <c r="V75" s="8" t="str">
        <f>VLOOKUP(RawSalesTable[[#This Row],[Product_ID]],ProductsTable[],2,FALSE)</f>
        <v>Kettle</v>
      </c>
      <c r="W75" s="8" t="str">
        <f>VLOOKUP(RawSalesTable[[#This Row],[Product_ID]],ProductsTable[],3,FALSE)</f>
        <v>Home</v>
      </c>
      <c r="X75" s="8">
        <f>VLOOKUP(RawSalesTable[[#This Row],[Product_ID]],ProductsTable[],5,FALSE)</f>
        <v>139.86000000000001</v>
      </c>
      <c r="Y75" s="8">
        <f>RawSalesTable[[#This Row],[Quantity]]*RawSalesTable[[#This Row],[Unit_Price]]</f>
        <v>628.58000000000004</v>
      </c>
      <c r="Z75" s="8">
        <f>RawSalesTable[[#This Row],[Gross_Sales]]*RawSalesTable[[#This Row],[Discount_Pct]]</f>
        <v>62.858000000000004</v>
      </c>
      <c r="AA75" s="8">
        <f>RawSalesTable[[#This Row],[Gross_Sales]]-RawSalesTable[[#This Row],[Discount_Amount]]</f>
        <v>565.72199999999998</v>
      </c>
      <c r="AB75" s="8">
        <f>RawSalesTable[[#This Row],[Unit_Cost]]*RawSalesTable[[#This Row],[Quantity]]</f>
        <v>279.72000000000003</v>
      </c>
      <c r="AC75" s="8">
        <f>RawSalesTable[[#This Row],[Net_Sales]]-RawSalesTable[[#This Row],[Total_Cost]]</f>
        <v>286.00199999999995</v>
      </c>
      <c r="AD75" s="9">
        <f>RawSalesTable[[#This Row],[Profit]]/RawSalesTable[[#This Row],[Net_Sales]]</f>
        <v>0.50555219701549514</v>
      </c>
      <c r="AE75" s="8">
        <f>IF(RawSalesTable[[#This Row],[Return_Status]]="Yes",1,0)</f>
        <v>0</v>
      </c>
      <c r="AF75" s="8">
        <f>YEAR(RawSalesTable[[#This Row],[Order_Date]])</f>
        <v>2025</v>
      </c>
      <c r="AG75" s="8">
        <f>MONTH(RawSalesTable[[#This Row],[Order_Date]])</f>
        <v>3</v>
      </c>
      <c r="AH75" s="8" t="str">
        <f>TEXT(RawSalesTable[[#This Row],[Order_Date]],"mmmm")</f>
        <v>mars</v>
      </c>
      <c r="AI75" s="8" t="str">
        <f>IF(RawSalesTable[[#This Row],[Month_Number]]&lt;=3,"Q1",IF(RawSalesTable[[#This Row],[Month_Number]]&lt;=6,"Q2",IF(RawSalesTable[[#This Row],[Month_Number]]&lt;=9,"Q3","Q4")))</f>
        <v>Q1</v>
      </c>
      <c r="AJ75" s="13">
        <f>DATE(YEAR(RawSalesTable[[#This Row],[Order_Date]]),MONTH(RawSalesTable[[#This Row],[Order_Date]]),1)</f>
        <v>45717</v>
      </c>
      <c r="AK75" s="8" t="str">
        <f>VLOOKUP(RawSalesTable[[#This Row],[Customer_ID_clean]],CustomersTable[],4,FALSE)</f>
        <v>Alberta</v>
      </c>
    </row>
    <row r="76" spans="1:37">
      <c r="A76" t="s">
        <v>302</v>
      </c>
      <c r="B76" s="3">
        <v>46014</v>
      </c>
      <c r="C76" t="s">
        <v>84</v>
      </c>
      <c r="D76" t="s">
        <v>303</v>
      </c>
      <c r="E76" t="s">
        <v>86</v>
      </c>
      <c r="F76" t="s">
        <v>145</v>
      </c>
      <c r="G76" t="s">
        <v>88</v>
      </c>
      <c r="H76" t="s">
        <v>97</v>
      </c>
      <c r="I76">
        <v>2</v>
      </c>
      <c r="J76" s="2">
        <v>153.13</v>
      </c>
      <c r="K76" s="4">
        <v>0</v>
      </c>
      <c r="L76" t="s">
        <v>98</v>
      </c>
      <c r="M76">
        <v>0</v>
      </c>
      <c r="N76" t="s">
        <v>91</v>
      </c>
      <c r="O76" t="str">
        <f>SUBSTITUTE(PROPER(TRIM(RawSalesTable[[#This Row],[Channel_Raw]])), "Market Place", "Marketplace")</f>
        <v>Retail Store</v>
      </c>
      <c r="P76" t="str">
        <f>TRIM(RawSalesTable[[#This Row],[Store_Raw]])</f>
        <v>Calgary North</v>
      </c>
      <c r="Q76" t="str">
        <f>IF(TRIM(RawSalesTable[[#This Row],[Payment_Method_Raw]])="","Non renseigné",SUBSTITUTE(TRIM(RawSalesTable[[#This Row],[Payment_Method_Raw]]),"CC","Credit Card"))</f>
        <v>Debit Card</v>
      </c>
      <c r="R76" s="8" t="str">
        <f>UPPER(PROPER(RawSalesTable[[#This Row],[Customer_ID]]))</f>
        <v>C0113</v>
      </c>
      <c r="S76" s="8" t="str">
        <f>TRIM(LEFT(RawSalesTable[[#This Row],[Customer_Info]],FIND(",",RawSalesTable[[#This Row],[Customer_Info]]) -1))</f>
        <v>Olivia Johnson</v>
      </c>
      <c r="T76" s="8" t="str">
        <f>TRIM(MID(RawSalesTable[[#This Row],[Customer_Info]],FIND(",",RawSalesTable[[#This Row],[Customer_Info]])+1,FIND(",",RawSalesTable[[#This Row],[Customer_Info]],FIND(",",RawSalesTable[[#This Row],[Customer_Info]])+1)-FIND(",",RawSalesTable[[#This Row],[Customer_Info]])-1))</f>
        <v>Surrey</v>
      </c>
      <c r="U76" s="8" t="str">
        <f>TRIM(RIGHT(RawSalesTable[[#This Row],[Customer_Info]], LEN(RawSalesTable[[#This Row],[Customer_Info]])-FIND(",",RawSalesTable[[#This Row],[Customer_Info]],FIND(",",RawSalesTable[[#This Row],[Customer_Info]])+1)))</f>
        <v>Consumer</v>
      </c>
      <c r="V76" s="8" t="str">
        <f>VLOOKUP(RawSalesTable[[#This Row],[Product_ID]],ProductsTable[],2,FALSE)</f>
        <v>Power Bank</v>
      </c>
      <c r="W76" s="8" t="str">
        <f>VLOOKUP(RawSalesTable[[#This Row],[Product_ID]],ProductsTable[],3,FALSE)</f>
        <v>Accessories</v>
      </c>
      <c r="X76" s="8">
        <f>VLOOKUP(RawSalesTable[[#This Row],[Product_ID]],ProductsTable[],5,FALSE)</f>
        <v>76.97</v>
      </c>
      <c r="Y76" s="8">
        <f>RawSalesTable[[#This Row],[Quantity]]*RawSalesTable[[#This Row],[Unit_Price]]</f>
        <v>306.26</v>
      </c>
      <c r="Z76" s="8">
        <f>RawSalesTable[[#This Row],[Gross_Sales]]*RawSalesTable[[#This Row],[Discount_Pct]]</f>
        <v>0</v>
      </c>
      <c r="AA76" s="8">
        <f>RawSalesTable[[#This Row],[Gross_Sales]]-RawSalesTable[[#This Row],[Discount_Amount]]</f>
        <v>306.26</v>
      </c>
      <c r="AB76" s="8">
        <f>RawSalesTable[[#This Row],[Unit_Cost]]*RawSalesTable[[#This Row],[Quantity]]</f>
        <v>153.94</v>
      </c>
      <c r="AC76" s="8">
        <f>RawSalesTable[[#This Row],[Net_Sales]]-RawSalesTable[[#This Row],[Total_Cost]]</f>
        <v>152.32</v>
      </c>
      <c r="AD76" s="9">
        <f>RawSalesTable[[#This Row],[Profit]]/RawSalesTable[[#This Row],[Net_Sales]]</f>
        <v>0.49735518840201137</v>
      </c>
      <c r="AE76" s="8">
        <f>IF(RawSalesTable[[#This Row],[Return_Status]]="Yes",1,0)</f>
        <v>0</v>
      </c>
      <c r="AF76" s="8">
        <f>YEAR(RawSalesTable[[#This Row],[Order_Date]])</f>
        <v>2025</v>
      </c>
      <c r="AG76" s="8">
        <f>MONTH(RawSalesTable[[#This Row],[Order_Date]])</f>
        <v>12</v>
      </c>
      <c r="AH76" s="8" t="str">
        <f>TEXT(RawSalesTable[[#This Row],[Order_Date]],"mmmm")</f>
        <v>décembre</v>
      </c>
      <c r="AI76" s="8" t="str">
        <f>IF(RawSalesTable[[#This Row],[Month_Number]]&lt;=3,"Q1",IF(RawSalesTable[[#This Row],[Month_Number]]&lt;=6,"Q2",IF(RawSalesTable[[#This Row],[Month_Number]]&lt;=9,"Q3","Q4")))</f>
        <v>Q4</v>
      </c>
      <c r="AJ76" s="13">
        <f>DATE(YEAR(RawSalesTable[[#This Row],[Order_Date]]),MONTH(RawSalesTable[[#This Row],[Order_Date]]),1)</f>
        <v>45992</v>
      </c>
      <c r="AK76" s="8" t="str">
        <f>VLOOKUP(RawSalesTable[[#This Row],[Customer_ID_clean]],CustomersTable[],4,FALSE)</f>
        <v>British Columbia</v>
      </c>
    </row>
    <row r="77" spans="1:37">
      <c r="A77" t="s">
        <v>304</v>
      </c>
      <c r="B77" s="3">
        <v>45910</v>
      </c>
      <c r="C77" t="s">
        <v>305</v>
      </c>
      <c r="D77" t="s">
        <v>226</v>
      </c>
      <c r="E77" t="s">
        <v>306</v>
      </c>
      <c r="F77" t="s">
        <v>87</v>
      </c>
      <c r="G77" t="s">
        <v>117</v>
      </c>
      <c r="H77" t="s">
        <v>89</v>
      </c>
      <c r="I77">
        <v>5</v>
      </c>
      <c r="J77" s="2">
        <v>216.55</v>
      </c>
      <c r="K77" s="4">
        <v>0.05</v>
      </c>
      <c r="L77" t="s">
        <v>90</v>
      </c>
      <c r="M77">
        <v>8</v>
      </c>
      <c r="N77" t="s">
        <v>91</v>
      </c>
      <c r="O77" t="str">
        <f>SUBSTITUTE(PROPER(TRIM(RawSalesTable[[#This Row],[Channel_Raw]])), "Market Place", "Marketplace")</f>
        <v>Online</v>
      </c>
      <c r="P77" t="str">
        <f>TRIM(RawSalesTable[[#This Row],[Store_Raw]])</f>
        <v>Online Fulfillment</v>
      </c>
      <c r="Q77" t="str">
        <f>IF(TRIM(RawSalesTable[[#This Row],[Payment_Method_Raw]])="","Non renseigné",SUBSTITUTE(TRIM(RawSalesTable[[#This Row],[Payment_Method_Raw]]),"CC","Credit Card"))</f>
        <v>PayPal</v>
      </c>
      <c r="R77" s="8" t="str">
        <f>UPPER(PROPER(RawSalesTable[[#This Row],[Customer_ID]]))</f>
        <v>C0055</v>
      </c>
      <c r="S77" s="8" t="str">
        <f>TRIM(LEFT(RawSalesTable[[#This Row],[Customer_Info]],FIND(",",RawSalesTable[[#This Row],[Customer_Info]]) -1))</f>
        <v>Sarah Scott</v>
      </c>
      <c r="T77" s="8" t="str">
        <f>TRIM(MID(RawSalesTable[[#This Row],[Customer_Info]],FIND(",",RawSalesTable[[#This Row],[Customer_Info]])+1,FIND(",",RawSalesTable[[#This Row],[Customer_Info]],FIND(",",RawSalesTable[[#This Row],[Customer_Info]])+1)-FIND(",",RawSalesTable[[#This Row],[Customer_Info]])-1))</f>
        <v>Surrey</v>
      </c>
      <c r="U77" s="8" t="str">
        <f>TRIM(RIGHT(RawSalesTable[[#This Row],[Customer_Info]], LEN(RawSalesTable[[#This Row],[Customer_Info]])-FIND(",",RawSalesTable[[#This Row],[Customer_Info]],FIND(",",RawSalesTable[[#This Row],[Customer_Info]])+1)))</f>
        <v>Consumer</v>
      </c>
      <c r="V77" s="8" t="str">
        <f>VLOOKUP(RawSalesTable[[#This Row],[Product_ID]],ProductsTable[],2,FALSE)</f>
        <v>Desk Lamp</v>
      </c>
      <c r="W77" s="8" t="str">
        <f>VLOOKUP(RawSalesTable[[#This Row],[Product_ID]],ProductsTable[],3,FALSE)</f>
        <v>Office</v>
      </c>
      <c r="X77" s="8">
        <f>VLOOKUP(RawSalesTable[[#This Row],[Product_ID]],ProductsTable[],5,FALSE)</f>
        <v>127.21</v>
      </c>
      <c r="Y77" s="8">
        <f>RawSalesTable[[#This Row],[Quantity]]*RawSalesTable[[#This Row],[Unit_Price]]</f>
        <v>1082.75</v>
      </c>
      <c r="Z77" s="8">
        <f>RawSalesTable[[#This Row],[Gross_Sales]]*RawSalesTable[[#This Row],[Discount_Pct]]</f>
        <v>54.137500000000003</v>
      </c>
      <c r="AA77" s="8">
        <f>RawSalesTable[[#This Row],[Gross_Sales]]-RawSalesTable[[#This Row],[Discount_Amount]]</f>
        <v>1028.6125</v>
      </c>
      <c r="AB77" s="8">
        <f>RawSalesTable[[#This Row],[Unit_Cost]]*RawSalesTable[[#This Row],[Quantity]]</f>
        <v>636.04999999999995</v>
      </c>
      <c r="AC77" s="8">
        <f>RawSalesTable[[#This Row],[Net_Sales]]-RawSalesTable[[#This Row],[Total_Cost]]</f>
        <v>392.5625</v>
      </c>
      <c r="AD77" s="9">
        <f>RawSalesTable[[#This Row],[Profit]]/RawSalesTable[[#This Row],[Net_Sales]]</f>
        <v>0.38164274690420352</v>
      </c>
      <c r="AE77" s="8">
        <f>IF(RawSalesTable[[#This Row],[Return_Status]]="Yes",1,0)</f>
        <v>0</v>
      </c>
      <c r="AF77" s="8">
        <f>YEAR(RawSalesTable[[#This Row],[Order_Date]])</f>
        <v>2025</v>
      </c>
      <c r="AG77" s="8">
        <f>MONTH(RawSalesTable[[#This Row],[Order_Date]])</f>
        <v>9</v>
      </c>
      <c r="AH77" s="8" t="str">
        <f>TEXT(RawSalesTable[[#This Row],[Order_Date]],"mmmm")</f>
        <v>septembre</v>
      </c>
      <c r="AI77" s="8" t="str">
        <f>IF(RawSalesTable[[#This Row],[Month_Number]]&lt;=3,"Q1",IF(RawSalesTable[[#This Row],[Month_Number]]&lt;=6,"Q2",IF(RawSalesTable[[#This Row],[Month_Number]]&lt;=9,"Q3","Q4")))</f>
        <v>Q3</v>
      </c>
      <c r="AJ77" s="13">
        <f>DATE(YEAR(RawSalesTable[[#This Row],[Order_Date]]),MONTH(RawSalesTable[[#This Row],[Order_Date]]),1)</f>
        <v>45901</v>
      </c>
      <c r="AK77" s="8" t="str">
        <f>VLOOKUP(RawSalesTable[[#This Row],[Customer_ID_clean]],CustomersTable[],4,FALSE)</f>
        <v>British Columbia</v>
      </c>
    </row>
    <row r="78" spans="1:37">
      <c r="A78" t="s">
        <v>307</v>
      </c>
      <c r="B78" s="3">
        <v>45967</v>
      </c>
      <c r="C78" t="s">
        <v>239</v>
      </c>
      <c r="D78" t="s">
        <v>109</v>
      </c>
      <c r="E78" t="s">
        <v>240</v>
      </c>
      <c r="F78" t="s">
        <v>103</v>
      </c>
      <c r="G78" t="s">
        <v>104</v>
      </c>
      <c r="H78" t="s">
        <v>308</v>
      </c>
      <c r="I78">
        <v>3</v>
      </c>
      <c r="J78" s="2">
        <v>209.24</v>
      </c>
      <c r="K78" s="4">
        <v>0.2</v>
      </c>
      <c r="L78" t="s">
        <v>90</v>
      </c>
      <c r="M78">
        <v>6</v>
      </c>
      <c r="N78" t="s">
        <v>91</v>
      </c>
      <c r="O78" t="str">
        <f>SUBSTITUTE(PROPER(TRIM(RawSalesTable[[#This Row],[Channel_Raw]])), "Market Place", "Marketplace")</f>
        <v>Online</v>
      </c>
      <c r="P78" t="str">
        <f>TRIM(RawSalesTable[[#This Row],[Store_Raw]])</f>
        <v>Vancouver West</v>
      </c>
      <c r="Q78" t="str">
        <f>IF(TRIM(RawSalesTable[[#This Row],[Payment_Method_Raw]])="","Non renseigné",SUBSTITUTE(TRIM(RawSalesTable[[#This Row],[Payment_Method_Raw]]),"CC","Credit Card"))</f>
        <v>PayPal</v>
      </c>
      <c r="R78" s="8" t="str">
        <f>UPPER(PROPER(RawSalesTable[[#This Row],[Customer_ID]]))</f>
        <v>C0089</v>
      </c>
      <c r="S78" s="8" t="str">
        <f>TRIM(LEFT(RawSalesTable[[#This Row],[Customer_Info]],FIND(",",RawSalesTable[[#This Row],[Customer_Info]]) -1))</f>
        <v>Lucas Martin</v>
      </c>
      <c r="T78" s="8" t="str">
        <f>TRIM(MID(RawSalesTable[[#This Row],[Customer_Info]],FIND(",",RawSalesTable[[#This Row],[Customer_Info]])+1,FIND(",",RawSalesTable[[#This Row],[Customer_Info]],FIND(",",RawSalesTable[[#This Row],[Customer_Info]])+1)-FIND(",",RawSalesTable[[#This Row],[Customer_Info]])-1))</f>
        <v>Vancouver</v>
      </c>
      <c r="U78" s="8" t="str">
        <f>TRIM(RIGHT(RawSalesTable[[#This Row],[Customer_Info]], LEN(RawSalesTable[[#This Row],[Customer_Info]])-FIND(",",RawSalesTable[[#This Row],[Customer_Info]],FIND(",",RawSalesTable[[#This Row],[Customer_Info]])+1)))</f>
        <v>Consumer</v>
      </c>
      <c r="V78" s="8" t="str">
        <f>VLOOKUP(RawSalesTable[[#This Row],[Product_ID]],ProductsTable[],2,FALSE)</f>
        <v>Gym Bag</v>
      </c>
      <c r="W78" s="8" t="str">
        <f>VLOOKUP(RawSalesTable[[#This Row],[Product_ID]],ProductsTable[],3,FALSE)</f>
        <v>Fitness</v>
      </c>
      <c r="X78" s="8">
        <f>VLOOKUP(RawSalesTable[[#This Row],[Product_ID]],ProductsTable[],5,FALSE)</f>
        <v>132.72</v>
      </c>
      <c r="Y78" s="8">
        <f>RawSalesTable[[#This Row],[Quantity]]*RawSalesTable[[#This Row],[Unit_Price]]</f>
        <v>627.72</v>
      </c>
      <c r="Z78" s="8">
        <f>RawSalesTable[[#This Row],[Gross_Sales]]*RawSalesTable[[#This Row],[Discount_Pct]]</f>
        <v>125.54400000000001</v>
      </c>
      <c r="AA78" s="8">
        <f>RawSalesTable[[#This Row],[Gross_Sales]]-RawSalesTable[[#This Row],[Discount_Amount]]</f>
        <v>502.17600000000004</v>
      </c>
      <c r="AB78" s="8">
        <f>RawSalesTable[[#This Row],[Unit_Cost]]*RawSalesTable[[#This Row],[Quantity]]</f>
        <v>398.15999999999997</v>
      </c>
      <c r="AC78" s="8">
        <f>RawSalesTable[[#This Row],[Net_Sales]]-RawSalesTable[[#This Row],[Total_Cost]]</f>
        <v>104.01600000000008</v>
      </c>
      <c r="AD78" s="9">
        <f>RawSalesTable[[#This Row],[Profit]]/RawSalesTable[[#This Row],[Net_Sales]]</f>
        <v>0.20713056776906916</v>
      </c>
      <c r="AE78" s="8">
        <f>IF(RawSalesTable[[#This Row],[Return_Status]]="Yes",1,0)</f>
        <v>0</v>
      </c>
      <c r="AF78" s="8">
        <f>YEAR(RawSalesTable[[#This Row],[Order_Date]])</f>
        <v>2025</v>
      </c>
      <c r="AG78" s="8">
        <f>MONTH(RawSalesTable[[#This Row],[Order_Date]])</f>
        <v>11</v>
      </c>
      <c r="AH78" s="8" t="str">
        <f>TEXT(RawSalesTable[[#This Row],[Order_Date]],"mmmm")</f>
        <v>novembre</v>
      </c>
      <c r="AI78" s="8" t="str">
        <f>IF(RawSalesTable[[#This Row],[Month_Number]]&lt;=3,"Q1",IF(RawSalesTable[[#This Row],[Month_Number]]&lt;=6,"Q2",IF(RawSalesTable[[#This Row],[Month_Number]]&lt;=9,"Q3","Q4")))</f>
        <v>Q4</v>
      </c>
      <c r="AJ78" s="13">
        <f>DATE(YEAR(RawSalesTable[[#This Row],[Order_Date]]),MONTH(RawSalesTable[[#This Row],[Order_Date]]),1)</f>
        <v>45962</v>
      </c>
      <c r="AK78" s="8" t="str">
        <f>VLOOKUP(RawSalesTable[[#This Row],[Customer_ID_clean]],CustomersTable[],4,FALSE)</f>
        <v>British Columbia</v>
      </c>
    </row>
    <row r="79" spans="1:37">
      <c r="A79" t="s">
        <v>309</v>
      </c>
      <c r="B79" s="3">
        <v>45706</v>
      </c>
      <c r="C79" t="s">
        <v>236</v>
      </c>
      <c r="D79" t="s">
        <v>94</v>
      </c>
      <c r="E79" t="s">
        <v>237</v>
      </c>
      <c r="F79" t="s">
        <v>310</v>
      </c>
      <c r="G79" t="s">
        <v>88</v>
      </c>
      <c r="H79" t="s">
        <v>89</v>
      </c>
      <c r="I79">
        <v>3</v>
      </c>
      <c r="J79" s="2">
        <v>302.63</v>
      </c>
      <c r="K79" s="4">
        <v>0</v>
      </c>
      <c r="L79" t="s">
        <v>253</v>
      </c>
      <c r="M79">
        <v>5</v>
      </c>
      <c r="N79" t="s">
        <v>91</v>
      </c>
      <c r="O79" t="str">
        <f>SUBSTITUTE(PROPER(TRIM(RawSalesTable[[#This Row],[Channel_Raw]])), "Market Place", "Marketplace")</f>
        <v>Online</v>
      </c>
      <c r="P79" t="str">
        <f>TRIM(RawSalesTable[[#This Row],[Store_Raw]])</f>
        <v>Toronto Downtown</v>
      </c>
      <c r="Q79" t="str">
        <f>IF(TRIM(RawSalesTable[[#This Row],[Payment_Method_Raw]])="","Non renseigné",SUBSTITUTE(TRIM(RawSalesTable[[#This Row],[Payment_Method_Raw]]),"CC","Credit Card"))</f>
        <v>Credit Card</v>
      </c>
      <c r="R79" s="8" t="str">
        <f>UPPER(PROPER(RawSalesTable[[#This Row],[Customer_ID]]))</f>
        <v>C0102</v>
      </c>
      <c r="S79" s="8" t="str">
        <f>TRIM(LEFT(RawSalesTable[[#This Row],[Customer_Info]],FIND(",",RawSalesTable[[#This Row],[Customer_Info]]) -1))</f>
        <v>Adam Roy</v>
      </c>
      <c r="T79" s="8" t="str">
        <f>TRIM(MID(RawSalesTable[[#This Row],[Customer_Info]],FIND(",",RawSalesTable[[#This Row],[Customer_Info]])+1,FIND(",",RawSalesTable[[#This Row],[Customer_Info]],FIND(",",RawSalesTable[[#This Row],[Customer_Info]])+1)-FIND(",",RawSalesTable[[#This Row],[Customer_Info]])-1))</f>
        <v>Edmonton</v>
      </c>
      <c r="U79" s="8" t="str">
        <f>TRIM(RIGHT(RawSalesTable[[#This Row],[Customer_Info]], LEN(RawSalesTable[[#This Row],[Customer_Info]])-FIND(",",RawSalesTable[[#This Row],[Customer_Info]],FIND(",",RawSalesTable[[#This Row],[Customer_Info]])+1)))</f>
        <v>Corporate</v>
      </c>
      <c r="V79" s="8" t="str">
        <f>VLOOKUP(RawSalesTable[[#This Row],[Product_ID]],ProductsTable[],2,FALSE)</f>
        <v>Backpack</v>
      </c>
      <c r="W79" s="8" t="str">
        <f>VLOOKUP(RawSalesTable[[#This Row],[Product_ID]],ProductsTable[],3,FALSE)</f>
        <v>Accessories</v>
      </c>
      <c r="X79" s="8">
        <f>VLOOKUP(RawSalesTable[[#This Row],[Product_ID]],ProductsTable[],5,FALSE)</f>
        <v>152.55000000000001</v>
      </c>
      <c r="Y79" s="8">
        <f>RawSalesTable[[#This Row],[Quantity]]*RawSalesTable[[#This Row],[Unit_Price]]</f>
        <v>907.89</v>
      </c>
      <c r="Z79" s="8">
        <f>RawSalesTable[[#This Row],[Gross_Sales]]*RawSalesTable[[#This Row],[Discount_Pct]]</f>
        <v>0</v>
      </c>
      <c r="AA79" s="8">
        <f>RawSalesTable[[#This Row],[Gross_Sales]]-RawSalesTable[[#This Row],[Discount_Amount]]</f>
        <v>907.89</v>
      </c>
      <c r="AB79" s="8">
        <f>RawSalesTable[[#This Row],[Unit_Cost]]*RawSalesTable[[#This Row],[Quantity]]</f>
        <v>457.65000000000003</v>
      </c>
      <c r="AC79" s="8">
        <f>RawSalesTable[[#This Row],[Net_Sales]]-RawSalesTable[[#This Row],[Total_Cost]]</f>
        <v>450.23999999999995</v>
      </c>
      <c r="AD79" s="9">
        <f>RawSalesTable[[#This Row],[Profit]]/RawSalesTable[[#This Row],[Net_Sales]]</f>
        <v>0.49591910914317811</v>
      </c>
      <c r="AE79" s="8">
        <f>IF(RawSalesTable[[#This Row],[Return_Status]]="Yes",1,0)</f>
        <v>0</v>
      </c>
      <c r="AF79" s="8">
        <f>YEAR(RawSalesTable[[#This Row],[Order_Date]])</f>
        <v>2025</v>
      </c>
      <c r="AG79" s="8">
        <f>MONTH(RawSalesTable[[#This Row],[Order_Date]])</f>
        <v>2</v>
      </c>
      <c r="AH79" s="8" t="str">
        <f>TEXT(RawSalesTable[[#This Row],[Order_Date]],"mmmm")</f>
        <v>février</v>
      </c>
      <c r="AI79" s="8" t="str">
        <f>IF(RawSalesTable[[#This Row],[Month_Number]]&lt;=3,"Q1",IF(RawSalesTable[[#This Row],[Month_Number]]&lt;=6,"Q2",IF(RawSalesTable[[#This Row],[Month_Number]]&lt;=9,"Q3","Q4")))</f>
        <v>Q1</v>
      </c>
      <c r="AJ79" s="13">
        <f>DATE(YEAR(RawSalesTable[[#This Row],[Order_Date]]),MONTH(RawSalesTable[[#This Row],[Order_Date]]),1)</f>
        <v>45689</v>
      </c>
      <c r="AK79" s="8" t="str">
        <f>VLOOKUP(RawSalesTable[[#This Row],[Customer_ID_clean]],CustomersTable[],4,FALSE)</f>
        <v>Alberta</v>
      </c>
    </row>
    <row r="80" spans="1:37">
      <c r="A80" t="s">
        <v>311</v>
      </c>
      <c r="B80" s="3">
        <v>46005</v>
      </c>
      <c r="C80" t="s">
        <v>225</v>
      </c>
      <c r="D80" t="s">
        <v>143</v>
      </c>
      <c r="E80" t="s">
        <v>227</v>
      </c>
      <c r="F80" t="s">
        <v>116</v>
      </c>
      <c r="G80" t="s">
        <v>171</v>
      </c>
      <c r="H80" t="s">
        <v>97</v>
      </c>
      <c r="I80">
        <v>1</v>
      </c>
      <c r="J80" s="2">
        <v>254.95</v>
      </c>
      <c r="K80" s="4">
        <v>0.2</v>
      </c>
      <c r="L80" t="s">
        <v>106</v>
      </c>
      <c r="M80">
        <v>2</v>
      </c>
      <c r="N80" t="s">
        <v>91</v>
      </c>
      <c r="O80" t="str">
        <f>SUBSTITUTE(PROPER(TRIM(RawSalesTable[[#This Row],[Channel_Raw]])), "Market Place", "Marketplace")</f>
        <v>Retail Store</v>
      </c>
      <c r="P80" t="str">
        <f>TRIM(RawSalesTable[[#This Row],[Store_Raw]])</f>
        <v>Toronto Downtown</v>
      </c>
      <c r="Q80" t="str">
        <f>IF(TRIM(RawSalesTable[[#This Row],[Payment_Method_Raw]])="","Non renseigné",SUBSTITUTE(TRIM(RawSalesTable[[#This Row],[Payment_Method_Raw]]),"CC","Credit Card"))</f>
        <v>Credit Card</v>
      </c>
      <c r="R80" s="8" t="str">
        <f>UPPER(PROPER(RawSalesTable[[#This Row],[Customer_ID]]))</f>
        <v>C0110</v>
      </c>
      <c r="S80" s="8" t="str">
        <f>TRIM(LEFT(RawSalesTable[[#This Row],[Customer_Info]],FIND(",",RawSalesTable[[#This Row],[Customer_Info]]) -1))</f>
        <v>Sarah Smith</v>
      </c>
      <c r="T80" s="8" t="str">
        <f>TRIM(MID(RawSalesTable[[#This Row],[Customer_Info]],FIND(",",RawSalesTable[[#This Row],[Customer_Info]])+1,FIND(",",RawSalesTable[[#This Row],[Customer_Info]],FIND(",",RawSalesTable[[#This Row],[Customer_Info]])+1)-FIND(",",RawSalesTable[[#This Row],[Customer_Info]])-1))</f>
        <v>Laval</v>
      </c>
      <c r="U80" s="8" t="str">
        <f>TRIM(RIGHT(RawSalesTable[[#This Row],[Customer_Info]], LEN(RawSalesTable[[#This Row],[Customer_Info]])-FIND(",",RawSalesTable[[#This Row],[Customer_Info]],FIND(",",RawSalesTable[[#This Row],[Customer_Info]])+1)))</f>
        <v>Consumer</v>
      </c>
      <c r="V80" s="8" t="str">
        <f>VLOOKUP(RawSalesTable[[#This Row],[Product_ID]],ProductsTable[],2,FALSE)</f>
        <v>Water Bottle</v>
      </c>
      <c r="W80" s="8" t="str">
        <f>VLOOKUP(RawSalesTable[[#This Row],[Product_ID]],ProductsTable[],3,FALSE)</f>
        <v>Accessories</v>
      </c>
      <c r="X80" s="8">
        <f>VLOOKUP(RawSalesTable[[#This Row],[Product_ID]],ProductsTable[],5,FALSE)</f>
        <v>119.16</v>
      </c>
      <c r="Y80" s="8">
        <f>RawSalesTable[[#This Row],[Quantity]]*RawSalesTable[[#This Row],[Unit_Price]]</f>
        <v>254.95</v>
      </c>
      <c r="Z80" s="8">
        <f>RawSalesTable[[#This Row],[Gross_Sales]]*RawSalesTable[[#This Row],[Discount_Pct]]</f>
        <v>50.99</v>
      </c>
      <c r="AA80" s="8">
        <f>RawSalesTable[[#This Row],[Gross_Sales]]-RawSalesTable[[#This Row],[Discount_Amount]]</f>
        <v>203.95999999999998</v>
      </c>
      <c r="AB80" s="8">
        <f>RawSalesTable[[#This Row],[Unit_Cost]]*RawSalesTable[[#This Row],[Quantity]]</f>
        <v>119.16</v>
      </c>
      <c r="AC80" s="8">
        <f>RawSalesTable[[#This Row],[Net_Sales]]-RawSalesTable[[#This Row],[Total_Cost]]</f>
        <v>84.799999999999983</v>
      </c>
      <c r="AD80" s="9">
        <f>RawSalesTable[[#This Row],[Profit]]/RawSalesTable[[#This Row],[Net_Sales]]</f>
        <v>0.41576779760737398</v>
      </c>
      <c r="AE80" s="8">
        <f>IF(RawSalesTable[[#This Row],[Return_Status]]="Yes",1,0)</f>
        <v>0</v>
      </c>
      <c r="AF80" s="8">
        <f>YEAR(RawSalesTable[[#This Row],[Order_Date]])</f>
        <v>2025</v>
      </c>
      <c r="AG80" s="8">
        <f>MONTH(RawSalesTable[[#This Row],[Order_Date]])</f>
        <v>12</v>
      </c>
      <c r="AH80" s="8" t="str">
        <f>TEXT(RawSalesTable[[#This Row],[Order_Date]],"mmmm")</f>
        <v>décembre</v>
      </c>
      <c r="AI80" s="8" t="str">
        <f>IF(RawSalesTable[[#This Row],[Month_Number]]&lt;=3,"Q1",IF(RawSalesTable[[#This Row],[Month_Number]]&lt;=6,"Q2",IF(RawSalesTable[[#This Row],[Month_Number]]&lt;=9,"Q3","Q4")))</f>
        <v>Q4</v>
      </c>
      <c r="AJ80" s="13">
        <f>DATE(YEAR(RawSalesTable[[#This Row],[Order_Date]]),MONTH(RawSalesTable[[#This Row],[Order_Date]]),1)</f>
        <v>45992</v>
      </c>
      <c r="AK80" s="8" t="str">
        <f>VLOOKUP(RawSalesTable[[#This Row],[Customer_ID_clean]],CustomersTable[],4,FALSE)</f>
        <v>Quebec</v>
      </c>
    </row>
    <row r="81" spans="1:37">
      <c r="A81" t="s">
        <v>312</v>
      </c>
      <c r="B81" s="3">
        <v>45968</v>
      </c>
      <c r="C81" t="s">
        <v>313</v>
      </c>
      <c r="D81" t="s">
        <v>244</v>
      </c>
      <c r="E81" t="s">
        <v>314</v>
      </c>
      <c r="F81" t="s">
        <v>116</v>
      </c>
      <c r="G81" t="s">
        <v>96</v>
      </c>
      <c r="H81" t="s">
        <v>97</v>
      </c>
      <c r="I81">
        <v>2</v>
      </c>
      <c r="J81" s="2">
        <v>251.66</v>
      </c>
      <c r="K81" s="4">
        <v>0.15</v>
      </c>
      <c r="L81" t="s">
        <v>106</v>
      </c>
      <c r="M81">
        <v>3</v>
      </c>
      <c r="N81" t="s">
        <v>91</v>
      </c>
      <c r="O81" t="str">
        <f>SUBSTITUTE(PROPER(TRIM(RawSalesTable[[#This Row],[Channel_Raw]])), "Market Place", "Marketplace")</f>
        <v>Retail Store</v>
      </c>
      <c r="P81" t="str">
        <f>TRIM(RawSalesTable[[#This Row],[Store_Raw]])</f>
        <v>Toronto Downtown</v>
      </c>
      <c r="Q81" t="str">
        <f>IF(TRIM(RawSalesTable[[#This Row],[Payment_Method_Raw]])="","Non renseigné",SUBSTITUTE(TRIM(RawSalesTable[[#This Row],[Payment_Method_Raw]]),"CC","Credit Card"))</f>
        <v>Credit Card</v>
      </c>
      <c r="R81" s="8" t="str">
        <f>UPPER(PROPER(RawSalesTable[[#This Row],[Customer_ID]]))</f>
        <v>C0080</v>
      </c>
      <c r="S81" s="8" t="str">
        <f>TRIM(LEFT(RawSalesTable[[#This Row],[Customer_Info]],FIND(",",RawSalesTable[[#This Row],[Customer_Info]]) -1))</f>
        <v>Sarah Smith</v>
      </c>
      <c r="T81" s="8" t="str">
        <f>TRIM(MID(RawSalesTable[[#This Row],[Customer_Info]],FIND(",",RawSalesTable[[#This Row],[Customer_Info]])+1,FIND(",",RawSalesTable[[#This Row],[Customer_Info]],FIND(",",RawSalesTable[[#This Row],[Customer_Info]])+1)-FIND(",",RawSalesTable[[#This Row],[Customer_Info]])-1))</f>
        <v>Mississauga</v>
      </c>
      <c r="U81" s="8" t="str">
        <f>TRIM(RIGHT(RawSalesTable[[#This Row],[Customer_Info]], LEN(RawSalesTable[[#This Row],[Customer_Info]])-FIND(",",RawSalesTable[[#This Row],[Customer_Info]],FIND(",",RawSalesTable[[#This Row],[Customer_Info]])+1)))</f>
        <v>Corporate</v>
      </c>
      <c r="V81" s="8" t="str">
        <f>VLOOKUP(RawSalesTable[[#This Row],[Product_ID]],ProductsTable[],2,FALSE)</f>
        <v>Portable SSD</v>
      </c>
      <c r="W81" s="8" t="str">
        <f>VLOOKUP(RawSalesTable[[#This Row],[Product_ID]],ProductsTable[],3,FALSE)</f>
        <v>Electronics</v>
      </c>
      <c r="X81" s="8">
        <f>VLOOKUP(RawSalesTable[[#This Row],[Product_ID]],ProductsTable[],5,FALSE)</f>
        <v>131.19</v>
      </c>
      <c r="Y81" s="8">
        <f>RawSalesTable[[#This Row],[Quantity]]*RawSalesTable[[#This Row],[Unit_Price]]</f>
        <v>503.32</v>
      </c>
      <c r="Z81" s="8">
        <f>RawSalesTable[[#This Row],[Gross_Sales]]*RawSalesTable[[#This Row],[Discount_Pct]]</f>
        <v>75.49799999999999</v>
      </c>
      <c r="AA81" s="8">
        <f>RawSalesTable[[#This Row],[Gross_Sales]]-RawSalesTable[[#This Row],[Discount_Amount]]</f>
        <v>427.822</v>
      </c>
      <c r="AB81" s="8">
        <f>RawSalesTable[[#This Row],[Unit_Cost]]*RawSalesTable[[#This Row],[Quantity]]</f>
        <v>262.38</v>
      </c>
      <c r="AC81" s="8">
        <f>RawSalesTable[[#This Row],[Net_Sales]]-RawSalesTable[[#This Row],[Total_Cost]]</f>
        <v>165.44200000000001</v>
      </c>
      <c r="AD81" s="9">
        <f>RawSalesTable[[#This Row],[Profit]]/RawSalesTable[[#This Row],[Net_Sales]]</f>
        <v>0.38670755594616452</v>
      </c>
      <c r="AE81" s="8">
        <f>IF(RawSalesTable[[#This Row],[Return_Status]]="Yes",1,0)</f>
        <v>0</v>
      </c>
      <c r="AF81" s="8">
        <f>YEAR(RawSalesTable[[#This Row],[Order_Date]])</f>
        <v>2025</v>
      </c>
      <c r="AG81" s="8">
        <f>MONTH(RawSalesTable[[#This Row],[Order_Date]])</f>
        <v>11</v>
      </c>
      <c r="AH81" s="8" t="str">
        <f>TEXT(RawSalesTable[[#This Row],[Order_Date]],"mmmm")</f>
        <v>novembre</v>
      </c>
      <c r="AI81" s="8" t="str">
        <f>IF(RawSalesTable[[#This Row],[Month_Number]]&lt;=3,"Q1",IF(RawSalesTable[[#This Row],[Month_Number]]&lt;=6,"Q2",IF(RawSalesTable[[#This Row],[Month_Number]]&lt;=9,"Q3","Q4")))</f>
        <v>Q4</v>
      </c>
      <c r="AJ81" s="13">
        <f>DATE(YEAR(RawSalesTable[[#This Row],[Order_Date]]),MONTH(RawSalesTable[[#This Row],[Order_Date]]),1)</f>
        <v>45962</v>
      </c>
      <c r="AK81" s="8" t="str">
        <f>VLOOKUP(RawSalesTable[[#This Row],[Customer_ID_clean]],CustomersTable[],4,FALSE)</f>
        <v>Ontario</v>
      </c>
    </row>
    <row r="82" spans="1:37">
      <c r="A82" t="s">
        <v>315</v>
      </c>
      <c r="B82" s="3">
        <v>45999</v>
      </c>
      <c r="C82" t="s">
        <v>316</v>
      </c>
      <c r="D82" t="s">
        <v>139</v>
      </c>
      <c r="E82" t="s">
        <v>317</v>
      </c>
      <c r="F82" t="s">
        <v>103</v>
      </c>
      <c r="G82" t="s">
        <v>122</v>
      </c>
      <c r="H82" t="s">
        <v>97</v>
      </c>
      <c r="I82">
        <v>2</v>
      </c>
      <c r="J82" s="2">
        <v>84.65</v>
      </c>
      <c r="K82" s="4">
        <v>0</v>
      </c>
      <c r="M82">
        <v>1</v>
      </c>
      <c r="N82" t="s">
        <v>91</v>
      </c>
      <c r="O82" t="str">
        <f>SUBSTITUTE(PROPER(TRIM(RawSalesTable[[#This Row],[Channel_Raw]])), "Market Place", "Marketplace")</f>
        <v>Retail Store</v>
      </c>
      <c r="P82" t="str">
        <f>TRIM(RawSalesTable[[#This Row],[Store_Raw]])</f>
        <v>Vancouver West</v>
      </c>
      <c r="Q82" t="str">
        <f>IF(TRIM(RawSalesTable[[#This Row],[Payment_Method_Raw]])="","Non renseigné",SUBSTITUTE(TRIM(RawSalesTable[[#This Row],[Payment_Method_Raw]]),"CC","Credit Card"))</f>
        <v>Non renseigné</v>
      </c>
      <c r="R82" s="8" t="str">
        <f>UPPER(PROPER(RawSalesTable[[#This Row],[Customer_ID]]))</f>
        <v>C0075</v>
      </c>
      <c r="S82" s="8" t="str">
        <f>TRIM(LEFT(RawSalesTable[[#This Row],[Customer_Info]],FIND(",",RawSalesTable[[#This Row],[Customer_Info]]) -1))</f>
        <v>Amelia Wilson</v>
      </c>
      <c r="T82" s="8" t="str">
        <f>TRIM(MID(RawSalesTable[[#This Row],[Customer_Info]],FIND(",",RawSalesTable[[#This Row],[Customer_Info]])+1,FIND(",",RawSalesTable[[#This Row],[Customer_Info]],FIND(",",RawSalesTable[[#This Row],[Customer_Info]])+1)-FIND(",",RawSalesTable[[#This Row],[Customer_Info]])-1))</f>
        <v>Vancouver</v>
      </c>
      <c r="U82" s="8" t="str">
        <f>TRIM(RIGHT(RawSalesTable[[#This Row],[Customer_Info]], LEN(RawSalesTable[[#This Row],[Customer_Info]])-FIND(",",RawSalesTable[[#This Row],[Customer_Info]],FIND(",",RawSalesTable[[#This Row],[Customer_Info]])+1)))</f>
        <v>Consumer</v>
      </c>
      <c r="V82" s="8" t="str">
        <f>VLOOKUP(RawSalesTable[[#This Row],[Product_ID]],ProductsTable[],2,FALSE)</f>
        <v>Standing Desk</v>
      </c>
      <c r="W82" s="8" t="str">
        <f>VLOOKUP(RawSalesTable[[#This Row],[Product_ID]],ProductsTable[],3,FALSE)</f>
        <v>Office</v>
      </c>
      <c r="X82" s="8">
        <f>VLOOKUP(RawSalesTable[[#This Row],[Product_ID]],ProductsTable[],5,FALSE)</f>
        <v>45.17</v>
      </c>
      <c r="Y82" s="8">
        <f>RawSalesTable[[#This Row],[Quantity]]*RawSalesTable[[#This Row],[Unit_Price]]</f>
        <v>169.3</v>
      </c>
      <c r="Z82" s="8">
        <f>RawSalesTable[[#This Row],[Gross_Sales]]*RawSalesTable[[#This Row],[Discount_Pct]]</f>
        <v>0</v>
      </c>
      <c r="AA82" s="8">
        <f>RawSalesTable[[#This Row],[Gross_Sales]]-RawSalesTable[[#This Row],[Discount_Amount]]</f>
        <v>169.3</v>
      </c>
      <c r="AB82" s="8">
        <f>RawSalesTable[[#This Row],[Unit_Cost]]*RawSalesTable[[#This Row],[Quantity]]</f>
        <v>90.34</v>
      </c>
      <c r="AC82" s="8">
        <f>RawSalesTable[[#This Row],[Net_Sales]]-RawSalesTable[[#This Row],[Total_Cost]]</f>
        <v>78.960000000000008</v>
      </c>
      <c r="AD82" s="9">
        <f>RawSalesTable[[#This Row],[Profit]]/RawSalesTable[[#This Row],[Net_Sales]]</f>
        <v>0.46639102185469583</v>
      </c>
      <c r="AE82" s="8">
        <f>IF(RawSalesTable[[#This Row],[Return_Status]]="Yes",1,0)</f>
        <v>0</v>
      </c>
      <c r="AF82" s="8">
        <f>YEAR(RawSalesTable[[#This Row],[Order_Date]])</f>
        <v>2025</v>
      </c>
      <c r="AG82" s="8">
        <f>MONTH(RawSalesTable[[#This Row],[Order_Date]])</f>
        <v>12</v>
      </c>
      <c r="AH82" s="8" t="str">
        <f>TEXT(RawSalesTable[[#This Row],[Order_Date]],"mmmm")</f>
        <v>décembre</v>
      </c>
      <c r="AI82" s="8" t="str">
        <f>IF(RawSalesTable[[#This Row],[Month_Number]]&lt;=3,"Q1",IF(RawSalesTable[[#This Row],[Month_Number]]&lt;=6,"Q2",IF(RawSalesTable[[#This Row],[Month_Number]]&lt;=9,"Q3","Q4")))</f>
        <v>Q4</v>
      </c>
      <c r="AJ82" s="13">
        <f>DATE(YEAR(RawSalesTable[[#This Row],[Order_Date]]),MONTH(RawSalesTable[[#This Row],[Order_Date]]),1)</f>
        <v>45992</v>
      </c>
      <c r="AK82" s="8" t="str">
        <f>VLOOKUP(RawSalesTable[[#This Row],[Customer_ID_clean]],CustomersTable[],4,FALSE)</f>
        <v>British Columbia</v>
      </c>
    </row>
    <row r="83" spans="1:37">
      <c r="A83" t="s">
        <v>318</v>
      </c>
      <c r="B83" s="3">
        <v>45688</v>
      </c>
      <c r="C83" t="s">
        <v>319</v>
      </c>
      <c r="D83" t="s">
        <v>249</v>
      </c>
      <c r="E83" t="s">
        <v>320</v>
      </c>
      <c r="F83" t="s">
        <v>116</v>
      </c>
      <c r="G83" t="s">
        <v>171</v>
      </c>
      <c r="H83" t="s">
        <v>97</v>
      </c>
      <c r="I83">
        <v>1</v>
      </c>
      <c r="J83" s="2">
        <v>434.51</v>
      </c>
      <c r="K83" s="4">
        <v>0.1</v>
      </c>
      <c r="L83" t="s">
        <v>98</v>
      </c>
      <c r="M83">
        <v>3</v>
      </c>
      <c r="N83" t="s">
        <v>91</v>
      </c>
      <c r="O83" t="str">
        <f>SUBSTITUTE(PROPER(TRIM(RawSalesTable[[#This Row],[Channel_Raw]])), "Market Place", "Marketplace")</f>
        <v>Retail Store</v>
      </c>
      <c r="P83" t="str">
        <f>TRIM(RawSalesTable[[#This Row],[Store_Raw]])</f>
        <v>Toronto Downtown</v>
      </c>
      <c r="Q83" t="str">
        <f>IF(TRIM(RawSalesTable[[#This Row],[Payment_Method_Raw]])="","Non renseigné",SUBSTITUTE(TRIM(RawSalesTable[[#This Row],[Payment_Method_Raw]]),"CC","Credit Card"))</f>
        <v>Debit Card</v>
      </c>
      <c r="R83" s="8" t="str">
        <f>UPPER(PROPER(RawSalesTable[[#This Row],[Customer_ID]]))</f>
        <v>C0013</v>
      </c>
      <c r="S83" s="8" t="str">
        <f>TRIM(LEFT(RawSalesTable[[#This Row],[Customer_Info]],FIND(",",RawSalesTable[[#This Row],[Customer_Info]]) -1))</f>
        <v>Amelia Martin</v>
      </c>
      <c r="T83" s="8" t="str">
        <f>TRIM(MID(RawSalesTable[[#This Row],[Customer_Info]],FIND(",",RawSalesTable[[#This Row],[Customer_Info]])+1,FIND(",",RawSalesTable[[#This Row],[Customer_Info]],FIND(",",RawSalesTable[[#This Row],[Customer_Info]])+1)-FIND(",",RawSalesTable[[#This Row],[Customer_Info]])-1))</f>
        <v>Quebec City</v>
      </c>
      <c r="U83" s="8" t="str">
        <f>TRIM(RIGHT(RawSalesTable[[#This Row],[Customer_Info]], LEN(RawSalesTable[[#This Row],[Customer_Info]])-FIND(",",RawSalesTable[[#This Row],[Customer_Info]],FIND(",",RawSalesTable[[#This Row],[Customer_Info]])+1)))</f>
        <v>Small Business</v>
      </c>
      <c r="V83" s="8" t="str">
        <f>VLOOKUP(RawSalesTable[[#This Row],[Product_ID]],ProductsTable[],2,FALSE)</f>
        <v>Humidifier</v>
      </c>
      <c r="W83" s="8" t="str">
        <f>VLOOKUP(RawSalesTable[[#This Row],[Product_ID]],ProductsTable[],3,FALSE)</f>
        <v>Home</v>
      </c>
      <c r="X83" s="8">
        <f>VLOOKUP(RawSalesTable[[#This Row],[Product_ID]],ProductsTable[],5,FALSE)</f>
        <v>239.67</v>
      </c>
      <c r="Y83" s="8">
        <f>RawSalesTable[[#This Row],[Quantity]]*RawSalesTable[[#This Row],[Unit_Price]]</f>
        <v>434.51</v>
      </c>
      <c r="Z83" s="8">
        <f>RawSalesTable[[#This Row],[Gross_Sales]]*RawSalesTable[[#This Row],[Discount_Pct]]</f>
        <v>43.451000000000001</v>
      </c>
      <c r="AA83" s="8">
        <f>RawSalesTable[[#This Row],[Gross_Sales]]-RawSalesTable[[#This Row],[Discount_Amount]]</f>
        <v>391.05899999999997</v>
      </c>
      <c r="AB83" s="8">
        <f>RawSalesTable[[#This Row],[Unit_Cost]]*RawSalesTable[[#This Row],[Quantity]]</f>
        <v>239.67</v>
      </c>
      <c r="AC83" s="8">
        <f>RawSalesTable[[#This Row],[Net_Sales]]-RawSalesTable[[#This Row],[Total_Cost]]</f>
        <v>151.38899999999998</v>
      </c>
      <c r="AD83" s="9">
        <f>RawSalesTable[[#This Row],[Profit]]/RawSalesTable[[#This Row],[Net_Sales]]</f>
        <v>0.38712572783135024</v>
      </c>
      <c r="AE83" s="8">
        <f>IF(RawSalesTable[[#This Row],[Return_Status]]="Yes",1,0)</f>
        <v>0</v>
      </c>
      <c r="AF83" s="8">
        <f>YEAR(RawSalesTable[[#This Row],[Order_Date]])</f>
        <v>2025</v>
      </c>
      <c r="AG83" s="8">
        <f>MONTH(RawSalesTable[[#This Row],[Order_Date]])</f>
        <v>1</v>
      </c>
      <c r="AH83" s="8" t="str">
        <f>TEXT(RawSalesTable[[#This Row],[Order_Date]],"mmmm")</f>
        <v>janvier</v>
      </c>
      <c r="AI83" s="8" t="str">
        <f>IF(RawSalesTable[[#This Row],[Month_Number]]&lt;=3,"Q1",IF(RawSalesTable[[#This Row],[Month_Number]]&lt;=6,"Q2",IF(RawSalesTable[[#This Row],[Month_Number]]&lt;=9,"Q3","Q4")))</f>
        <v>Q1</v>
      </c>
      <c r="AJ83" s="13">
        <f>DATE(YEAR(RawSalesTable[[#This Row],[Order_Date]]),MONTH(RawSalesTable[[#This Row],[Order_Date]]),1)</f>
        <v>45658</v>
      </c>
      <c r="AK83" s="8" t="str">
        <f>VLOOKUP(RawSalesTable[[#This Row],[Customer_ID_clean]],CustomersTable[],4,FALSE)</f>
        <v>Quebec</v>
      </c>
    </row>
    <row r="84" spans="1:37">
      <c r="A84" t="s">
        <v>321</v>
      </c>
      <c r="B84" s="3">
        <v>45963</v>
      </c>
      <c r="C84" t="s">
        <v>322</v>
      </c>
      <c r="D84" t="s">
        <v>323</v>
      </c>
      <c r="E84" t="s">
        <v>324</v>
      </c>
      <c r="F84" t="s">
        <v>111</v>
      </c>
      <c r="G84" t="s">
        <v>117</v>
      </c>
      <c r="H84" t="s">
        <v>97</v>
      </c>
      <c r="I84">
        <v>1</v>
      </c>
      <c r="J84" s="2">
        <v>351.6</v>
      </c>
      <c r="K84" s="4">
        <v>0</v>
      </c>
      <c r="L84" t="s">
        <v>106</v>
      </c>
      <c r="M84">
        <v>2</v>
      </c>
      <c r="N84" t="s">
        <v>91</v>
      </c>
      <c r="O84" t="str">
        <f>SUBSTITUTE(PROPER(TRIM(RawSalesTable[[#This Row],[Channel_Raw]])), "Market Place", "Marketplace")</f>
        <v>Retail Store</v>
      </c>
      <c r="P84" t="str">
        <f>TRIM(RawSalesTable[[#This Row],[Store_Raw]])</f>
        <v>Montreal Central</v>
      </c>
      <c r="Q84" t="str">
        <f>IF(TRIM(RawSalesTable[[#This Row],[Payment_Method_Raw]])="","Non renseigné",SUBSTITUTE(TRIM(RawSalesTable[[#This Row],[Payment_Method_Raw]]),"CC","Credit Card"))</f>
        <v>Credit Card</v>
      </c>
      <c r="R84" s="8" t="str">
        <f>UPPER(PROPER(RawSalesTable[[#This Row],[Customer_ID]]))</f>
        <v>C0119</v>
      </c>
      <c r="S84" s="8" t="str">
        <f>TRIM(LEFT(RawSalesTable[[#This Row],[Customer_Info]],FIND(",",RawSalesTable[[#This Row],[Customer_Info]]) -1))</f>
        <v>Liam Chen</v>
      </c>
      <c r="T84" s="8" t="str">
        <f>TRIM(MID(RawSalesTable[[#This Row],[Customer_Info]],FIND(",",RawSalesTable[[#This Row],[Customer_Info]])+1,FIND(",",RawSalesTable[[#This Row],[Customer_Info]],FIND(",",RawSalesTable[[#This Row],[Customer_Info]])+1)-FIND(",",RawSalesTable[[#This Row],[Customer_Info]])-1))</f>
        <v>Winnipeg</v>
      </c>
      <c r="U84" s="8" t="str">
        <f>TRIM(RIGHT(RawSalesTable[[#This Row],[Customer_Info]], LEN(RawSalesTable[[#This Row],[Customer_Info]])-FIND(",",RawSalesTable[[#This Row],[Customer_Info]],FIND(",",RawSalesTable[[#This Row],[Customer_Info]])+1)))</f>
        <v>Consumer</v>
      </c>
      <c r="V84" s="8" t="str">
        <f>VLOOKUP(RawSalesTable[[#This Row],[Product_ID]],ProductsTable[],2,FALSE)</f>
        <v>Toaster</v>
      </c>
      <c r="W84" s="8" t="str">
        <f>VLOOKUP(RawSalesTable[[#This Row],[Product_ID]],ProductsTable[],3,FALSE)</f>
        <v>Home</v>
      </c>
      <c r="X84" s="8">
        <f>VLOOKUP(RawSalesTable[[#This Row],[Product_ID]],ProductsTable[],5,FALSE)</f>
        <v>152.88</v>
      </c>
      <c r="Y84" s="8">
        <f>RawSalesTable[[#This Row],[Quantity]]*RawSalesTable[[#This Row],[Unit_Price]]</f>
        <v>351.6</v>
      </c>
      <c r="Z84" s="8">
        <f>RawSalesTable[[#This Row],[Gross_Sales]]*RawSalesTable[[#This Row],[Discount_Pct]]</f>
        <v>0</v>
      </c>
      <c r="AA84" s="8">
        <f>RawSalesTable[[#This Row],[Gross_Sales]]-RawSalesTable[[#This Row],[Discount_Amount]]</f>
        <v>351.6</v>
      </c>
      <c r="AB84" s="8">
        <f>RawSalesTable[[#This Row],[Unit_Cost]]*RawSalesTable[[#This Row],[Quantity]]</f>
        <v>152.88</v>
      </c>
      <c r="AC84" s="8">
        <f>RawSalesTable[[#This Row],[Net_Sales]]-RawSalesTable[[#This Row],[Total_Cost]]</f>
        <v>198.72000000000003</v>
      </c>
      <c r="AD84" s="9">
        <f>RawSalesTable[[#This Row],[Profit]]/RawSalesTable[[#This Row],[Net_Sales]]</f>
        <v>0.56518771331058026</v>
      </c>
      <c r="AE84" s="8">
        <f>IF(RawSalesTable[[#This Row],[Return_Status]]="Yes",1,0)</f>
        <v>0</v>
      </c>
      <c r="AF84" s="8">
        <f>YEAR(RawSalesTable[[#This Row],[Order_Date]])</f>
        <v>2025</v>
      </c>
      <c r="AG84" s="8">
        <f>MONTH(RawSalesTable[[#This Row],[Order_Date]])</f>
        <v>11</v>
      </c>
      <c r="AH84" s="8" t="str">
        <f>TEXT(RawSalesTable[[#This Row],[Order_Date]],"mmmm")</f>
        <v>novembre</v>
      </c>
      <c r="AI84" s="8" t="str">
        <f>IF(RawSalesTable[[#This Row],[Month_Number]]&lt;=3,"Q1",IF(RawSalesTable[[#This Row],[Month_Number]]&lt;=6,"Q2",IF(RawSalesTable[[#This Row],[Month_Number]]&lt;=9,"Q3","Q4")))</f>
        <v>Q4</v>
      </c>
      <c r="AJ84" s="13">
        <f>DATE(YEAR(RawSalesTable[[#This Row],[Order_Date]]),MONTH(RawSalesTable[[#This Row],[Order_Date]]),1)</f>
        <v>45962</v>
      </c>
      <c r="AK84" s="8" t="str">
        <f>VLOOKUP(RawSalesTable[[#This Row],[Customer_ID_clean]],CustomersTable[],4,FALSE)</f>
        <v>Manitoba</v>
      </c>
    </row>
    <row r="85" spans="1:37">
      <c r="A85" t="s">
        <v>325</v>
      </c>
      <c r="B85" s="3">
        <v>45712</v>
      </c>
      <c r="C85" t="s">
        <v>326</v>
      </c>
      <c r="D85" t="s">
        <v>221</v>
      </c>
      <c r="E85" t="s">
        <v>327</v>
      </c>
      <c r="F85" t="s">
        <v>103</v>
      </c>
      <c r="G85" t="s">
        <v>171</v>
      </c>
      <c r="H85" t="s">
        <v>89</v>
      </c>
      <c r="I85">
        <v>1</v>
      </c>
      <c r="J85" s="2">
        <v>31.95</v>
      </c>
      <c r="K85" s="4">
        <v>0</v>
      </c>
      <c r="L85" t="s">
        <v>106</v>
      </c>
      <c r="M85">
        <v>9</v>
      </c>
      <c r="N85" t="s">
        <v>91</v>
      </c>
      <c r="O85" t="str">
        <f>SUBSTITUTE(PROPER(TRIM(RawSalesTable[[#This Row],[Channel_Raw]])), "Market Place", "Marketplace")</f>
        <v>Online</v>
      </c>
      <c r="P85" t="str">
        <f>TRIM(RawSalesTable[[#This Row],[Store_Raw]])</f>
        <v>Vancouver West</v>
      </c>
      <c r="Q85" t="str">
        <f>IF(TRIM(RawSalesTable[[#This Row],[Payment_Method_Raw]])="","Non renseigné",SUBSTITUTE(TRIM(RawSalesTable[[#This Row],[Payment_Method_Raw]]),"CC","Credit Card"))</f>
        <v>Credit Card</v>
      </c>
      <c r="R85" s="8" t="str">
        <f>UPPER(PROPER(RawSalesTable[[#This Row],[Customer_ID]]))</f>
        <v>C0092</v>
      </c>
      <c r="S85" s="8" t="str">
        <f>TRIM(LEFT(RawSalesTable[[#This Row],[Customer_Info]],FIND(",",RawSalesTable[[#This Row],[Customer_Info]]) -1))</f>
        <v>Lucas Tremblay</v>
      </c>
      <c r="T85" s="8" t="str">
        <f>TRIM(MID(RawSalesTable[[#This Row],[Customer_Info]],FIND(",",RawSalesTable[[#This Row],[Customer_Info]])+1,FIND(",",RawSalesTable[[#This Row],[Customer_Info]],FIND(",",RawSalesTable[[#This Row],[Customer_Info]])+1)-FIND(",",RawSalesTable[[#This Row],[Customer_Info]])-1))</f>
        <v>Saskatoon</v>
      </c>
      <c r="U85" s="8" t="str">
        <f>TRIM(RIGHT(RawSalesTable[[#This Row],[Customer_Info]], LEN(RawSalesTable[[#This Row],[Customer_Info]])-FIND(",",RawSalesTable[[#This Row],[Customer_Info]],FIND(",",RawSalesTable[[#This Row],[Customer_Info]])+1)))</f>
        <v>Consumer</v>
      </c>
      <c r="V85" s="8" t="str">
        <f>VLOOKUP(RawSalesTable[[#This Row],[Product_ID]],ProductsTable[],2,FALSE)</f>
        <v>Air Fryer</v>
      </c>
      <c r="W85" s="8" t="str">
        <f>VLOOKUP(RawSalesTable[[#This Row],[Product_ID]],ProductsTable[],3,FALSE)</f>
        <v>Home</v>
      </c>
      <c r="X85" s="8">
        <f>VLOOKUP(RawSalesTable[[#This Row],[Product_ID]],ProductsTable[],5,FALSE)</f>
        <v>14.58</v>
      </c>
      <c r="Y85" s="8">
        <f>RawSalesTable[[#This Row],[Quantity]]*RawSalesTable[[#This Row],[Unit_Price]]</f>
        <v>31.95</v>
      </c>
      <c r="Z85" s="8">
        <f>RawSalesTable[[#This Row],[Gross_Sales]]*RawSalesTable[[#This Row],[Discount_Pct]]</f>
        <v>0</v>
      </c>
      <c r="AA85" s="8">
        <f>RawSalesTable[[#This Row],[Gross_Sales]]-RawSalesTable[[#This Row],[Discount_Amount]]</f>
        <v>31.95</v>
      </c>
      <c r="AB85" s="8">
        <f>RawSalesTable[[#This Row],[Unit_Cost]]*RawSalesTable[[#This Row],[Quantity]]</f>
        <v>14.58</v>
      </c>
      <c r="AC85" s="8">
        <f>RawSalesTable[[#This Row],[Net_Sales]]-RawSalesTable[[#This Row],[Total_Cost]]</f>
        <v>17.369999999999997</v>
      </c>
      <c r="AD85" s="9">
        <f>RawSalesTable[[#This Row],[Profit]]/RawSalesTable[[#This Row],[Net_Sales]]</f>
        <v>0.54366197183098586</v>
      </c>
      <c r="AE85" s="8">
        <f>IF(RawSalesTable[[#This Row],[Return_Status]]="Yes",1,0)</f>
        <v>0</v>
      </c>
      <c r="AF85" s="8">
        <f>YEAR(RawSalesTable[[#This Row],[Order_Date]])</f>
        <v>2025</v>
      </c>
      <c r="AG85" s="8">
        <f>MONTH(RawSalesTable[[#This Row],[Order_Date]])</f>
        <v>2</v>
      </c>
      <c r="AH85" s="8" t="str">
        <f>TEXT(RawSalesTable[[#This Row],[Order_Date]],"mmmm")</f>
        <v>février</v>
      </c>
      <c r="AI85" s="8" t="str">
        <f>IF(RawSalesTable[[#This Row],[Month_Number]]&lt;=3,"Q1",IF(RawSalesTable[[#This Row],[Month_Number]]&lt;=6,"Q2",IF(RawSalesTable[[#This Row],[Month_Number]]&lt;=9,"Q3","Q4")))</f>
        <v>Q1</v>
      </c>
      <c r="AJ85" s="13">
        <f>DATE(YEAR(RawSalesTable[[#This Row],[Order_Date]]),MONTH(RawSalesTable[[#This Row],[Order_Date]]),1)</f>
        <v>45689</v>
      </c>
      <c r="AK85" s="8" t="str">
        <f>VLOOKUP(RawSalesTable[[#This Row],[Customer_ID_clean]],CustomersTable[],4,FALSE)</f>
        <v>Saskatchewan</v>
      </c>
    </row>
    <row r="86" spans="1:37">
      <c r="A86" t="s">
        <v>328</v>
      </c>
      <c r="B86" s="3">
        <v>45672</v>
      </c>
      <c r="C86" t="s">
        <v>230</v>
      </c>
      <c r="D86" t="s">
        <v>136</v>
      </c>
      <c r="E86" t="s">
        <v>232</v>
      </c>
      <c r="F86" t="s">
        <v>116</v>
      </c>
      <c r="G86" t="s">
        <v>88</v>
      </c>
      <c r="H86" t="s">
        <v>89</v>
      </c>
      <c r="I86">
        <v>1</v>
      </c>
      <c r="J86" s="2">
        <v>152.32</v>
      </c>
      <c r="K86" s="4">
        <v>0.1</v>
      </c>
      <c r="L86" t="s">
        <v>90</v>
      </c>
      <c r="M86">
        <v>5</v>
      </c>
      <c r="N86" t="s">
        <v>91</v>
      </c>
      <c r="O86" t="str">
        <f>SUBSTITUTE(PROPER(TRIM(RawSalesTable[[#This Row],[Channel_Raw]])), "Market Place", "Marketplace")</f>
        <v>Online</v>
      </c>
      <c r="P86" t="str">
        <f>TRIM(RawSalesTable[[#This Row],[Store_Raw]])</f>
        <v>Toronto Downtown</v>
      </c>
      <c r="Q86" t="str">
        <f>IF(TRIM(RawSalesTable[[#This Row],[Payment_Method_Raw]])="","Non renseigné",SUBSTITUTE(TRIM(RawSalesTable[[#This Row],[Payment_Method_Raw]]),"CC","Credit Card"))</f>
        <v>PayPal</v>
      </c>
      <c r="R86" s="8" t="str">
        <f>UPPER(PROPER(RawSalesTable[[#This Row],[Customer_ID]]))</f>
        <v>C0063</v>
      </c>
      <c r="S86" s="8" t="str">
        <f>TRIM(LEFT(RawSalesTable[[#This Row],[Customer_Info]],FIND(",",RawSalesTable[[#This Row],[Customer_Info]]) -1))</f>
        <v>Adam Singh</v>
      </c>
      <c r="T86" s="8" t="str">
        <f>TRIM(MID(RawSalesTable[[#This Row],[Customer_Info]],FIND(",",RawSalesTable[[#This Row],[Customer_Info]])+1,FIND(",",RawSalesTable[[#This Row],[Customer_Info]],FIND(",",RawSalesTable[[#This Row],[Customer_Info]])+1)-FIND(",",RawSalesTable[[#This Row],[Customer_Info]])-1))</f>
        <v>Laval</v>
      </c>
      <c r="U86" s="8" t="str">
        <f>TRIM(RIGHT(RawSalesTable[[#This Row],[Customer_Info]], LEN(RawSalesTable[[#This Row],[Customer_Info]])-FIND(",",RawSalesTable[[#This Row],[Customer_Info]],FIND(",",RawSalesTable[[#This Row],[Customer_Info]])+1)))</f>
        <v>Small Business</v>
      </c>
      <c r="V86" s="8" t="str">
        <f>VLOOKUP(RawSalesTable[[#This Row],[Product_ID]],ProductsTable[],2,FALSE)</f>
        <v>Mouse</v>
      </c>
      <c r="W86" s="8" t="str">
        <f>VLOOKUP(RawSalesTable[[#This Row],[Product_ID]],ProductsTable[],3,FALSE)</f>
        <v>Electronics</v>
      </c>
      <c r="X86" s="8">
        <f>VLOOKUP(RawSalesTable[[#This Row],[Product_ID]],ProductsTable[],5,FALSE)</f>
        <v>106.4</v>
      </c>
      <c r="Y86" s="8">
        <f>RawSalesTable[[#This Row],[Quantity]]*RawSalesTable[[#This Row],[Unit_Price]]</f>
        <v>152.32</v>
      </c>
      <c r="Z86" s="8">
        <f>RawSalesTable[[#This Row],[Gross_Sales]]*RawSalesTable[[#This Row],[Discount_Pct]]</f>
        <v>15.231999999999999</v>
      </c>
      <c r="AA86" s="8">
        <f>RawSalesTable[[#This Row],[Gross_Sales]]-RawSalesTable[[#This Row],[Discount_Amount]]</f>
        <v>137.08799999999999</v>
      </c>
      <c r="AB86" s="8">
        <f>RawSalesTable[[#This Row],[Unit_Cost]]*RawSalesTable[[#This Row],[Quantity]]</f>
        <v>106.4</v>
      </c>
      <c r="AC86" s="8">
        <f>RawSalesTable[[#This Row],[Net_Sales]]-RawSalesTable[[#This Row],[Total_Cost]]</f>
        <v>30.687999999999988</v>
      </c>
      <c r="AD86" s="9">
        <f>RawSalesTable[[#This Row],[Profit]]/RawSalesTable[[#This Row],[Net_Sales]]</f>
        <v>0.22385620915032672</v>
      </c>
      <c r="AE86" s="8">
        <f>IF(RawSalesTable[[#This Row],[Return_Status]]="Yes",1,0)</f>
        <v>0</v>
      </c>
      <c r="AF86" s="8">
        <f>YEAR(RawSalesTable[[#This Row],[Order_Date]])</f>
        <v>2025</v>
      </c>
      <c r="AG86" s="8">
        <f>MONTH(RawSalesTable[[#This Row],[Order_Date]])</f>
        <v>1</v>
      </c>
      <c r="AH86" s="8" t="str">
        <f>TEXT(RawSalesTable[[#This Row],[Order_Date]],"mmmm")</f>
        <v>janvier</v>
      </c>
      <c r="AI86" s="8" t="str">
        <f>IF(RawSalesTable[[#This Row],[Month_Number]]&lt;=3,"Q1",IF(RawSalesTable[[#This Row],[Month_Number]]&lt;=6,"Q2",IF(RawSalesTable[[#This Row],[Month_Number]]&lt;=9,"Q3","Q4")))</f>
        <v>Q1</v>
      </c>
      <c r="AJ86" s="13">
        <f>DATE(YEAR(RawSalesTable[[#This Row],[Order_Date]]),MONTH(RawSalesTable[[#This Row],[Order_Date]]),1)</f>
        <v>45658</v>
      </c>
      <c r="AK86" s="8" t="str">
        <f>VLOOKUP(RawSalesTable[[#This Row],[Customer_ID_clean]],CustomersTable[],4,FALSE)</f>
        <v>Quebec</v>
      </c>
    </row>
    <row r="87" spans="1:37">
      <c r="A87" t="s">
        <v>329</v>
      </c>
      <c r="B87" s="3">
        <v>45692</v>
      </c>
      <c r="C87" t="s">
        <v>330</v>
      </c>
      <c r="D87" t="s">
        <v>231</v>
      </c>
      <c r="E87" t="s">
        <v>331</v>
      </c>
      <c r="F87" t="s">
        <v>187</v>
      </c>
      <c r="G87" t="s">
        <v>104</v>
      </c>
      <c r="H87" t="s">
        <v>97</v>
      </c>
      <c r="I87">
        <v>2</v>
      </c>
      <c r="J87" s="2">
        <v>367.26</v>
      </c>
      <c r="K87" s="4">
        <v>0.2</v>
      </c>
      <c r="L87" t="s">
        <v>106</v>
      </c>
      <c r="M87">
        <v>0</v>
      </c>
      <c r="N87" t="s">
        <v>91</v>
      </c>
      <c r="O87" t="str">
        <f>SUBSTITUTE(PROPER(TRIM(RawSalesTable[[#This Row],[Channel_Raw]])), "Market Place", "Marketplace")</f>
        <v>Retail Store</v>
      </c>
      <c r="P87" t="str">
        <f>TRIM(RawSalesTable[[#This Row],[Store_Raw]])</f>
        <v>Vancouver West</v>
      </c>
      <c r="Q87" t="str">
        <f>IF(TRIM(RawSalesTable[[#This Row],[Payment_Method_Raw]])="","Non renseigné",SUBSTITUTE(TRIM(RawSalesTable[[#This Row],[Payment_Method_Raw]]),"CC","Credit Card"))</f>
        <v>Credit Card</v>
      </c>
      <c r="R87" s="8" t="str">
        <f>UPPER(PROPER(RawSalesTable[[#This Row],[Customer_ID]]))</f>
        <v>C0108</v>
      </c>
      <c r="S87" s="8" t="str">
        <f>TRIM(LEFT(RawSalesTable[[#This Row],[Customer_Info]],FIND(",",RawSalesTable[[#This Row],[Customer_Info]]) -1))</f>
        <v>Noah Lee</v>
      </c>
      <c r="T87" s="8" t="str">
        <f>TRIM(MID(RawSalesTable[[#This Row],[Customer_Info]],FIND(",",RawSalesTable[[#This Row],[Customer_Info]])+1,FIND(",",RawSalesTable[[#This Row],[Customer_Info]],FIND(",",RawSalesTable[[#This Row],[Customer_Info]])+1)-FIND(",",RawSalesTable[[#This Row],[Customer_Info]])-1))</f>
        <v>Surrey</v>
      </c>
      <c r="U87" s="8" t="str">
        <f>TRIM(RIGHT(RawSalesTable[[#This Row],[Customer_Info]], LEN(RawSalesTable[[#This Row],[Customer_Info]])-FIND(",",RawSalesTable[[#This Row],[Customer_Info]],FIND(",",RawSalesTable[[#This Row],[Customer_Info]])+1)))</f>
        <v>Consumer</v>
      </c>
      <c r="V87" s="8" t="str">
        <f>VLOOKUP(RawSalesTable[[#This Row],[Product_ID]],ProductsTable[],2,FALSE)</f>
        <v>Cable Set</v>
      </c>
      <c r="W87" s="8" t="str">
        <f>VLOOKUP(RawSalesTable[[#This Row],[Product_ID]],ProductsTable[],3,FALSE)</f>
        <v>Accessories</v>
      </c>
      <c r="X87" s="8">
        <f>VLOOKUP(RawSalesTable[[#This Row],[Product_ID]],ProductsTable[],5,FALSE)</f>
        <v>200.16</v>
      </c>
      <c r="Y87" s="8">
        <f>RawSalesTable[[#This Row],[Quantity]]*RawSalesTable[[#This Row],[Unit_Price]]</f>
        <v>734.52</v>
      </c>
      <c r="Z87" s="8">
        <f>RawSalesTable[[#This Row],[Gross_Sales]]*RawSalesTable[[#This Row],[Discount_Pct]]</f>
        <v>146.904</v>
      </c>
      <c r="AA87" s="8">
        <f>RawSalesTable[[#This Row],[Gross_Sales]]-RawSalesTable[[#This Row],[Discount_Amount]]</f>
        <v>587.61599999999999</v>
      </c>
      <c r="AB87" s="8">
        <f>RawSalesTable[[#This Row],[Unit_Cost]]*RawSalesTable[[#This Row],[Quantity]]</f>
        <v>400.32</v>
      </c>
      <c r="AC87" s="8">
        <f>RawSalesTable[[#This Row],[Net_Sales]]-RawSalesTable[[#This Row],[Total_Cost]]</f>
        <v>187.29599999999999</v>
      </c>
      <c r="AD87" s="9">
        <f>RawSalesTable[[#This Row],[Profit]]/RawSalesTable[[#This Row],[Net_Sales]]</f>
        <v>0.3187387681751348</v>
      </c>
      <c r="AE87" s="8">
        <f>IF(RawSalesTable[[#This Row],[Return_Status]]="Yes",1,0)</f>
        <v>0</v>
      </c>
      <c r="AF87" s="8">
        <f>YEAR(RawSalesTable[[#This Row],[Order_Date]])</f>
        <v>2025</v>
      </c>
      <c r="AG87" s="8">
        <f>MONTH(RawSalesTable[[#This Row],[Order_Date]])</f>
        <v>2</v>
      </c>
      <c r="AH87" s="8" t="str">
        <f>TEXT(RawSalesTable[[#This Row],[Order_Date]],"mmmm")</f>
        <v>février</v>
      </c>
      <c r="AI87" s="8" t="str">
        <f>IF(RawSalesTable[[#This Row],[Month_Number]]&lt;=3,"Q1",IF(RawSalesTable[[#This Row],[Month_Number]]&lt;=6,"Q2",IF(RawSalesTable[[#This Row],[Month_Number]]&lt;=9,"Q3","Q4")))</f>
        <v>Q1</v>
      </c>
      <c r="AJ87" s="13">
        <f>DATE(YEAR(RawSalesTable[[#This Row],[Order_Date]]),MONTH(RawSalesTable[[#This Row],[Order_Date]]),1)</f>
        <v>45689</v>
      </c>
      <c r="AK87" s="8" t="str">
        <f>VLOOKUP(RawSalesTable[[#This Row],[Customer_ID_clean]],CustomersTable[],4,FALSE)</f>
        <v>British Columbia</v>
      </c>
    </row>
    <row r="88" spans="1:37">
      <c r="A88" t="s">
        <v>332</v>
      </c>
      <c r="B88" s="3">
        <v>45706</v>
      </c>
      <c r="C88" t="s">
        <v>160</v>
      </c>
      <c r="D88" t="s">
        <v>226</v>
      </c>
      <c r="E88" t="s">
        <v>161</v>
      </c>
      <c r="F88" t="s">
        <v>116</v>
      </c>
      <c r="G88" t="s">
        <v>96</v>
      </c>
      <c r="H88" t="s">
        <v>89</v>
      </c>
      <c r="I88">
        <v>2</v>
      </c>
      <c r="J88" s="2">
        <v>221.42</v>
      </c>
      <c r="K88" s="4">
        <v>0</v>
      </c>
      <c r="L88" t="s">
        <v>106</v>
      </c>
      <c r="M88">
        <v>8</v>
      </c>
      <c r="N88" t="s">
        <v>147</v>
      </c>
      <c r="O88" t="str">
        <f>SUBSTITUTE(PROPER(TRIM(RawSalesTable[[#This Row],[Channel_Raw]])), "Market Place", "Marketplace")</f>
        <v>Online</v>
      </c>
      <c r="P88" t="str">
        <f>TRIM(RawSalesTable[[#This Row],[Store_Raw]])</f>
        <v>Toronto Downtown</v>
      </c>
      <c r="Q88" t="str">
        <f>IF(TRIM(RawSalesTable[[#This Row],[Payment_Method_Raw]])="","Non renseigné",SUBSTITUTE(TRIM(RawSalesTable[[#This Row],[Payment_Method_Raw]]),"CC","Credit Card"))</f>
        <v>Credit Card</v>
      </c>
      <c r="R88" s="8" t="str">
        <f>UPPER(PROPER(RawSalesTable[[#This Row],[Customer_ID]]))</f>
        <v>C0073</v>
      </c>
      <c r="S88" s="8" t="str">
        <f>TRIM(LEFT(RawSalesTable[[#This Row],[Customer_Info]],FIND(",",RawSalesTable[[#This Row],[Customer_Info]]) -1))</f>
        <v>Olivia Singh</v>
      </c>
      <c r="T88" s="8" t="str">
        <f>TRIM(MID(RawSalesTable[[#This Row],[Customer_Info]],FIND(",",RawSalesTable[[#This Row],[Customer_Info]])+1,FIND(",",RawSalesTable[[#This Row],[Customer_Info]],FIND(",",RawSalesTable[[#This Row],[Customer_Info]])+1)-FIND(",",RawSalesTable[[#This Row],[Customer_Info]])-1))</f>
        <v>Mississauga</v>
      </c>
      <c r="U88" s="8" t="str">
        <f>TRIM(RIGHT(RawSalesTable[[#This Row],[Customer_Info]], LEN(RawSalesTable[[#This Row],[Customer_Info]])-FIND(",",RawSalesTable[[#This Row],[Customer_Info]],FIND(",",RawSalesTable[[#This Row],[Customer_Info]])+1)))</f>
        <v>Consumer</v>
      </c>
      <c r="V88" s="8" t="str">
        <f>VLOOKUP(RawSalesTable[[#This Row],[Product_ID]],ProductsTable[],2,FALSE)</f>
        <v>Desk Lamp</v>
      </c>
      <c r="W88" s="8" t="str">
        <f>VLOOKUP(RawSalesTable[[#This Row],[Product_ID]],ProductsTable[],3,FALSE)</f>
        <v>Office</v>
      </c>
      <c r="X88" s="8">
        <f>VLOOKUP(RawSalesTable[[#This Row],[Product_ID]],ProductsTable[],5,FALSE)</f>
        <v>127.21</v>
      </c>
      <c r="Y88" s="8">
        <f>RawSalesTable[[#This Row],[Quantity]]*RawSalesTable[[#This Row],[Unit_Price]]</f>
        <v>442.84</v>
      </c>
      <c r="Z88" s="8">
        <f>RawSalesTable[[#This Row],[Gross_Sales]]*RawSalesTable[[#This Row],[Discount_Pct]]</f>
        <v>0</v>
      </c>
      <c r="AA88" s="8">
        <f>RawSalesTable[[#This Row],[Gross_Sales]]-RawSalesTable[[#This Row],[Discount_Amount]]</f>
        <v>442.84</v>
      </c>
      <c r="AB88" s="8">
        <f>RawSalesTable[[#This Row],[Unit_Cost]]*RawSalesTable[[#This Row],[Quantity]]</f>
        <v>254.42</v>
      </c>
      <c r="AC88" s="8">
        <f>RawSalesTable[[#This Row],[Net_Sales]]-RawSalesTable[[#This Row],[Total_Cost]]</f>
        <v>188.42</v>
      </c>
      <c r="AD88" s="9">
        <f>RawSalesTable[[#This Row],[Profit]]/RawSalesTable[[#This Row],[Net_Sales]]</f>
        <v>0.42548098636076237</v>
      </c>
      <c r="AE88" s="8">
        <f>IF(RawSalesTable[[#This Row],[Return_Status]]="Yes",1,0)</f>
        <v>1</v>
      </c>
      <c r="AF88" s="8">
        <f>YEAR(RawSalesTable[[#This Row],[Order_Date]])</f>
        <v>2025</v>
      </c>
      <c r="AG88" s="8">
        <f>MONTH(RawSalesTable[[#This Row],[Order_Date]])</f>
        <v>2</v>
      </c>
      <c r="AH88" s="8" t="str">
        <f>TEXT(RawSalesTable[[#This Row],[Order_Date]],"mmmm")</f>
        <v>février</v>
      </c>
      <c r="AI88" s="8" t="str">
        <f>IF(RawSalesTable[[#This Row],[Month_Number]]&lt;=3,"Q1",IF(RawSalesTable[[#This Row],[Month_Number]]&lt;=6,"Q2",IF(RawSalesTable[[#This Row],[Month_Number]]&lt;=9,"Q3","Q4")))</f>
        <v>Q1</v>
      </c>
      <c r="AJ88" s="13">
        <f>DATE(YEAR(RawSalesTable[[#This Row],[Order_Date]]),MONTH(RawSalesTable[[#This Row],[Order_Date]]),1)</f>
        <v>45689</v>
      </c>
      <c r="AK88" s="8" t="str">
        <f>VLOOKUP(RawSalesTable[[#This Row],[Customer_ID_clean]],CustomersTable[],4,FALSE)</f>
        <v>Ontario</v>
      </c>
    </row>
    <row r="89" spans="1:37">
      <c r="A89" t="s">
        <v>333</v>
      </c>
      <c r="B89" s="3">
        <v>45963</v>
      </c>
      <c r="C89" t="s">
        <v>180</v>
      </c>
      <c r="D89" t="s">
        <v>125</v>
      </c>
      <c r="E89" t="s">
        <v>182</v>
      </c>
      <c r="F89" t="s">
        <v>145</v>
      </c>
      <c r="G89" t="s">
        <v>104</v>
      </c>
      <c r="H89" t="s">
        <v>89</v>
      </c>
      <c r="I89">
        <v>1</v>
      </c>
      <c r="J89" s="2">
        <v>58.78</v>
      </c>
      <c r="K89" s="4">
        <v>0.05</v>
      </c>
      <c r="L89" t="s">
        <v>106</v>
      </c>
      <c r="M89">
        <v>3</v>
      </c>
      <c r="N89" t="s">
        <v>147</v>
      </c>
      <c r="O89" t="str">
        <f>SUBSTITUTE(PROPER(TRIM(RawSalesTable[[#This Row],[Channel_Raw]])), "Market Place", "Marketplace")</f>
        <v>Online</v>
      </c>
      <c r="P89" t="str">
        <f>TRIM(RawSalesTable[[#This Row],[Store_Raw]])</f>
        <v>Calgary North</v>
      </c>
      <c r="Q89" t="str">
        <f>IF(TRIM(RawSalesTable[[#This Row],[Payment_Method_Raw]])="","Non renseigné",SUBSTITUTE(TRIM(RawSalesTable[[#This Row],[Payment_Method_Raw]]),"CC","Credit Card"))</f>
        <v>Credit Card</v>
      </c>
      <c r="R89" s="8" t="str">
        <f>UPPER(PROPER(RawSalesTable[[#This Row],[Customer_ID]]))</f>
        <v>C0085</v>
      </c>
      <c r="S89" s="8" t="str">
        <f>TRIM(LEFT(RawSalesTable[[#This Row],[Customer_Info]],FIND(",",RawSalesTable[[#This Row],[Customer_Info]]) -1))</f>
        <v>Yasmine Clark</v>
      </c>
      <c r="T89" s="8" t="str">
        <f>TRIM(MID(RawSalesTable[[#This Row],[Customer_Info]],FIND(",",RawSalesTable[[#This Row],[Customer_Info]])+1,FIND(",",RawSalesTable[[#This Row],[Customer_Info]],FIND(",",RawSalesTable[[#This Row],[Customer_Info]])+1)-FIND(",",RawSalesTable[[#This Row],[Customer_Info]])-1))</f>
        <v>Calgary</v>
      </c>
      <c r="U89" s="8" t="str">
        <f>TRIM(RIGHT(RawSalesTable[[#This Row],[Customer_Info]], LEN(RawSalesTable[[#This Row],[Customer_Info]])-FIND(",",RawSalesTable[[#This Row],[Customer_Info]],FIND(",",RawSalesTable[[#This Row],[Customer_Info]])+1)))</f>
        <v>Consumer</v>
      </c>
      <c r="V89" s="8" t="str">
        <f>VLOOKUP(RawSalesTable[[#This Row],[Product_ID]],ProductsTable[],2,FALSE)</f>
        <v>Kettlebell</v>
      </c>
      <c r="W89" s="8" t="str">
        <f>VLOOKUP(RawSalesTable[[#This Row],[Product_ID]],ProductsTable[],3,FALSE)</f>
        <v>Fitness</v>
      </c>
      <c r="X89" s="8">
        <f>VLOOKUP(RawSalesTable[[#This Row],[Product_ID]],ProductsTable[],5,FALSE)</f>
        <v>25.97</v>
      </c>
      <c r="Y89" s="8">
        <f>RawSalesTable[[#This Row],[Quantity]]*RawSalesTable[[#This Row],[Unit_Price]]</f>
        <v>58.78</v>
      </c>
      <c r="Z89" s="8">
        <f>RawSalesTable[[#This Row],[Gross_Sales]]*RawSalesTable[[#This Row],[Discount_Pct]]</f>
        <v>2.9390000000000001</v>
      </c>
      <c r="AA89" s="8">
        <f>RawSalesTable[[#This Row],[Gross_Sales]]-RawSalesTable[[#This Row],[Discount_Amount]]</f>
        <v>55.841000000000001</v>
      </c>
      <c r="AB89" s="8">
        <f>RawSalesTable[[#This Row],[Unit_Cost]]*RawSalesTable[[#This Row],[Quantity]]</f>
        <v>25.97</v>
      </c>
      <c r="AC89" s="8">
        <f>RawSalesTable[[#This Row],[Net_Sales]]-RawSalesTable[[#This Row],[Total_Cost]]</f>
        <v>29.871000000000002</v>
      </c>
      <c r="AD89" s="9">
        <f>RawSalesTable[[#This Row],[Profit]]/RawSalesTable[[#This Row],[Net_Sales]]</f>
        <v>0.53492953206425387</v>
      </c>
      <c r="AE89" s="8">
        <f>IF(RawSalesTable[[#This Row],[Return_Status]]="Yes",1,0)</f>
        <v>1</v>
      </c>
      <c r="AF89" s="8">
        <f>YEAR(RawSalesTable[[#This Row],[Order_Date]])</f>
        <v>2025</v>
      </c>
      <c r="AG89" s="8">
        <f>MONTH(RawSalesTable[[#This Row],[Order_Date]])</f>
        <v>11</v>
      </c>
      <c r="AH89" s="8" t="str">
        <f>TEXT(RawSalesTable[[#This Row],[Order_Date]],"mmmm")</f>
        <v>novembre</v>
      </c>
      <c r="AI89" s="8" t="str">
        <f>IF(RawSalesTable[[#This Row],[Month_Number]]&lt;=3,"Q1",IF(RawSalesTable[[#This Row],[Month_Number]]&lt;=6,"Q2",IF(RawSalesTable[[#This Row],[Month_Number]]&lt;=9,"Q3","Q4")))</f>
        <v>Q4</v>
      </c>
      <c r="AJ89" s="13">
        <f>DATE(YEAR(RawSalesTable[[#This Row],[Order_Date]]),MONTH(RawSalesTable[[#This Row],[Order_Date]]),1)</f>
        <v>45962</v>
      </c>
      <c r="AK89" s="8" t="str">
        <f>VLOOKUP(RawSalesTable[[#This Row],[Customer_ID_clean]],CustomersTable[],4,FALSE)</f>
        <v>Alberta</v>
      </c>
    </row>
    <row r="90" spans="1:37">
      <c r="A90" t="s">
        <v>334</v>
      </c>
      <c r="B90" s="3">
        <v>45671</v>
      </c>
      <c r="C90" t="s">
        <v>335</v>
      </c>
      <c r="D90" t="s">
        <v>94</v>
      </c>
      <c r="E90" t="s">
        <v>336</v>
      </c>
      <c r="F90" t="s">
        <v>111</v>
      </c>
      <c r="G90" t="s">
        <v>96</v>
      </c>
      <c r="H90" t="s">
        <v>89</v>
      </c>
      <c r="I90">
        <v>2</v>
      </c>
      <c r="J90" s="2">
        <v>297</v>
      </c>
      <c r="K90" s="4">
        <v>0.05</v>
      </c>
      <c r="L90" t="s">
        <v>90</v>
      </c>
      <c r="M90">
        <v>3</v>
      </c>
      <c r="N90" t="s">
        <v>91</v>
      </c>
      <c r="O90" t="str">
        <f>SUBSTITUTE(PROPER(TRIM(RawSalesTable[[#This Row],[Channel_Raw]])), "Market Place", "Marketplace")</f>
        <v>Online</v>
      </c>
      <c r="P90" t="str">
        <f>TRIM(RawSalesTable[[#This Row],[Store_Raw]])</f>
        <v>Montreal Central</v>
      </c>
      <c r="Q90" t="str">
        <f>IF(TRIM(RawSalesTable[[#This Row],[Payment_Method_Raw]])="","Non renseigné",SUBSTITUTE(TRIM(RawSalesTable[[#This Row],[Payment_Method_Raw]]),"CC","Credit Card"))</f>
        <v>PayPal</v>
      </c>
      <c r="R90" s="8" t="str">
        <f>UPPER(PROPER(RawSalesTable[[#This Row],[Customer_ID]]))</f>
        <v>C0037</v>
      </c>
      <c r="S90" s="8" t="str">
        <f>TRIM(LEFT(RawSalesTable[[#This Row],[Customer_Info]],FIND(",",RawSalesTable[[#This Row],[Customer_Info]]) -1))</f>
        <v>Lucas Scott</v>
      </c>
      <c r="T90" s="8" t="str">
        <f>TRIM(MID(RawSalesTable[[#This Row],[Customer_Info]],FIND(",",RawSalesTable[[#This Row],[Customer_Info]])+1,FIND(",",RawSalesTable[[#This Row],[Customer_Info]],FIND(",",RawSalesTable[[#This Row],[Customer_Info]])+1)-FIND(",",RawSalesTable[[#This Row],[Customer_Info]])-1))</f>
        <v>Victoria</v>
      </c>
      <c r="U90" s="8" t="str">
        <f>TRIM(RIGHT(RawSalesTable[[#This Row],[Customer_Info]], LEN(RawSalesTable[[#This Row],[Customer_Info]])-FIND(",",RawSalesTable[[#This Row],[Customer_Info]],FIND(",",RawSalesTable[[#This Row],[Customer_Info]])+1)))</f>
        <v>Small Business</v>
      </c>
      <c r="V90" s="8" t="str">
        <f>VLOOKUP(RawSalesTable[[#This Row],[Product_ID]],ProductsTable[],2,FALSE)</f>
        <v>Backpack</v>
      </c>
      <c r="W90" s="8" t="str">
        <f>VLOOKUP(RawSalesTable[[#This Row],[Product_ID]],ProductsTable[],3,FALSE)</f>
        <v>Accessories</v>
      </c>
      <c r="X90" s="8">
        <f>VLOOKUP(RawSalesTable[[#This Row],[Product_ID]],ProductsTable[],5,FALSE)</f>
        <v>152.55000000000001</v>
      </c>
      <c r="Y90" s="8">
        <f>RawSalesTable[[#This Row],[Quantity]]*RawSalesTable[[#This Row],[Unit_Price]]</f>
        <v>594</v>
      </c>
      <c r="Z90" s="8">
        <f>RawSalesTable[[#This Row],[Gross_Sales]]*RawSalesTable[[#This Row],[Discount_Pct]]</f>
        <v>29.700000000000003</v>
      </c>
      <c r="AA90" s="8">
        <f>RawSalesTable[[#This Row],[Gross_Sales]]-RawSalesTable[[#This Row],[Discount_Amount]]</f>
        <v>564.29999999999995</v>
      </c>
      <c r="AB90" s="8">
        <f>RawSalesTable[[#This Row],[Unit_Cost]]*RawSalesTable[[#This Row],[Quantity]]</f>
        <v>305.10000000000002</v>
      </c>
      <c r="AC90" s="8">
        <f>RawSalesTable[[#This Row],[Net_Sales]]-RawSalesTable[[#This Row],[Total_Cost]]</f>
        <v>259.19999999999993</v>
      </c>
      <c r="AD90" s="9">
        <f>RawSalesTable[[#This Row],[Profit]]/RawSalesTable[[#This Row],[Net_Sales]]</f>
        <v>0.45933014354066976</v>
      </c>
      <c r="AE90" s="8">
        <f>IF(RawSalesTable[[#This Row],[Return_Status]]="Yes",1,0)</f>
        <v>0</v>
      </c>
      <c r="AF90" s="8">
        <f>YEAR(RawSalesTable[[#This Row],[Order_Date]])</f>
        <v>2025</v>
      </c>
      <c r="AG90" s="8">
        <f>MONTH(RawSalesTable[[#This Row],[Order_Date]])</f>
        <v>1</v>
      </c>
      <c r="AH90" s="8" t="str">
        <f>TEXT(RawSalesTable[[#This Row],[Order_Date]],"mmmm")</f>
        <v>janvier</v>
      </c>
      <c r="AI90" s="8" t="str">
        <f>IF(RawSalesTable[[#This Row],[Month_Number]]&lt;=3,"Q1",IF(RawSalesTable[[#This Row],[Month_Number]]&lt;=6,"Q2",IF(RawSalesTable[[#This Row],[Month_Number]]&lt;=9,"Q3","Q4")))</f>
        <v>Q1</v>
      </c>
      <c r="AJ90" s="13">
        <f>DATE(YEAR(RawSalesTable[[#This Row],[Order_Date]]),MONTH(RawSalesTable[[#This Row],[Order_Date]]),1)</f>
        <v>45658</v>
      </c>
      <c r="AK90" s="8" t="str">
        <f>VLOOKUP(RawSalesTable[[#This Row],[Customer_ID_clean]],CustomersTable[],4,FALSE)</f>
        <v>British Columbia</v>
      </c>
    </row>
    <row r="91" spans="1:37">
      <c r="A91" t="s">
        <v>337</v>
      </c>
      <c r="B91" s="3">
        <v>45929</v>
      </c>
      <c r="C91" t="s">
        <v>338</v>
      </c>
      <c r="D91" t="s">
        <v>217</v>
      </c>
      <c r="E91" t="s">
        <v>339</v>
      </c>
      <c r="F91" t="s">
        <v>111</v>
      </c>
      <c r="G91" t="s">
        <v>130</v>
      </c>
      <c r="H91" t="s">
        <v>233</v>
      </c>
      <c r="I91">
        <v>2</v>
      </c>
      <c r="J91" s="2">
        <v>101.43</v>
      </c>
      <c r="K91" s="4">
        <v>0.15</v>
      </c>
      <c r="L91" t="s">
        <v>98</v>
      </c>
      <c r="M91">
        <v>4</v>
      </c>
      <c r="N91" t="s">
        <v>91</v>
      </c>
      <c r="O91" t="str">
        <f>SUBSTITUTE(PROPER(TRIM(RawSalesTable[[#This Row],[Channel_Raw]])), "Market Place", "Marketplace")</f>
        <v>Retail Store</v>
      </c>
      <c r="P91" t="str">
        <f>TRIM(RawSalesTable[[#This Row],[Store_Raw]])</f>
        <v>Montreal Central</v>
      </c>
      <c r="Q91" t="str">
        <f>IF(TRIM(RawSalesTable[[#This Row],[Payment_Method_Raw]])="","Non renseigné",SUBSTITUTE(TRIM(RawSalesTable[[#This Row],[Payment_Method_Raw]]),"CC","Credit Card"))</f>
        <v>Debit Card</v>
      </c>
      <c r="R91" s="8" t="str">
        <f>UPPER(PROPER(RawSalesTable[[#This Row],[Customer_ID]]))</f>
        <v>C0047</v>
      </c>
      <c r="S91" s="8" t="str">
        <f>TRIM(LEFT(RawSalesTable[[#This Row],[Customer_Info]],FIND(",",RawSalesTable[[#This Row],[Customer_Info]]) -1))</f>
        <v>Amine King</v>
      </c>
      <c r="T91" s="8" t="str">
        <f>TRIM(MID(RawSalesTable[[#This Row],[Customer_Info]],FIND(",",RawSalesTable[[#This Row],[Customer_Info]])+1,FIND(",",RawSalesTable[[#This Row],[Customer_Info]],FIND(",",RawSalesTable[[#This Row],[Customer_Info]])+1)-FIND(",",RawSalesTable[[#This Row],[Customer_Info]])-1))</f>
        <v>Victoria</v>
      </c>
      <c r="U91" s="8" t="str">
        <f>TRIM(RIGHT(RawSalesTable[[#This Row],[Customer_Info]], LEN(RawSalesTable[[#This Row],[Customer_Info]])-FIND(",",RawSalesTable[[#This Row],[Customer_Info]],FIND(",",RawSalesTable[[#This Row],[Customer_Info]])+1)))</f>
        <v>Consumer</v>
      </c>
      <c r="V91" s="8" t="str">
        <f>VLOOKUP(RawSalesTable[[#This Row],[Product_ID]],ProductsTable[],2,FALSE)</f>
        <v>USB-C Hub</v>
      </c>
      <c r="W91" s="8" t="str">
        <f>VLOOKUP(RawSalesTable[[#This Row],[Product_ID]],ProductsTable[],3,FALSE)</f>
        <v>Electronics</v>
      </c>
      <c r="X91" s="8">
        <f>VLOOKUP(RawSalesTable[[#This Row],[Product_ID]],ProductsTable[],5,FALSE)</f>
        <v>72</v>
      </c>
      <c r="Y91" s="8">
        <f>RawSalesTable[[#This Row],[Quantity]]*RawSalesTable[[#This Row],[Unit_Price]]</f>
        <v>202.86</v>
      </c>
      <c r="Z91" s="8">
        <f>RawSalesTable[[#This Row],[Gross_Sales]]*RawSalesTable[[#This Row],[Discount_Pct]]</f>
        <v>30.429000000000002</v>
      </c>
      <c r="AA91" s="8">
        <f>RawSalesTable[[#This Row],[Gross_Sales]]-RawSalesTable[[#This Row],[Discount_Amount]]</f>
        <v>172.43100000000001</v>
      </c>
      <c r="AB91" s="8">
        <f>RawSalesTable[[#This Row],[Unit_Cost]]*RawSalesTable[[#This Row],[Quantity]]</f>
        <v>144</v>
      </c>
      <c r="AC91" s="8">
        <f>RawSalesTable[[#This Row],[Net_Sales]]-RawSalesTable[[#This Row],[Total_Cost]]</f>
        <v>28.431000000000012</v>
      </c>
      <c r="AD91" s="9">
        <f>RawSalesTable[[#This Row],[Profit]]/RawSalesTable[[#This Row],[Net_Sales]]</f>
        <v>0.16488334464220478</v>
      </c>
      <c r="AE91" s="8">
        <f>IF(RawSalesTable[[#This Row],[Return_Status]]="Yes",1,0)</f>
        <v>0</v>
      </c>
      <c r="AF91" s="8">
        <f>YEAR(RawSalesTable[[#This Row],[Order_Date]])</f>
        <v>2025</v>
      </c>
      <c r="AG91" s="8">
        <f>MONTH(RawSalesTable[[#This Row],[Order_Date]])</f>
        <v>9</v>
      </c>
      <c r="AH91" s="8" t="str">
        <f>TEXT(RawSalesTable[[#This Row],[Order_Date]],"mmmm")</f>
        <v>septembre</v>
      </c>
      <c r="AI91" s="8" t="str">
        <f>IF(RawSalesTable[[#This Row],[Month_Number]]&lt;=3,"Q1",IF(RawSalesTable[[#This Row],[Month_Number]]&lt;=6,"Q2",IF(RawSalesTable[[#This Row],[Month_Number]]&lt;=9,"Q3","Q4")))</f>
        <v>Q3</v>
      </c>
      <c r="AJ91" s="13">
        <f>DATE(YEAR(RawSalesTable[[#This Row],[Order_Date]]),MONTH(RawSalesTable[[#This Row],[Order_Date]]),1)</f>
        <v>45901</v>
      </c>
      <c r="AK91" s="8" t="str">
        <f>VLOOKUP(RawSalesTable[[#This Row],[Customer_ID_clean]],CustomersTable[],4,FALSE)</f>
        <v>British Columbia</v>
      </c>
    </row>
    <row r="92" spans="1:37">
      <c r="A92" t="s">
        <v>340</v>
      </c>
      <c r="B92" s="3">
        <v>46001</v>
      </c>
      <c r="C92" t="s">
        <v>100</v>
      </c>
      <c r="D92" t="s">
        <v>255</v>
      </c>
      <c r="E92" t="s">
        <v>102</v>
      </c>
      <c r="F92" t="s">
        <v>103</v>
      </c>
      <c r="G92" t="s">
        <v>122</v>
      </c>
      <c r="H92" t="s">
        <v>89</v>
      </c>
      <c r="I92">
        <v>1</v>
      </c>
      <c r="J92" s="2">
        <v>235.55</v>
      </c>
      <c r="K92" s="4">
        <v>0</v>
      </c>
      <c r="L92" t="s">
        <v>98</v>
      </c>
      <c r="M92">
        <v>5</v>
      </c>
      <c r="N92" t="s">
        <v>91</v>
      </c>
      <c r="O92" t="str">
        <f>SUBSTITUTE(PROPER(TRIM(RawSalesTable[[#This Row],[Channel_Raw]])), "Market Place", "Marketplace")</f>
        <v>Online</v>
      </c>
      <c r="P92" t="str">
        <f>TRIM(RawSalesTable[[#This Row],[Store_Raw]])</f>
        <v>Vancouver West</v>
      </c>
      <c r="Q92" t="str">
        <f>IF(TRIM(RawSalesTable[[#This Row],[Payment_Method_Raw]])="","Non renseigné",SUBSTITUTE(TRIM(RawSalesTable[[#This Row],[Payment_Method_Raw]]),"CC","Credit Card"))</f>
        <v>Debit Card</v>
      </c>
      <c r="R92" s="8" t="str">
        <f>UPPER(PROPER(RawSalesTable[[#This Row],[Customer_ID]]))</f>
        <v>C0003</v>
      </c>
      <c r="S92" s="8" t="str">
        <f>TRIM(LEFT(RawSalesTable[[#This Row],[Customer_Info]],FIND(",",RawSalesTable[[#This Row],[Customer_Info]]) -1))</f>
        <v>Amelia Young</v>
      </c>
      <c r="T92" s="8" t="str">
        <f>TRIM(MID(RawSalesTable[[#This Row],[Customer_Info]],FIND(",",RawSalesTable[[#This Row],[Customer_Info]])+1,FIND(",",RawSalesTable[[#This Row],[Customer_Info]],FIND(",",RawSalesTable[[#This Row],[Customer_Info]])+1)-FIND(",",RawSalesTable[[#This Row],[Customer_Info]])-1))</f>
        <v>Ottawa</v>
      </c>
      <c r="U92" s="8" t="str">
        <f>TRIM(RIGHT(RawSalesTable[[#This Row],[Customer_Info]], LEN(RawSalesTable[[#This Row],[Customer_Info]])-FIND(",",RawSalesTable[[#This Row],[Customer_Info]],FIND(",",RawSalesTable[[#This Row],[Customer_Info]])+1)))</f>
        <v>Corporate</v>
      </c>
      <c r="V92" s="8" t="str">
        <f>VLOOKUP(RawSalesTable[[#This Row],[Product_ID]],ProductsTable[],2,FALSE)</f>
        <v>Document Shredder</v>
      </c>
      <c r="W92" s="8" t="str">
        <f>VLOOKUP(RawSalesTable[[#This Row],[Product_ID]],ProductsTable[],3,FALSE)</f>
        <v>Office</v>
      </c>
      <c r="X92" s="8">
        <f>VLOOKUP(RawSalesTable[[#This Row],[Product_ID]],ProductsTable[],5,FALSE)</f>
        <v>117.65</v>
      </c>
      <c r="Y92" s="8">
        <f>RawSalesTable[[#This Row],[Quantity]]*RawSalesTable[[#This Row],[Unit_Price]]</f>
        <v>235.55</v>
      </c>
      <c r="Z92" s="8">
        <f>RawSalesTable[[#This Row],[Gross_Sales]]*RawSalesTable[[#This Row],[Discount_Pct]]</f>
        <v>0</v>
      </c>
      <c r="AA92" s="8">
        <f>RawSalesTable[[#This Row],[Gross_Sales]]-RawSalesTable[[#This Row],[Discount_Amount]]</f>
        <v>235.55</v>
      </c>
      <c r="AB92" s="8">
        <f>RawSalesTable[[#This Row],[Unit_Cost]]*RawSalesTable[[#This Row],[Quantity]]</f>
        <v>117.65</v>
      </c>
      <c r="AC92" s="8">
        <f>RawSalesTable[[#This Row],[Net_Sales]]-RawSalesTable[[#This Row],[Total_Cost]]</f>
        <v>117.9</v>
      </c>
      <c r="AD92" s="9">
        <f>RawSalesTable[[#This Row],[Profit]]/RawSalesTable[[#This Row],[Net_Sales]]</f>
        <v>0.50053067289322861</v>
      </c>
      <c r="AE92" s="8">
        <f>IF(RawSalesTable[[#This Row],[Return_Status]]="Yes",1,0)</f>
        <v>0</v>
      </c>
      <c r="AF92" s="8">
        <f>YEAR(RawSalesTable[[#This Row],[Order_Date]])</f>
        <v>2025</v>
      </c>
      <c r="AG92" s="8">
        <f>MONTH(RawSalesTable[[#This Row],[Order_Date]])</f>
        <v>12</v>
      </c>
      <c r="AH92" s="8" t="str">
        <f>TEXT(RawSalesTable[[#This Row],[Order_Date]],"mmmm")</f>
        <v>décembre</v>
      </c>
      <c r="AI92" s="8" t="str">
        <f>IF(RawSalesTable[[#This Row],[Month_Number]]&lt;=3,"Q1",IF(RawSalesTable[[#This Row],[Month_Number]]&lt;=6,"Q2",IF(RawSalesTable[[#This Row],[Month_Number]]&lt;=9,"Q3","Q4")))</f>
        <v>Q4</v>
      </c>
      <c r="AJ92" s="13">
        <f>DATE(YEAR(RawSalesTable[[#This Row],[Order_Date]]),MONTH(RawSalesTable[[#This Row],[Order_Date]]),1)</f>
        <v>45992</v>
      </c>
      <c r="AK92" s="8" t="str">
        <f>VLOOKUP(RawSalesTable[[#This Row],[Customer_ID_clean]],CustomersTable[],4,FALSE)</f>
        <v>Ontario</v>
      </c>
    </row>
    <row r="93" spans="1:37">
      <c r="A93" t="s">
        <v>341</v>
      </c>
      <c r="B93" s="3">
        <v>45685</v>
      </c>
      <c r="C93" t="s">
        <v>151</v>
      </c>
      <c r="D93" t="s">
        <v>181</v>
      </c>
      <c r="E93" t="s">
        <v>153</v>
      </c>
      <c r="F93" t="s">
        <v>87</v>
      </c>
      <c r="G93" t="s">
        <v>104</v>
      </c>
      <c r="H93" t="s">
        <v>89</v>
      </c>
      <c r="I93">
        <v>2</v>
      </c>
      <c r="J93" s="2">
        <v>341.19</v>
      </c>
      <c r="K93" s="4">
        <v>0.1</v>
      </c>
      <c r="L93" t="s">
        <v>106</v>
      </c>
      <c r="M93">
        <v>1</v>
      </c>
      <c r="N93" t="s">
        <v>91</v>
      </c>
      <c r="O93" t="str">
        <f>SUBSTITUTE(PROPER(TRIM(RawSalesTable[[#This Row],[Channel_Raw]])), "Market Place", "Marketplace")</f>
        <v>Online</v>
      </c>
      <c r="P93" t="str">
        <f>TRIM(RawSalesTable[[#This Row],[Store_Raw]])</f>
        <v>Online Fulfillment</v>
      </c>
      <c r="Q93" t="str">
        <f>IF(TRIM(RawSalesTable[[#This Row],[Payment_Method_Raw]])="","Non renseigné",SUBSTITUTE(TRIM(RawSalesTable[[#This Row],[Payment_Method_Raw]]),"CC","Credit Card"))</f>
        <v>Credit Card</v>
      </c>
      <c r="R93" s="8" t="str">
        <f>UPPER(PROPER(RawSalesTable[[#This Row],[Customer_ID]]))</f>
        <v>C0014</v>
      </c>
      <c r="S93" s="8" t="str">
        <f>TRIM(LEFT(RawSalesTable[[#This Row],[Customer_Info]],FIND(",",RawSalesTable[[#This Row],[Customer_Info]]) -1))</f>
        <v>Zoe Scott</v>
      </c>
      <c r="T93" s="8" t="str">
        <f>TRIM(MID(RawSalesTable[[#This Row],[Customer_Info]],FIND(",",RawSalesTable[[#This Row],[Customer_Info]])+1,FIND(",",RawSalesTable[[#This Row],[Customer_Info]],FIND(",",RawSalesTable[[#This Row],[Customer_Info]])+1)-FIND(",",RawSalesTable[[#This Row],[Customer_Info]])-1))</f>
        <v>Montreal</v>
      </c>
      <c r="U93" s="8" t="str">
        <f>TRIM(RIGHT(RawSalesTable[[#This Row],[Customer_Info]], LEN(RawSalesTable[[#This Row],[Customer_Info]])-FIND(",",RawSalesTable[[#This Row],[Customer_Info]],FIND(",",RawSalesTable[[#This Row],[Customer_Info]])+1)))</f>
        <v>Small Business</v>
      </c>
      <c r="V93" s="8" t="str">
        <f>VLOOKUP(RawSalesTable[[#This Row],[Product_ID]],ProductsTable[],2,FALSE)</f>
        <v>Monitor</v>
      </c>
      <c r="W93" s="8" t="str">
        <f>VLOOKUP(RawSalesTable[[#This Row],[Product_ID]],ProductsTable[],3,FALSE)</f>
        <v>Electronics</v>
      </c>
      <c r="X93" s="8">
        <f>VLOOKUP(RawSalesTable[[#This Row],[Product_ID]],ProductsTable[],5,FALSE)</f>
        <v>224.47</v>
      </c>
      <c r="Y93" s="8">
        <f>RawSalesTable[[#This Row],[Quantity]]*RawSalesTable[[#This Row],[Unit_Price]]</f>
        <v>682.38</v>
      </c>
      <c r="Z93" s="8">
        <f>RawSalesTable[[#This Row],[Gross_Sales]]*RawSalesTable[[#This Row],[Discount_Pct]]</f>
        <v>68.238</v>
      </c>
      <c r="AA93" s="8">
        <f>RawSalesTable[[#This Row],[Gross_Sales]]-RawSalesTable[[#This Row],[Discount_Amount]]</f>
        <v>614.14200000000005</v>
      </c>
      <c r="AB93" s="8">
        <f>RawSalesTable[[#This Row],[Unit_Cost]]*RawSalesTable[[#This Row],[Quantity]]</f>
        <v>448.94</v>
      </c>
      <c r="AC93" s="8">
        <f>RawSalesTable[[#This Row],[Net_Sales]]-RawSalesTable[[#This Row],[Total_Cost]]</f>
        <v>165.20200000000006</v>
      </c>
      <c r="AD93" s="9">
        <f>RawSalesTable[[#This Row],[Profit]]/RawSalesTable[[#This Row],[Net_Sales]]</f>
        <v>0.26899642102315108</v>
      </c>
      <c r="AE93" s="8">
        <f>IF(RawSalesTable[[#This Row],[Return_Status]]="Yes",1,0)</f>
        <v>0</v>
      </c>
      <c r="AF93" s="8">
        <f>YEAR(RawSalesTable[[#This Row],[Order_Date]])</f>
        <v>2025</v>
      </c>
      <c r="AG93" s="8">
        <f>MONTH(RawSalesTable[[#This Row],[Order_Date]])</f>
        <v>1</v>
      </c>
      <c r="AH93" s="8" t="str">
        <f>TEXT(RawSalesTable[[#This Row],[Order_Date]],"mmmm")</f>
        <v>janvier</v>
      </c>
      <c r="AI93" s="8" t="str">
        <f>IF(RawSalesTable[[#This Row],[Month_Number]]&lt;=3,"Q1",IF(RawSalesTable[[#This Row],[Month_Number]]&lt;=6,"Q2",IF(RawSalesTable[[#This Row],[Month_Number]]&lt;=9,"Q3","Q4")))</f>
        <v>Q1</v>
      </c>
      <c r="AJ93" s="13">
        <f>DATE(YEAR(RawSalesTable[[#This Row],[Order_Date]]),MONTH(RawSalesTable[[#This Row],[Order_Date]]),1)</f>
        <v>45658</v>
      </c>
      <c r="AK93" s="8" t="str">
        <f>VLOOKUP(RawSalesTable[[#This Row],[Customer_ID_clean]],CustomersTable[],4,FALSE)</f>
        <v>Quebec</v>
      </c>
    </row>
    <row r="94" spans="1:37">
      <c r="A94" t="s">
        <v>342</v>
      </c>
      <c r="B94" s="3">
        <v>45867</v>
      </c>
      <c r="C94" t="s">
        <v>343</v>
      </c>
      <c r="D94" t="s">
        <v>303</v>
      </c>
      <c r="E94" t="s">
        <v>344</v>
      </c>
      <c r="F94" t="s">
        <v>145</v>
      </c>
      <c r="G94" t="s">
        <v>88</v>
      </c>
      <c r="H94" t="s">
        <v>97</v>
      </c>
      <c r="I94">
        <v>1</v>
      </c>
      <c r="J94" s="2">
        <v>160.72</v>
      </c>
      <c r="K94" s="4">
        <v>0.2</v>
      </c>
      <c r="L94" t="s">
        <v>98</v>
      </c>
      <c r="M94">
        <v>4</v>
      </c>
      <c r="N94" t="s">
        <v>91</v>
      </c>
      <c r="O94" t="str">
        <f>SUBSTITUTE(PROPER(TRIM(RawSalesTable[[#This Row],[Channel_Raw]])), "Market Place", "Marketplace")</f>
        <v>Retail Store</v>
      </c>
      <c r="P94" t="str">
        <f>TRIM(RawSalesTable[[#This Row],[Store_Raw]])</f>
        <v>Calgary North</v>
      </c>
      <c r="Q94" t="str">
        <f>IF(TRIM(RawSalesTable[[#This Row],[Payment_Method_Raw]])="","Non renseigné",SUBSTITUTE(TRIM(RawSalesTable[[#This Row],[Payment_Method_Raw]]),"CC","Credit Card"))</f>
        <v>Debit Card</v>
      </c>
      <c r="R94" s="8" t="str">
        <f>UPPER(PROPER(RawSalesTable[[#This Row],[Customer_ID]]))</f>
        <v>C0114</v>
      </c>
      <c r="S94" s="8" t="str">
        <f>TRIM(LEFT(RawSalesTable[[#This Row],[Customer_Info]],FIND(",",RawSalesTable[[#This Row],[Customer_Info]]) -1))</f>
        <v>Olivia Johnson</v>
      </c>
      <c r="T94" s="8" t="str">
        <f>TRIM(MID(RawSalesTable[[#This Row],[Customer_Info]],FIND(",",RawSalesTable[[#This Row],[Customer_Info]])+1,FIND(",",RawSalesTable[[#This Row],[Customer_Info]],FIND(",",RawSalesTable[[#This Row],[Customer_Info]])+1)-FIND(",",RawSalesTable[[#This Row],[Customer_Info]])-1))</f>
        <v>Ottawa</v>
      </c>
      <c r="U94" s="8" t="str">
        <f>TRIM(RIGHT(RawSalesTable[[#This Row],[Customer_Info]], LEN(RawSalesTable[[#This Row],[Customer_Info]])-FIND(",",RawSalesTable[[#This Row],[Customer_Info]],FIND(",",RawSalesTable[[#This Row],[Customer_Info]])+1)))</f>
        <v>Consumer</v>
      </c>
      <c r="V94" s="8" t="str">
        <f>VLOOKUP(RawSalesTable[[#This Row],[Product_ID]],ProductsTable[],2,FALSE)</f>
        <v>Power Bank</v>
      </c>
      <c r="W94" s="8" t="str">
        <f>VLOOKUP(RawSalesTable[[#This Row],[Product_ID]],ProductsTable[],3,FALSE)</f>
        <v>Accessories</v>
      </c>
      <c r="X94" s="8">
        <f>VLOOKUP(RawSalesTable[[#This Row],[Product_ID]],ProductsTable[],5,FALSE)</f>
        <v>76.97</v>
      </c>
      <c r="Y94" s="8">
        <f>RawSalesTable[[#This Row],[Quantity]]*RawSalesTable[[#This Row],[Unit_Price]]</f>
        <v>160.72</v>
      </c>
      <c r="Z94" s="8">
        <f>RawSalesTable[[#This Row],[Gross_Sales]]*RawSalesTable[[#This Row],[Discount_Pct]]</f>
        <v>32.143999999999998</v>
      </c>
      <c r="AA94" s="8">
        <f>RawSalesTable[[#This Row],[Gross_Sales]]-RawSalesTable[[#This Row],[Discount_Amount]]</f>
        <v>128.57599999999999</v>
      </c>
      <c r="AB94" s="8">
        <f>RawSalesTable[[#This Row],[Unit_Cost]]*RawSalesTable[[#This Row],[Quantity]]</f>
        <v>76.97</v>
      </c>
      <c r="AC94" s="8">
        <f>RawSalesTable[[#This Row],[Net_Sales]]-RawSalesTable[[#This Row],[Total_Cost]]</f>
        <v>51.605999999999995</v>
      </c>
      <c r="AD94" s="9">
        <f>RawSalesTable[[#This Row],[Profit]]/RawSalesTable[[#This Row],[Net_Sales]]</f>
        <v>0.40136572921851665</v>
      </c>
      <c r="AE94" s="8">
        <f>IF(RawSalesTable[[#This Row],[Return_Status]]="Yes",1,0)</f>
        <v>0</v>
      </c>
      <c r="AF94" s="8">
        <f>YEAR(RawSalesTable[[#This Row],[Order_Date]])</f>
        <v>2025</v>
      </c>
      <c r="AG94" s="8">
        <f>MONTH(RawSalesTable[[#This Row],[Order_Date]])</f>
        <v>7</v>
      </c>
      <c r="AH94" s="8" t="str">
        <f>TEXT(RawSalesTable[[#This Row],[Order_Date]],"mmmm")</f>
        <v>juillet</v>
      </c>
      <c r="AI94" s="8" t="str">
        <f>IF(RawSalesTable[[#This Row],[Month_Number]]&lt;=3,"Q1",IF(RawSalesTable[[#This Row],[Month_Number]]&lt;=6,"Q2",IF(RawSalesTable[[#This Row],[Month_Number]]&lt;=9,"Q3","Q4")))</f>
        <v>Q3</v>
      </c>
      <c r="AJ94" s="13">
        <f>DATE(YEAR(RawSalesTable[[#This Row],[Order_Date]]),MONTH(RawSalesTable[[#This Row],[Order_Date]]),1)</f>
        <v>45839</v>
      </c>
      <c r="AK94" s="8" t="str">
        <f>VLOOKUP(RawSalesTable[[#This Row],[Customer_ID_clean]],CustomersTable[],4,FALSE)</f>
        <v>Ontario</v>
      </c>
    </row>
    <row r="95" spans="1:37">
      <c r="A95" t="s">
        <v>345</v>
      </c>
      <c r="B95" s="3">
        <v>45737</v>
      </c>
      <c r="C95" t="s">
        <v>100</v>
      </c>
      <c r="D95" t="s">
        <v>346</v>
      </c>
      <c r="E95" t="s">
        <v>102</v>
      </c>
      <c r="F95" t="s">
        <v>145</v>
      </c>
      <c r="G95" t="s">
        <v>96</v>
      </c>
      <c r="H95" t="s">
        <v>97</v>
      </c>
      <c r="I95">
        <v>5</v>
      </c>
      <c r="J95" s="2">
        <v>248.14</v>
      </c>
      <c r="K95" s="4">
        <v>0.05</v>
      </c>
      <c r="L95" t="s">
        <v>106</v>
      </c>
      <c r="M95">
        <v>3</v>
      </c>
      <c r="N95" t="s">
        <v>91</v>
      </c>
      <c r="O95" t="str">
        <f>SUBSTITUTE(PROPER(TRIM(RawSalesTable[[#This Row],[Channel_Raw]])), "Market Place", "Marketplace")</f>
        <v>Retail Store</v>
      </c>
      <c r="P95" t="str">
        <f>TRIM(RawSalesTable[[#This Row],[Store_Raw]])</f>
        <v>Calgary North</v>
      </c>
      <c r="Q95" t="str">
        <f>IF(TRIM(RawSalesTable[[#This Row],[Payment_Method_Raw]])="","Non renseigné",SUBSTITUTE(TRIM(RawSalesTable[[#This Row],[Payment_Method_Raw]]),"CC","Credit Card"))</f>
        <v>Credit Card</v>
      </c>
      <c r="R95" s="8" t="str">
        <f>UPPER(PROPER(RawSalesTable[[#This Row],[Customer_ID]]))</f>
        <v>C0003</v>
      </c>
      <c r="S95" s="8" t="str">
        <f>TRIM(LEFT(RawSalesTable[[#This Row],[Customer_Info]],FIND(",",RawSalesTable[[#This Row],[Customer_Info]]) -1))</f>
        <v>Amelia Young</v>
      </c>
      <c r="T95" s="8" t="str">
        <f>TRIM(MID(RawSalesTable[[#This Row],[Customer_Info]],FIND(",",RawSalesTable[[#This Row],[Customer_Info]])+1,FIND(",",RawSalesTable[[#This Row],[Customer_Info]],FIND(",",RawSalesTable[[#This Row],[Customer_Info]])+1)-FIND(",",RawSalesTable[[#This Row],[Customer_Info]])-1))</f>
        <v>Ottawa</v>
      </c>
      <c r="U95" s="8" t="str">
        <f>TRIM(RIGHT(RawSalesTable[[#This Row],[Customer_Info]], LEN(RawSalesTable[[#This Row],[Customer_Info]])-FIND(",",RawSalesTable[[#This Row],[Customer_Info]],FIND(",",RawSalesTable[[#This Row],[Customer_Info]])+1)))</f>
        <v>Corporate</v>
      </c>
      <c r="V95" s="8" t="str">
        <f>VLOOKUP(RawSalesTable[[#This Row],[Product_ID]],ProductsTable[],2,FALSE)</f>
        <v>Pull-up Bar</v>
      </c>
      <c r="W95" s="8" t="str">
        <f>VLOOKUP(RawSalesTable[[#This Row],[Product_ID]],ProductsTable[],3,FALSE)</f>
        <v>Fitness</v>
      </c>
      <c r="X95" s="8">
        <f>VLOOKUP(RawSalesTable[[#This Row],[Product_ID]],ProductsTable[],5,FALSE)</f>
        <v>125.4</v>
      </c>
      <c r="Y95" s="8">
        <f>RawSalesTable[[#This Row],[Quantity]]*RawSalesTable[[#This Row],[Unit_Price]]</f>
        <v>1240.6999999999998</v>
      </c>
      <c r="Z95" s="8">
        <f>RawSalesTable[[#This Row],[Gross_Sales]]*RawSalesTable[[#This Row],[Discount_Pct]]</f>
        <v>62.034999999999997</v>
      </c>
      <c r="AA95" s="8">
        <f>RawSalesTable[[#This Row],[Gross_Sales]]-RawSalesTable[[#This Row],[Discount_Amount]]</f>
        <v>1178.6649999999997</v>
      </c>
      <c r="AB95" s="8">
        <f>RawSalesTable[[#This Row],[Unit_Cost]]*RawSalesTable[[#This Row],[Quantity]]</f>
        <v>627</v>
      </c>
      <c r="AC95" s="8">
        <f>RawSalesTable[[#This Row],[Net_Sales]]-RawSalesTable[[#This Row],[Total_Cost]]</f>
        <v>551.66499999999974</v>
      </c>
      <c r="AD95" s="9">
        <f>RawSalesTable[[#This Row],[Profit]]/RawSalesTable[[#This Row],[Net_Sales]]</f>
        <v>0.46804223422261615</v>
      </c>
      <c r="AE95" s="8">
        <f>IF(RawSalesTable[[#This Row],[Return_Status]]="Yes",1,0)</f>
        <v>0</v>
      </c>
      <c r="AF95" s="8">
        <f>YEAR(RawSalesTable[[#This Row],[Order_Date]])</f>
        <v>2025</v>
      </c>
      <c r="AG95" s="8">
        <f>MONTH(RawSalesTable[[#This Row],[Order_Date]])</f>
        <v>3</v>
      </c>
      <c r="AH95" s="8" t="str">
        <f>TEXT(RawSalesTable[[#This Row],[Order_Date]],"mmmm")</f>
        <v>mars</v>
      </c>
      <c r="AI95" s="8" t="str">
        <f>IF(RawSalesTable[[#This Row],[Month_Number]]&lt;=3,"Q1",IF(RawSalesTable[[#This Row],[Month_Number]]&lt;=6,"Q2",IF(RawSalesTable[[#This Row],[Month_Number]]&lt;=9,"Q3","Q4")))</f>
        <v>Q1</v>
      </c>
      <c r="AJ95" s="13">
        <f>DATE(YEAR(RawSalesTable[[#This Row],[Order_Date]]),MONTH(RawSalesTable[[#This Row],[Order_Date]]),1)</f>
        <v>45717</v>
      </c>
      <c r="AK95" s="8" t="str">
        <f>VLOOKUP(RawSalesTable[[#This Row],[Customer_ID_clean]],CustomersTable[],4,FALSE)</f>
        <v>Ontario</v>
      </c>
    </row>
    <row r="96" spans="1:37">
      <c r="A96" t="s">
        <v>347</v>
      </c>
      <c r="B96" s="3">
        <v>45863</v>
      </c>
      <c r="C96" t="s">
        <v>206</v>
      </c>
      <c r="D96" t="s">
        <v>226</v>
      </c>
      <c r="E96" t="s">
        <v>207</v>
      </c>
      <c r="F96" t="s">
        <v>111</v>
      </c>
      <c r="G96" t="s">
        <v>104</v>
      </c>
      <c r="H96" t="s">
        <v>97</v>
      </c>
      <c r="I96">
        <v>1</v>
      </c>
      <c r="J96" s="2">
        <v>203.94</v>
      </c>
      <c r="K96" s="4">
        <v>0</v>
      </c>
      <c r="L96" t="s">
        <v>98</v>
      </c>
      <c r="M96">
        <v>2</v>
      </c>
      <c r="N96" t="s">
        <v>91</v>
      </c>
      <c r="O96" t="str">
        <f>SUBSTITUTE(PROPER(TRIM(RawSalesTable[[#This Row],[Channel_Raw]])), "Market Place", "Marketplace")</f>
        <v>Retail Store</v>
      </c>
      <c r="P96" t="str">
        <f>TRIM(RawSalesTable[[#This Row],[Store_Raw]])</f>
        <v>Montreal Central</v>
      </c>
      <c r="Q96" t="str">
        <f>IF(TRIM(RawSalesTable[[#This Row],[Payment_Method_Raw]])="","Non renseigné",SUBSTITUTE(TRIM(RawSalesTable[[#This Row],[Payment_Method_Raw]]),"CC","Credit Card"))</f>
        <v>Debit Card</v>
      </c>
      <c r="R96" s="8" t="str">
        <f>UPPER(PROPER(RawSalesTable[[#This Row],[Customer_ID]]))</f>
        <v>C0061</v>
      </c>
      <c r="S96" s="8" t="str">
        <f>TRIM(LEFT(RawSalesTable[[#This Row],[Customer_Info]],FIND(",",RawSalesTable[[#This Row],[Customer_Info]]) -1))</f>
        <v>Zoe Hall</v>
      </c>
      <c r="T96" s="8" t="str">
        <f>TRIM(MID(RawSalesTable[[#This Row],[Customer_Info]],FIND(",",RawSalesTable[[#This Row],[Customer_Info]])+1,FIND(",",RawSalesTable[[#This Row],[Customer_Info]],FIND(",",RawSalesTable[[#This Row],[Customer_Info]])+1)-FIND(",",RawSalesTable[[#This Row],[Customer_Info]])-1))</f>
        <v>Vancouver</v>
      </c>
      <c r="U96" s="8" t="str">
        <f>TRIM(RIGHT(RawSalesTable[[#This Row],[Customer_Info]], LEN(RawSalesTable[[#This Row],[Customer_Info]])-FIND(",",RawSalesTable[[#This Row],[Customer_Info]],FIND(",",RawSalesTable[[#This Row],[Customer_Info]])+1)))</f>
        <v>Consumer</v>
      </c>
      <c r="V96" s="8" t="str">
        <f>VLOOKUP(RawSalesTable[[#This Row],[Product_ID]],ProductsTable[],2,FALSE)</f>
        <v>Desk Lamp</v>
      </c>
      <c r="W96" s="8" t="str">
        <f>VLOOKUP(RawSalesTable[[#This Row],[Product_ID]],ProductsTable[],3,FALSE)</f>
        <v>Office</v>
      </c>
      <c r="X96" s="8">
        <f>VLOOKUP(RawSalesTable[[#This Row],[Product_ID]],ProductsTable[],5,FALSE)</f>
        <v>127.21</v>
      </c>
      <c r="Y96" s="8">
        <f>RawSalesTable[[#This Row],[Quantity]]*RawSalesTable[[#This Row],[Unit_Price]]</f>
        <v>203.94</v>
      </c>
      <c r="Z96" s="8">
        <f>RawSalesTable[[#This Row],[Gross_Sales]]*RawSalesTable[[#This Row],[Discount_Pct]]</f>
        <v>0</v>
      </c>
      <c r="AA96" s="8">
        <f>RawSalesTable[[#This Row],[Gross_Sales]]-RawSalesTable[[#This Row],[Discount_Amount]]</f>
        <v>203.94</v>
      </c>
      <c r="AB96" s="8">
        <f>RawSalesTable[[#This Row],[Unit_Cost]]*RawSalesTable[[#This Row],[Quantity]]</f>
        <v>127.21</v>
      </c>
      <c r="AC96" s="8">
        <f>RawSalesTable[[#This Row],[Net_Sales]]-RawSalesTable[[#This Row],[Total_Cost]]</f>
        <v>76.73</v>
      </c>
      <c r="AD96" s="9">
        <f>RawSalesTable[[#This Row],[Profit]]/RawSalesTable[[#This Row],[Net_Sales]]</f>
        <v>0.37623810924781803</v>
      </c>
      <c r="AE96" s="8">
        <f>IF(RawSalesTable[[#This Row],[Return_Status]]="Yes",1,0)</f>
        <v>0</v>
      </c>
      <c r="AF96" s="8">
        <f>YEAR(RawSalesTable[[#This Row],[Order_Date]])</f>
        <v>2025</v>
      </c>
      <c r="AG96" s="8">
        <f>MONTH(RawSalesTable[[#This Row],[Order_Date]])</f>
        <v>7</v>
      </c>
      <c r="AH96" s="8" t="str">
        <f>TEXT(RawSalesTable[[#This Row],[Order_Date]],"mmmm")</f>
        <v>juillet</v>
      </c>
      <c r="AI96" s="8" t="str">
        <f>IF(RawSalesTable[[#This Row],[Month_Number]]&lt;=3,"Q1",IF(RawSalesTable[[#This Row],[Month_Number]]&lt;=6,"Q2",IF(RawSalesTable[[#This Row],[Month_Number]]&lt;=9,"Q3","Q4")))</f>
        <v>Q3</v>
      </c>
      <c r="AJ96" s="13">
        <f>DATE(YEAR(RawSalesTable[[#This Row],[Order_Date]]),MONTH(RawSalesTable[[#This Row],[Order_Date]]),1)</f>
        <v>45839</v>
      </c>
      <c r="AK96" s="8" t="str">
        <f>VLOOKUP(RawSalesTable[[#This Row],[Customer_ID_clean]],CustomersTable[],4,FALSE)</f>
        <v>British Columbia</v>
      </c>
    </row>
    <row r="97" spans="1:37">
      <c r="A97" t="s">
        <v>348</v>
      </c>
      <c r="B97" s="3">
        <v>45727</v>
      </c>
      <c r="C97" t="s">
        <v>349</v>
      </c>
      <c r="D97" t="s">
        <v>323</v>
      </c>
      <c r="E97" t="s">
        <v>350</v>
      </c>
      <c r="F97" t="s">
        <v>111</v>
      </c>
      <c r="G97" t="s">
        <v>122</v>
      </c>
      <c r="H97" t="s">
        <v>97</v>
      </c>
      <c r="I97">
        <v>1</v>
      </c>
      <c r="J97" s="2">
        <v>342.73</v>
      </c>
      <c r="K97" s="4">
        <v>0</v>
      </c>
      <c r="L97" t="s">
        <v>90</v>
      </c>
      <c r="M97">
        <v>0</v>
      </c>
      <c r="N97" t="s">
        <v>91</v>
      </c>
      <c r="O97" t="str">
        <f>SUBSTITUTE(PROPER(TRIM(RawSalesTable[[#This Row],[Channel_Raw]])), "Market Place", "Marketplace")</f>
        <v>Retail Store</v>
      </c>
      <c r="P97" t="str">
        <f>TRIM(RawSalesTable[[#This Row],[Store_Raw]])</f>
        <v>Montreal Central</v>
      </c>
      <c r="Q97" t="str">
        <f>IF(TRIM(RawSalesTable[[#This Row],[Payment_Method_Raw]])="","Non renseigné",SUBSTITUTE(TRIM(RawSalesTable[[#This Row],[Payment_Method_Raw]]),"CC","Credit Card"))</f>
        <v>PayPal</v>
      </c>
      <c r="R97" s="8" t="str">
        <f>UPPER(PROPER(RawSalesTable[[#This Row],[Customer_ID]]))</f>
        <v>C0088</v>
      </c>
      <c r="S97" s="8" t="str">
        <f>TRIM(LEFT(RawSalesTable[[#This Row],[Customer_Info]],FIND(",",RawSalesTable[[#This Row],[Customer_Info]]) -1))</f>
        <v>Olivia Bennett</v>
      </c>
      <c r="T97" s="8" t="str">
        <f>TRIM(MID(RawSalesTable[[#This Row],[Customer_Info]],FIND(",",RawSalesTable[[#This Row],[Customer_Info]])+1,FIND(",",RawSalesTable[[#This Row],[Customer_Info]],FIND(",",RawSalesTable[[#This Row],[Customer_Info]])+1)-FIND(",",RawSalesTable[[#This Row],[Customer_Info]])-1))</f>
        <v>Vancouver</v>
      </c>
      <c r="U97" s="8" t="str">
        <f>TRIM(RIGHT(RawSalesTable[[#This Row],[Customer_Info]], LEN(RawSalesTable[[#This Row],[Customer_Info]])-FIND(",",RawSalesTable[[#This Row],[Customer_Info]],FIND(",",RawSalesTable[[#This Row],[Customer_Info]])+1)))</f>
        <v>Small Business</v>
      </c>
      <c r="V97" s="8" t="str">
        <f>VLOOKUP(RawSalesTable[[#This Row],[Product_ID]],ProductsTable[],2,FALSE)</f>
        <v>Toaster</v>
      </c>
      <c r="W97" s="8" t="str">
        <f>VLOOKUP(RawSalesTable[[#This Row],[Product_ID]],ProductsTable[],3,FALSE)</f>
        <v>Home</v>
      </c>
      <c r="X97" s="8">
        <f>VLOOKUP(RawSalesTable[[#This Row],[Product_ID]],ProductsTable[],5,FALSE)</f>
        <v>152.88</v>
      </c>
      <c r="Y97" s="8">
        <f>RawSalesTable[[#This Row],[Quantity]]*RawSalesTable[[#This Row],[Unit_Price]]</f>
        <v>342.73</v>
      </c>
      <c r="Z97" s="8">
        <f>RawSalesTable[[#This Row],[Gross_Sales]]*RawSalesTable[[#This Row],[Discount_Pct]]</f>
        <v>0</v>
      </c>
      <c r="AA97" s="8">
        <f>RawSalesTable[[#This Row],[Gross_Sales]]-RawSalesTable[[#This Row],[Discount_Amount]]</f>
        <v>342.73</v>
      </c>
      <c r="AB97" s="8">
        <f>RawSalesTable[[#This Row],[Unit_Cost]]*RawSalesTable[[#This Row],[Quantity]]</f>
        <v>152.88</v>
      </c>
      <c r="AC97" s="8">
        <f>RawSalesTable[[#This Row],[Net_Sales]]-RawSalesTable[[#This Row],[Total_Cost]]</f>
        <v>189.85000000000002</v>
      </c>
      <c r="AD97" s="9">
        <f>RawSalesTable[[#This Row],[Profit]]/RawSalesTable[[#This Row],[Net_Sales]]</f>
        <v>0.55393458407492779</v>
      </c>
      <c r="AE97" s="8">
        <f>IF(RawSalesTable[[#This Row],[Return_Status]]="Yes",1,0)</f>
        <v>0</v>
      </c>
      <c r="AF97" s="8">
        <f>YEAR(RawSalesTable[[#This Row],[Order_Date]])</f>
        <v>2025</v>
      </c>
      <c r="AG97" s="8">
        <f>MONTH(RawSalesTable[[#This Row],[Order_Date]])</f>
        <v>3</v>
      </c>
      <c r="AH97" s="8" t="str">
        <f>TEXT(RawSalesTable[[#This Row],[Order_Date]],"mmmm")</f>
        <v>mars</v>
      </c>
      <c r="AI97" s="8" t="str">
        <f>IF(RawSalesTable[[#This Row],[Month_Number]]&lt;=3,"Q1",IF(RawSalesTable[[#This Row],[Month_Number]]&lt;=6,"Q2",IF(RawSalesTable[[#This Row],[Month_Number]]&lt;=9,"Q3","Q4")))</f>
        <v>Q1</v>
      </c>
      <c r="AJ97" s="13">
        <f>DATE(YEAR(RawSalesTable[[#This Row],[Order_Date]]),MONTH(RawSalesTable[[#This Row],[Order_Date]]),1)</f>
        <v>45717</v>
      </c>
      <c r="AK97" s="8" t="str">
        <f>VLOOKUP(RawSalesTable[[#This Row],[Customer_ID_clean]],CustomersTable[],4,FALSE)</f>
        <v>British Columbia</v>
      </c>
    </row>
    <row r="98" spans="1:37">
      <c r="A98" t="s">
        <v>351</v>
      </c>
      <c r="B98" s="3">
        <v>45743</v>
      </c>
      <c r="C98" t="s">
        <v>200</v>
      </c>
      <c r="D98" t="s">
        <v>194</v>
      </c>
      <c r="E98" t="s">
        <v>201</v>
      </c>
      <c r="F98" t="s">
        <v>111</v>
      </c>
      <c r="G98" t="s">
        <v>171</v>
      </c>
      <c r="H98" t="s">
        <v>308</v>
      </c>
      <c r="I98">
        <v>1</v>
      </c>
      <c r="J98" s="2">
        <v>189.68</v>
      </c>
      <c r="K98" s="4">
        <v>0.05</v>
      </c>
      <c r="L98" t="s">
        <v>106</v>
      </c>
      <c r="M98">
        <v>9</v>
      </c>
      <c r="N98" t="s">
        <v>91</v>
      </c>
      <c r="O98" t="str">
        <f>SUBSTITUTE(PROPER(TRIM(RawSalesTable[[#This Row],[Channel_Raw]])), "Market Place", "Marketplace")</f>
        <v>Online</v>
      </c>
      <c r="P98" t="str">
        <f>TRIM(RawSalesTable[[#This Row],[Store_Raw]])</f>
        <v>Montreal Central</v>
      </c>
      <c r="Q98" t="str">
        <f>IF(TRIM(RawSalesTable[[#This Row],[Payment_Method_Raw]])="","Non renseigné",SUBSTITUTE(TRIM(RawSalesTable[[#This Row],[Payment_Method_Raw]]),"CC","Credit Card"))</f>
        <v>Credit Card</v>
      </c>
      <c r="R98" s="8" t="str">
        <f>UPPER(PROPER(RawSalesTable[[#This Row],[Customer_ID]]))</f>
        <v>C0118</v>
      </c>
      <c r="S98" s="8" t="str">
        <f>TRIM(LEFT(RawSalesTable[[#This Row],[Customer_Info]],FIND(",",RawSalesTable[[#This Row],[Customer_Info]]) -1))</f>
        <v>Ryan Smith</v>
      </c>
      <c r="T98" s="8" t="str">
        <f>TRIM(MID(RawSalesTable[[#This Row],[Customer_Info]],FIND(",",RawSalesTable[[#This Row],[Customer_Info]])+1,FIND(",",RawSalesTable[[#This Row],[Customer_Info]],FIND(",",RawSalesTable[[#This Row],[Customer_Info]])+1)-FIND(",",RawSalesTable[[#This Row],[Customer_Info]])-1))</f>
        <v>Victoria</v>
      </c>
      <c r="U98" s="8" t="str">
        <f>TRIM(RIGHT(RawSalesTable[[#This Row],[Customer_Info]], LEN(RawSalesTable[[#This Row],[Customer_Info]])-FIND(",",RawSalesTable[[#This Row],[Customer_Info]],FIND(",",RawSalesTable[[#This Row],[Customer_Info]])+1)))</f>
        <v>Small Business</v>
      </c>
      <c r="V98" s="8" t="str">
        <f>VLOOKUP(RawSalesTable[[#This Row],[Product_ID]],ProductsTable[],2,FALSE)</f>
        <v>Jump Rope</v>
      </c>
      <c r="W98" s="8" t="str">
        <f>VLOOKUP(RawSalesTable[[#This Row],[Product_ID]],ProductsTable[],3,FALSE)</f>
        <v>Fitness</v>
      </c>
      <c r="X98" s="8">
        <f>VLOOKUP(RawSalesTable[[#This Row],[Product_ID]],ProductsTable[],5,FALSE)</f>
        <v>101</v>
      </c>
      <c r="Y98" s="8">
        <f>RawSalesTable[[#This Row],[Quantity]]*RawSalesTable[[#This Row],[Unit_Price]]</f>
        <v>189.68</v>
      </c>
      <c r="Z98" s="8">
        <f>RawSalesTable[[#This Row],[Gross_Sales]]*RawSalesTable[[#This Row],[Discount_Pct]]</f>
        <v>9.484</v>
      </c>
      <c r="AA98" s="8">
        <f>RawSalesTable[[#This Row],[Gross_Sales]]-RawSalesTable[[#This Row],[Discount_Amount]]</f>
        <v>180.196</v>
      </c>
      <c r="AB98" s="8">
        <f>RawSalesTable[[#This Row],[Unit_Cost]]*RawSalesTable[[#This Row],[Quantity]]</f>
        <v>101</v>
      </c>
      <c r="AC98" s="8">
        <f>RawSalesTable[[#This Row],[Net_Sales]]-RawSalesTable[[#This Row],[Total_Cost]]</f>
        <v>79.195999999999998</v>
      </c>
      <c r="AD98" s="9">
        <f>RawSalesTable[[#This Row],[Profit]]/RawSalesTable[[#This Row],[Net_Sales]]</f>
        <v>0.43949921196918912</v>
      </c>
      <c r="AE98" s="8">
        <f>IF(RawSalesTable[[#This Row],[Return_Status]]="Yes",1,0)</f>
        <v>0</v>
      </c>
      <c r="AF98" s="8">
        <f>YEAR(RawSalesTable[[#This Row],[Order_Date]])</f>
        <v>2025</v>
      </c>
      <c r="AG98" s="8">
        <f>MONTH(RawSalesTable[[#This Row],[Order_Date]])</f>
        <v>3</v>
      </c>
      <c r="AH98" s="8" t="str">
        <f>TEXT(RawSalesTable[[#This Row],[Order_Date]],"mmmm")</f>
        <v>mars</v>
      </c>
      <c r="AI98" s="8" t="str">
        <f>IF(RawSalesTable[[#This Row],[Month_Number]]&lt;=3,"Q1",IF(RawSalesTable[[#This Row],[Month_Number]]&lt;=6,"Q2",IF(RawSalesTable[[#This Row],[Month_Number]]&lt;=9,"Q3","Q4")))</f>
        <v>Q1</v>
      </c>
      <c r="AJ98" s="13">
        <f>DATE(YEAR(RawSalesTable[[#This Row],[Order_Date]]),MONTH(RawSalesTable[[#This Row],[Order_Date]]),1)</f>
        <v>45717</v>
      </c>
      <c r="AK98" s="8" t="str">
        <f>VLOOKUP(RawSalesTable[[#This Row],[Customer_ID_clean]],CustomersTable[],4,FALSE)</f>
        <v>British Columbia</v>
      </c>
    </row>
    <row r="99" spans="1:37">
      <c r="A99" t="s">
        <v>352</v>
      </c>
      <c r="B99" s="3">
        <v>45677</v>
      </c>
      <c r="C99" t="s">
        <v>343</v>
      </c>
      <c r="D99" t="s">
        <v>261</v>
      </c>
      <c r="E99" t="s">
        <v>344</v>
      </c>
      <c r="F99" t="s">
        <v>103</v>
      </c>
      <c r="G99" t="s">
        <v>117</v>
      </c>
      <c r="H99" t="s">
        <v>246</v>
      </c>
      <c r="I99">
        <v>2</v>
      </c>
      <c r="J99" s="2">
        <v>259.93</v>
      </c>
      <c r="K99" s="4">
        <v>0.05</v>
      </c>
      <c r="L99" t="s">
        <v>353</v>
      </c>
      <c r="M99">
        <v>0</v>
      </c>
      <c r="N99" t="s">
        <v>91</v>
      </c>
      <c r="O99" t="str">
        <f>SUBSTITUTE(PROPER(TRIM(RawSalesTable[[#This Row],[Channel_Raw]])), "Market Place", "Marketplace")</f>
        <v>Retail Store</v>
      </c>
      <c r="P99" t="str">
        <f>TRIM(RawSalesTable[[#This Row],[Store_Raw]])</f>
        <v>Vancouver West</v>
      </c>
      <c r="Q99" t="str">
        <f>IF(TRIM(RawSalesTable[[#This Row],[Payment_Method_Raw]])="","Non renseigné",SUBSTITUTE(TRIM(RawSalesTable[[#This Row],[Payment_Method_Raw]]),"CC","Credit Card"))</f>
        <v>Credit Card</v>
      </c>
      <c r="R99" s="8" t="str">
        <f>UPPER(PROPER(RawSalesTable[[#This Row],[Customer_ID]]))</f>
        <v>C0114</v>
      </c>
      <c r="S99" s="8" t="str">
        <f>TRIM(LEFT(RawSalesTable[[#This Row],[Customer_Info]],FIND(",",RawSalesTable[[#This Row],[Customer_Info]]) -1))</f>
        <v>Olivia Johnson</v>
      </c>
      <c r="T99" s="8" t="str">
        <f>TRIM(MID(RawSalesTable[[#This Row],[Customer_Info]],FIND(",",RawSalesTable[[#This Row],[Customer_Info]])+1,FIND(",",RawSalesTable[[#This Row],[Customer_Info]],FIND(",",RawSalesTable[[#This Row],[Customer_Info]])+1)-FIND(",",RawSalesTable[[#This Row],[Customer_Info]])-1))</f>
        <v>Ottawa</v>
      </c>
      <c r="U99" s="8" t="str">
        <f>TRIM(RIGHT(RawSalesTable[[#This Row],[Customer_Info]], LEN(RawSalesTable[[#This Row],[Customer_Info]])-FIND(",",RawSalesTable[[#This Row],[Customer_Info]],FIND(",",RawSalesTable[[#This Row],[Customer_Info]])+1)))</f>
        <v>Consumer</v>
      </c>
      <c r="V99" s="8" t="str">
        <f>VLOOKUP(RawSalesTable[[#This Row],[Product_ID]],ProductsTable[],2,FALSE)</f>
        <v>Dumbbell Set</v>
      </c>
      <c r="W99" s="8" t="str">
        <f>VLOOKUP(RawSalesTable[[#This Row],[Product_ID]],ProductsTable[],3,FALSE)</f>
        <v>Fitness</v>
      </c>
      <c r="X99" s="8">
        <f>VLOOKUP(RawSalesTable[[#This Row],[Product_ID]],ProductsTable[],5,FALSE)</f>
        <v>131.72999999999999</v>
      </c>
      <c r="Y99" s="8">
        <f>RawSalesTable[[#This Row],[Quantity]]*RawSalesTable[[#This Row],[Unit_Price]]</f>
        <v>519.86</v>
      </c>
      <c r="Z99" s="8">
        <f>RawSalesTable[[#This Row],[Gross_Sales]]*RawSalesTable[[#This Row],[Discount_Pct]]</f>
        <v>25.993000000000002</v>
      </c>
      <c r="AA99" s="8">
        <f>RawSalesTable[[#This Row],[Gross_Sales]]-RawSalesTable[[#This Row],[Discount_Amount]]</f>
        <v>493.86700000000002</v>
      </c>
      <c r="AB99" s="8">
        <f>RawSalesTable[[#This Row],[Unit_Cost]]*RawSalesTable[[#This Row],[Quantity]]</f>
        <v>263.45999999999998</v>
      </c>
      <c r="AC99" s="8">
        <f>RawSalesTable[[#This Row],[Net_Sales]]-RawSalesTable[[#This Row],[Total_Cost]]</f>
        <v>230.40700000000004</v>
      </c>
      <c r="AD99" s="9">
        <f>RawSalesTable[[#This Row],[Profit]]/RawSalesTable[[#This Row],[Net_Sales]]</f>
        <v>0.46653653716486426</v>
      </c>
      <c r="AE99" s="8">
        <f>IF(RawSalesTable[[#This Row],[Return_Status]]="Yes",1,0)</f>
        <v>0</v>
      </c>
      <c r="AF99" s="8">
        <f>YEAR(RawSalesTable[[#This Row],[Order_Date]])</f>
        <v>2025</v>
      </c>
      <c r="AG99" s="8">
        <f>MONTH(RawSalesTable[[#This Row],[Order_Date]])</f>
        <v>1</v>
      </c>
      <c r="AH99" s="8" t="str">
        <f>TEXT(RawSalesTable[[#This Row],[Order_Date]],"mmmm")</f>
        <v>janvier</v>
      </c>
      <c r="AI99" s="8" t="str">
        <f>IF(RawSalesTable[[#This Row],[Month_Number]]&lt;=3,"Q1",IF(RawSalesTable[[#This Row],[Month_Number]]&lt;=6,"Q2",IF(RawSalesTable[[#This Row],[Month_Number]]&lt;=9,"Q3","Q4")))</f>
        <v>Q1</v>
      </c>
      <c r="AJ99" s="13">
        <f>DATE(YEAR(RawSalesTable[[#This Row],[Order_Date]]),MONTH(RawSalesTable[[#This Row],[Order_Date]]),1)</f>
        <v>45658</v>
      </c>
      <c r="AK99" s="8" t="str">
        <f>VLOOKUP(RawSalesTable[[#This Row],[Customer_ID_clean]],CustomersTable[],4,FALSE)</f>
        <v>Ontario</v>
      </c>
    </row>
    <row r="100" spans="1:37">
      <c r="A100" t="s">
        <v>354</v>
      </c>
      <c r="B100" s="3">
        <v>45813</v>
      </c>
      <c r="C100" t="s">
        <v>156</v>
      </c>
      <c r="D100" t="s">
        <v>125</v>
      </c>
      <c r="E100" t="s">
        <v>158</v>
      </c>
      <c r="F100" t="s">
        <v>87</v>
      </c>
      <c r="G100" t="s">
        <v>117</v>
      </c>
      <c r="H100" t="s">
        <v>89</v>
      </c>
      <c r="I100">
        <v>2</v>
      </c>
      <c r="J100" s="2">
        <v>60.07</v>
      </c>
      <c r="K100" s="4">
        <v>0.15</v>
      </c>
      <c r="L100" t="s">
        <v>106</v>
      </c>
      <c r="M100">
        <v>8</v>
      </c>
      <c r="N100" t="s">
        <v>147</v>
      </c>
      <c r="O100" t="str">
        <f>SUBSTITUTE(PROPER(TRIM(RawSalesTable[[#This Row],[Channel_Raw]])), "Market Place", "Marketplace")</f>
        <v>Online</v>
      </c>
      <c r="P100" t="str">
        <f>TRIM(RawSalesTable[[#This Row],[Store_Raw]])</f>
        <v>Online Fulfillment</v>
      </c>
      <c r="Q100" t="str">
        <f>IF(TRIM(RawSalesTable[[#This Row],[Payment_Method_Raw]])="","Non renseigné",SUBSTITUTE(TRIM(RawSalesTable[[#This Row],[Payment_Method_Raw]]),"CC","Credit Card"))</f>
        <v>Credit Card</v>
      </c>
      <c r="R100" s="8" t="str">
        <f>UPPER(PROPER(RawSalesTable[[#This Row],[Customer_ID]]))</f>
        <v>C0112</v>
      </c>
      <c r="S100" s="8" t="str">
        <f>TRIM(LEFT(RawSalesTable[[#This Row],[Customer_Info]],FIND(",",RawSalesTable[[#This Row],[Customer_Info]]) -1))</f>
        <v>Ava Bennett</v>
      </c>
      <c r="T100" s="8" t="str">
        <f>TRIM(MID(RawSalesTable[[#This Row],[Customer_Info]],FIND(",",RawSalesTable[[#This Row],[Customer_Info]])+1,FIND(",",RawSalesTable[[#This Row],[Customer_Info]],FIND(",",RawSalesTable[[#This Row],[Customer_Info]])+1)-FIND(",",RawSalesTable[[#This Row],[Customer_Info]])-1))</f>
        <v>Halifax</v>
      </c>
      <c r="U100" s="8" t="str">
        <f>TRIM(RIGHT(RawSalesTable[[#This Row],[Customer_Info]], LEN(RawSalesTable[[#This Row],[Customer_Info]])-FIND(",",RawSalesTable[[#This Row],[Customer_Info]],FIND(",",RawSalesTable[[#This Row],[Customer_Info]])+1)))</f>
        <v>Consumer</v>
      </c>
      <c r="V100" s="8" t="str">
        <f>VLOOKUP(RawSalesTable[[#This Row],[Product_ID]],ProductsTable[],2,FALSE)</f>
        <v>Kettlebell</v>
      </c>
      <c r="W100" s="8" t="str">
        <f>VLOOKUP(RawSalesTable[[#This Row],[Product_ID]],ProductsTable[],3,FALSE)</f>
        <v>Fitness</v>
      </c>
      <c r="X100" s="8">
        <f>VLOOKUP(RawSalesTable[[#This Row],[Product_ID]],ProductsTable[],5,FALSE)</f>
        <v>25.97</v>
      </c>
      <c r="Y100" s="8">
        <f>RawSalesTable[[#This Row],[Quantity]]*RawSalesTable[[#This Row],[Unit_Price]]</f>
        <v>120.14</v>
      </c>
      <c r="Z100" s="8">
        <f>RawSalesTable[[#This Row],[Gross_Sales]]*RawSalesTable[[#This Row],[Discount_Pct]]</f>
        <v>18.021000000000001</v>
      </c>
      <c r="AA100" s="8">
        <f>RawSalesTable[[#This Row],[Gross_Sales]]-RawSalesTable[[#This Row],[Discount_Amount]]</f>
        <v>102.119</v>
      </c>
      <c r="AB100" s="8">
        <f>RawSalesTable[[#This Row],[Unit_Cost]]*RawSalesTable[[#This Row],[Quantity]]</f>
        <v>51.94</v>
      </c>
      <c r="AC100" s="8">
        <f>RawSalesTable[[#This Row],[Net_Sales]]-RawSalesTable[[#This Row],[Total_Cost]]</f>
        <v>50.179000000000002</v>
      </c>
      <c r="AD100" s="9">
        <f>RawSalesTable[[#This Row],[Profit]]/RawSalesTable[[#This Row],[Net_Sales]]</f>
        <v>0.49137770640135531</v>
      </c>
      <c r="AE100" s="8">
        <f>IF(RawSalesTable[[#This Row],[Return_Status]]="Yes",1,0)</f>
        <v>1</v>
      </c>
      <c r="AF100" s="8">
        <f>YEAR(RawSalesTable[[#This Row],[Order_Date]])</f>
        <v>2025</v>
      </c>
      <c r="AG100" s="8">
        <f>MONTH(RawSalesTable[[#This Row],[Order_Date]])</f>
        <v>6</v>
      </c>
      <c r="AH100" s="8" t="str">
        <f>TEXT(RawSalesTable[[#This Row],[Order_Date]],"mmmm")</f>
        <v>juin</v>
      </c>
      <c r="AI100" s="8" t="str">
        <f>IF(RawSalesTable[[#This Row],[Month_Number]]&lt;=3,"Q1",IF(RawSalesTable[[#This Row],[Month_Number]]&lt;=6,"Q2",IF(RawSalesTable[[#This Row],[Month_Number]]&lt;=9,"Q3","Q4")))</f>
        <v>Q2</v>
      </c>
      <c r="AJ100" s="13">
        <f>DATE(YEAR(RawSalesTable[[#This Row],[Order_Date]]),MONTH(RawSalesTable[[#This Row],[Order_Date]]),1)</f>
        <v>45809</v>
      </c>
      <c r="AK100" s="8" t="str">
        <f>VLOOKUP(RawSalesTable[[#This Row],[Customer_ID_clean]],CustomersTable[],4,FALSE)</f>
        <v>Nova Scotia</v>
      </c>
    </row>
    <row r="101" spans="1:37">
      <c r="A101" t="s">
        <v>355</v>
      </c>
      <c r="B101" s="3">
        <v>45997</v>
      </c>
      <c r="C101" t="s">
        <v>356</v>
      </c>
      <c r="D101" t="s">
        <v>165</v>
      </c>
      <c r="E101" t="s">
        <v>357</v>
      </c>
      <c r="F101" t="s">
        <v>116</v>
      </c>
      <c r="G101" t="s">
        <v>183</v>
      </c>
      <c r="H101" t="s">
        <v>97</v>
      </c>
      <c r="I101">
        <v>1</v>
      </c>
      <c r="J101" s="2">
        <v>105.21</v>
      </c>
      <c r="K101" s="4">
        <v>0.15</v>
      </c>
      <c r="L101" t="s">
        <v>106</v>
      </c>
      <c r="M101">
        <v>3</v>
      </c>
      <c r="N101" t="s">
        <v>91</v>
      </c>
      <c r="O101" t="str">
        <f>SUBSTITUTE(PROPER(TRIM(RawSalesTable[[#This Row],[Channel_Raw]])), "Market Place", "Marketplace")</f>
        <v>Retail Store</v>
      </c>
      <c r="P101" t="str">
        <f>TRIM(RawSalesTable[[#This Row],[Store_Raw]])</f>
        <v>Toronto Downtown</v>
      </c>
      <c r="Q101" t="str">
        <f>IF(TRIM(RawSalesTable[[#This Row],[Payment_Method_Raw]])="","Non renseigné",SUBSTITUTE(TRIM(RawSalesTable[[#This Row],[Payment_Method_Raw]]),"CC","Credit Card"))</f>
        <v>Credit Card</v>
      </c>
      <c r="R101" s="8" t="str">
        <f>UPPER(PROPER(RawSalesTable[[#This Row],[Customer_ID]]))</f>
        <v>C0008</v>
      </c>
      <c r="S101" s="8" t="str">
        <f>TRIM(LEFT(RawSalesTable[[#This Row],[Customer_Info]],FIND(",",RawSalesTable[[#This Row],[Customer_Info]]) -1))</f>
        <v>Mia Wilson</v>
      </c>
      <c r="T101" s="8" t="str">
        <f>TRIM(MID(RawSalesTable[[#This Row],[Customer_Info]],FIND(",",RawSalesTable[[#This Row],[Customer_Info]])+1,FIND(",",RawSalesTable[[#This Row],[Customer_Info]],FIND(",",RawSalesTable[[#This Row],[Customer_Info]])+1)-FIND(",",RawSalesTable[[#This Row],[Customer_Info]])-1))</f>
        <v>Calgary</v>
      </c>
      <c r="U101" s="8" t="str">
        <f>TRIM(RIGHT(RawSalesTable[[#This Row],[Customer_Info]], LEN(RawSalesTable[[#This Row],[Customer_Info]])-FIND(",",RawSalesTable[[#This Row],[Customer_Info]],FIND(",",RawSalesTable[[#This Row],[Customer_Info]])+1)))</f>
        <v>Consumer</v>
      </c>
      <c r="V101" s="8" t="str">
        <f>VLOOKUP(RawSalesTable[[#This Row],[Product_ID]],ProductsTable[],2,FALSE)</f>
        <v>Food Scale</v>
      </c>
      <c r="W101" s="8" t="str">
        <f>VLOOKUP(RawSalesTable[[#This Row],[Product_ID]],ProductsTable[],3,FALSE)</f>
        <v>Home</v>
      </c>
      <c r="X101" s="8">
        <f>VLOOKUP(RawSalesTable[[#This Row],[Product_ID]],ProductsTable[],5,FALSE)</f>
        <v>46.07</v>
      </c>
      <c r="Y101" s="8">
        <f>RawSalesTable[[#This Row],[Quantity]]*RawSalesTable[[#This Row],[Unit_Price]]</f>
        <v>105.21</v>
      </c>
      <c r="Z101" s="8">
        <f>RawSalesTable[[#This Row],[Gross_Sales]]*RawSalesTable[[#This Row],[Discount_Pct]]</f>
        <v>15.781499999999998</v>
      </c>
      <c r="AA101" s="8">
        <f>RawSalesTable[[#This Row],[Gross_Sales]]-RawSalesTable[[#This Row],[Discount_Amount]]</f>
        <v>89.4285</v>
      </c>
      <c r="AB101" s="8">
        <f>RawSalesTable[[#This Row],[Unit_Cost]]*RawSalesTable[[#This Row],[Quantity]]</f>
        <v>46.07</v>
      </c>
      <c r="AC101" s="8">
        <f>RawSalesTable[[#This Row],[Net_Sales]]-RawSalesTable[[#This Row],[Total_Cost]]</f>
        <v>43.358499999999999</v>
      </c>
      <c r="AD101" s="9">
        <f>RawSalesTable[[#This Row],[Profit]]/RawSalesTable[[#This Row],[Net_Sales]]</f>
        <v>0.48483984412128123</v>
      </c>
      <c r="AE101" s="8">
        <f>IF(RawSalesTable[[#This Row],[Return_Status]]="Yes",1,0)</f>
        <v>0</v>
      </c>
      <c r="AF101" s="8">
        <f>YEAR(RawSalesTable[[#This Row],[Order_Date]])</f>
        <v>2025</v>
      </c>
      <c r="AG101" s="8">
        <f>MONTH(RawSalesTable[[#This Row],[Order_Date]])</f>
        <v>12</v>
      </c>
      <c r="AH101" s="8" t="str">
        <f>TEXT(RawSalesTable[[#This Row],[Order_Date]],"mmmm")</f>
        <v>décembre</v>
      </c>
      <c r="AI101" s="8" t="str">
        <f>IF(RawSalesTable[[#This Row],[Month_Number]]&lt;=3,"Q1",IF(RawSalesTable[[#This Row],[Month_Number]]&lt;=6,"Q2",IF(RawSalesTable[[#This Row],[Month_Number]]&lt;=9,"Q3","Q4")))</f>
        <v>Q4</v>
      </c>
      <c r="AJ101" s="13">
        <f>DATE(YEAR(RawSalesTable[[#This Row],[Order_Date]]),MONTH(RawSalesTable[[#This Row],[Order_Date]]),1)</f>
        <v>45992</v>
      </c>
      <c r="AK101" s="8" t="str">
        <f>VLOOKUP(RawSalesTable[[#This Row],[Customer_ID_clean]],CustomersTable[],4,FALSE)</f>
        <v>Alberta</v>
      </c>
    </row>
    <row r="102" spans="1:37">
      <c r="A102" t="s">
        <v>358</v>
      </c>
      <c r="B102" s="3">
        <v>45979</v>
      </c>
      <c r="C102" t="s">
        <v>359</v>
      </c>
      <c r="D102" t="s">
        <v>360</v>
      </c>
      <c r="E102" t="s">
        <v>361</v>
      </c>
      <c r="F102" t="s">
        <v>87</v>
      </c>
      <c r="G102" t="s">
        <v>117</v>
      </c>
      <c r="H102" t="s">
        <v>89</v>
      </c>
      <c r="I102">
        <v>2</v>
      </c>
      <c r="J102" s="2">
        <v>64.459999999999994</v>
      </c>
      <c r="K102" s="4">
        <v>0.05</v>
      </c>
      <c r="L102" t="s">
        <v>106</v>
      </c>
      <c r="M102">
        <v>6</v>
      </c>
      <c r="N102" t="s">
        <v>91</v>
      </c>
      <c r="O102" t="str">
        <f>SUBSTITUTE(PROPER(TRIM(RawSalesTable[[#This Row],[Channel_Raw]])), "Market Place", "Marketplace")</f>
        <v>Online</v>
      </c>
      <c r="P102" t="str">
        <f>TRIM(RawSalesTable[[#This Row],[Store_Raw]])</f>
        <v>Online Fulfillment</v>
      </c>
      <c r="Q102" t="str">
        <f>IF(TRIM(RawSalesTable[[#This Row],[Payment_Method_Raw]])="","Non renseigné",SUBSTITUTE(TRIM(RawSalesTable[[#This Row],[Payment_Method_Raw]]),"CC","Credit Card"))</f>
        <v>Credit Card</v>
      </c>
      <c r="R102" s="8" t="str">
        <f>UPPER(PROPER(RawSalesTable[[#This Row],[Customer_ID]]))</f>
        <v>C0044</v>
      </c>
      <c r="S102" s="8" t="str">
        <f>TRIM(LEFT(RawSalesTable[[#This Row],[Customer_Info]],FIND(",",RawSalesTable[[#This Row],[Customer_Info]]) -1))</f>
        <v>Nora Young</v>
      </c>
      <c r="T102" s="8" t="str">
        <f>TRIM(MID(RawSalesTable[[#This Row],[Customer_Info]],FIND(",",RawSalesTable[[#This Row],[Customer_Info]])+1,FIND(",",RawSalesTable[[#This Row],[Customer_Info]],FIND(",",RawSalesTable[[#This Row],[Customer_Info]])+1)-FIND(",",RawSalesTable[[#This Row],[Customer_Info]])-1))</f>
        <v>Vancouver</v>
      </c>
      <c r="U102" s="8" t="str">
        <f>TRIM(RIGHT(RawSalesTable[[#This Row],[Customer_Info]], LEN(RawSalesTable[[#This Row],[Customer_Info]])-FIND(",",RawSalesTable[[#This Row],[Customer_Info]],FIND(",",RawSalesTable[[#This Row],[Customer_Info]])+1)))</f>
        <v>Corporate</v>
      </c>
      <c r="V102" s="8" t="str">
        <f>VLOOKUP(RawSalesTable[[#This Row],[Product_ID]],ProductsTable[],2,FALSE)</f>
        <v>Blender</v>
      </c>
      <c r="W102" s="8" t="str">
        <f>VLOOKUP(RawSalesTable[[#This Row],[Product_ID]],ProductsTable[],3,FALSE)</f>
        <v>Home</v>
      </c>
      <c r="X102" s="8">
        <f>VLOOKUP(RawSalesTable[[#This Row],[Product_ID]],ProductsTable[],5,FALSE)</f>
        <v>37.46</v>
      </c>
      <c r="Y102" s="8">
        <f>RawSalesTable[[#This Row],[Quantity]]*RawSalesTable[[#This Row],[Unit_Price]]</f>
        <v>128.91999999999999</v>
      </c>
      <c r="Z102" s="8">
        <f>RawSalesTable[[#This Row],[Gross_Sales]]*RawSalesTable[[#This Row],[Discount_Pct]]</f>
        <v>6.4459999999999997</v>
      </c>
      <c r="AA102" s="8">
        <f>RawSalesTable[[#This Row],[Gross_Sales]]-RawSalesTable[[#This Row],[Discount_Amount]]</f>
        <v>122.47399999999999</v>
      </c>
      <c r="AB102" s="8">
        <f>RawSalesTable[[#This Row],[Unit_Cost]]*RawSalesTable[[#This Row],[Quantity]]</f>
        <v>74.92</v>
      </c>
      <c r="AC102" s="8">
        <f>RawSalesTable[[#This Row],[Net_Sales]]-RawSalesTable[[#This Row],[Total_Cost]]</f>
        <v>47.553999999999988</v>
      </c>
      <c r="AD102" s="9">
        <f>RawSalesTable[[#This Row],[Profit]]/RawSalesTable[[#This Row],[Net_Sales]]</f>
        <v>0.38827832846155097</v>
      </c>
      <c r="AE102" s="8">
        <f>IF(RawSalesTable[[#This Row],[Return_Status]]="Yes",1,0)</f>
        <v>0</v>
      </c>
      <c r="AF102" s="8">
        <f>YEAR(RawSalesTable[[#This Row],[Order_Date]])</f>
        <v>2025</v>
      </c>
      <c r="AG102" s="8">
        <f>MONTH(RawSalesTable[[#This Row],[Order_Date]])</f>
        <v>11</v>
      </c>
      <c r="AH102" s="8" t="str">
        <f>TEXT(RawSalesTable[[#This Row],[Order_Date]],"mmmm")</f>
        <v>novembre</v>
      </c>
      <c r="AI102" s="8" t="str">
        <f>IF(RawSalesTable[[#This Row],[Month_Number]]&lt;=3,"Q1",IF(RawSalesTable[[#This Row],[Month_Number]]&lt;=6,"Q2",IF(RawSalesTable[[#This Row],[Month_Number]]&lt;=9,"Q3","Q4")))</f>
        <v>Q4</v>
      </c>
      <c r="AJ102" s="13">
        <f>DATE(YEAR(RawSalesTable[[#This Row],[Order_Date]]),MONTH(RawSalesTable[[#This Row],[Order_Date]]),1)</f>
        <v>45962</v>
      </c>
      <c r="AK102" s="8" t="str">
        <f>VLOOKUP(RawSalesTable[[#This Row],[Customer_ID_clean]],CustomersTable[],4,FALSE)</f>
        <v>British Columbia</v>
      </c>
    </row>
    <row r="103" spans="1:37">
      <c r="A103" t="s">
        <v>362</v>
      </c>
      <c r="B103" s="3">
        <v>45821</v>
      </c>
      <c r="C103" t="s">
        <v>363</v>
      </c>
      <c r="D103" t="s">
        <v>133</v>
      </c>
      <c r="E103" t="s">
        <v>364</v>
      </c>
      <c r="F103" t="s">
        <v>145</v>
      </c>
      <c r="G103" t="s">
        <v>88</v>
      </c>
      <c r="H103" t="s">
        <v>89</v>
      </c>
      <c r="I103">
        <v>1</v>
      </c>
      <c r="J103" s="2">
        <v>349.84</v>
      </c>
      <c r="K103" s="4">
        <v>0.15</v>
      </c>
      <c r="L103" t="s">
        <v>106</v>
      </c>
      <c r="M103">
        <v>9</v>
      </c>
      <c r="N103" t="s">
        <v>91</v>
      </c>
      <c r="O103" t="str">
        <f>SUBSTITUTE(PROPER(TRIM(RawSalesTable[[#This Row],[Channel_Raw]])), "Market Place", "Marketplace")</f>
        <v>Online</v>
      </c>
      <c r="P103" t="str">
        <f>TRIM(RawSalesTable[[#This Row],[Store_Raw]])</f>
        <v>Calgary North</v>
      </c>
      <c r="Q103" t="str">
        <f>IF(TRIM(RawSalesTable[[#This Row],[Payment_Method_Raw]])="","Non renseigné",SUBSTITUTE(TRIM(RawSalesTable[[#This Row],[Payment_Method_Raw]]),"CC","Credit Card"))</f>
        <v>Credit Card</v>
      </c>
      <c r="R103" s="8" t="str">
        <f>UPPER(PROPER(RawSalesTable[[#This Row],[Customer_ID]]))</f>
        <v>C0025</v>
      </c>
      <c r="S103" s="8" t="str">
        <f>TRIM(LEFT(RawSalesTable[[#This Row],[Customer_Info]],FIND(",",RawSalesTable[[#This Row],[Customer_Info]]) -1))</f>
        <v>Emma Gagnon</v>
      </c>
      <c r="T103" s="8" t="str">
        <f>TRIM(MID(RawSalesTable[[#This Row],[Customer_Info]],FIND(",",RawSalesTable[[#This Row],[Customer_Info]])+1,FIND(",",RawSalesTable[[#This Row],[Customer_Info]],FIND(",",RawSalesTable[[#This Row],[Customer_Info]])+1)-FIND(",",RawSalesTable[[#This Row],[Customer_Info]])-1))</f>
        <v>Surrey</v>
      </c>
      <c r="U103" s="8" t="str">
        <f>TRIM(RIGHT(RawSalesTable[[#This Row],[Customer_Info]], LEN(RawSalesTable[[#This Row],[Customer_Info]])-FIND(",",RawSalesTable[[#This Row],[Customer_Info]],FIND(",",RawSalesTable[[#This Row],[Customer_Info]])+1)))</f>
        <v>Corporate</v>
      </c>
      <c r="V103" s="8" t="str">
        <f>VLOOKUP(RawSalesTable[[#This Row],[Product_ID]],ProductsTable[],2,FALSE)</f>
        <v>Travel Adapter</v>
      </c>
      <c r="W103" s="8" t="str">
        <f>VLOOKUP(RawSalesTable[[#This Row],[Product_ID]],ProductsTable[],3,FALSE)</f>
        <v>Accessories</v>
      </c>
      <c r="X103" s="8">
        <f>VLOOKUP(RawSalesTable[[#This Row],[Product_ID]],ProductsTable[],5,FALSE)</f>
        <v>229.86</v>
      </c>
      <c r="Y103" s="8">
        <f>RawSalesTable[[#This Row],[Quantity]]*RawSalesTable[[#This Row],[Unit_Price]]</f>
        <v>349.84</v>
      </c>
      <c r="Z103" s="8">
        <f>RawSalesTable[[#This Row],[Gross_Sales]]*RawSalesTable[[#This Row],[Discount_Pct]]</f>
        <v>52.475999999999992</v>
      </c>
      <c r="AA103" s="8">
        <f>RawSalesTable[[#This Row],[Gross_Sales]]-RawSalesTable[[#This Row],[Discount_Amount]]</f>
        <v>297.36399999999998</v>
      </c>
      <c r="AB103" s="8">
        <f>RawSalesTable[[#This Row],[Unit_Cost]]*RawSalesTable[[#This Row],[Quantity]]</f>
        <v>229.86</v>
      </c>
      <c r="AC103" s="8">
        <f>RawSalesTable[[#This Row],[Net_Sales]]-RawSalesTable[[#This Row],[Total_Cost]]</f>
        <v>67.503999999999962</v>
      </c>
      <c r="AD103" s="9">
        <f>RawSalesTable[[#This Row],[Profit]]/RawSalesTable[[#This Row],[Net_Sales]]</f>
        <v>0.22700797675576051</v>
      </c>
      <c r="AE103" s="8">
        <f>IF(RawSalesTable[[#This Row],[Return_Status]]="Yes",1,0)</f>
        <v>0</v>
      </c>
      <c r="AF103" s="8">
        <f>YEAR(RawSalesTable[[#This Row],[Order_Date]])</f>
        <v>2025</v>
      </c>
      <c r="AG103" s="8">
        <f>MONTH(RawSalesTable[[#This Row],[Order_Date]])</f>
        <v>6</v>
      </c>
      <c r="AH103" s="8" t="str">
        <f>TEXT(RawSalesTable[[#This Row],[Order_Date]],"mmmm")</f>
        <v>juin</v>
      </c>
      <c r="AI103" s="8" t="str">
        <f>IF(RawSalesTable[[#This Row],[Month_Number]]&lt;=3,"Q1",IF(RawSalesTable[[#This Row],[Month_Number]]&lt;=6,"Q2",IF(RawSalesTable[[#This Row],[Month_Number]]&lt;=9,"Q3","Q4")))</f>
        <v>Q2</v>
      </c>
      <c r="AJ103" s="13">
        <f>DATE(YEAR(RawSalesTable[[#This Row],[Order_Date]]),MONTH(RawSalesTable[[#This Row],[Order_Date]]),1)</f>
        <v>45809</v>
      </c>
      <c r="AK103" s="8" t="str">
        <f>VLOOKUP(RawSalesTable[[#This Row],[Customer_ID_clean]],CustomersTable[],4,FALSE)</f>
        <v>British Columbia</v>
      </c>
    </row>
    <row r="104" spans="1:37">
      <c r="A104" t="s">
        <v>365</v>
      </c>
      <c r="B104" s="3">
        <v>45867</v>
      </c>
      <c r="C104" t="s">
        <v>366</v>
      </c>
      <c r="D104" t="s">
        <v>120</v>
      </c>
      <c r="E104" t="s">
        <v>367</v>
      </c>
      <c r="F104" t="s">
        <v>116</v>
      </c>
      <c r="G104" t="s">
        <v>96</v>
      </c>
      <c r="H104" t="s">
        <v>105</v>
      </c>
      <c r="I104">
        <v>1</v>
      </c>
      <c r="J104" s="2">
        <v>379.66</v>
      </c>
      <c r="K104" s="4">
        <v>0.1</v>
      </c>
      <c r="L104" t="s">
        <v>106</v>
      </c>
      <c r="M104">
        <v>7</v>
      </c>
      <c r="N104" t="s">
        <v>91</v>
      </c>
      <c r="O104" t="str">
        <f>SUBSTITUTE(PROPER(TRIM(RawSalesTable[[#This Row],[Channel_Raw]])), "Market Place", "Marketplace")</f>
        <v>Marketplace</v>
      </c>
      <c r="P104" t="str">
        <f>TRIM(RawSalesTable[[#This Row],[Store_Raw]])</f>
        <v>Toronto Downtown</v>
      </c>
      <c r="Q104" t="str">
        <f>IF(TRIM(RawSalesTable[[#This Row],[Payment_Method_Raw]])="","Non renseigné",SUBSTITUTE(TRIM(RawSalesTable[[#This Row],[Payment_Method_Raw]]),"CC","Credit Card"))</f>
        <v>Credit Card</v>
      </c>
      <c r="R104" s="8" t="str">
        <f>UPPER(PROPER(RawSalesTable[[#This Row],[Customer_ID]]))</f>
        <v>C0117</v>
      </c>
      <c r="S104" s="8" t="str">
        <f>TRIM(LEFT(RawSalesTable[[#This Row],[Customer_Info]],FIND(",",RawSalesTable[[#This Row],[Customer_Info]]) -1))</f>
        <v>Ethan Hall</v>
      </c>
      <c r="T104" s="8" t="str">
        <f>TRIM(MID(RawSalesTable[[#This Row],[Customer_Info]],FIND(",",RawSalesTable[[#This Row],[Customer_Info]])+1,FIND(",",RawSalesTable[[#This Row],[Customer_Info]],FIND(",",RawSalesTable[[#This Row],[Customer_Info]])+1)-FIND(",",RawSalesTable[[#This Row],[Customer_Info]])-1))</f>
        <v>Vancouver</v>
      </c>
      <c r="U104" s="8" t="str">
        <f>TRIM(RIGHT(RawSalesTable[[#This Row],[Customer_Info]], LEN(RawSalesTable[[#This Row],[Customer_Info]])-FIND(",",RawSalesTable[[#This Row],[Customer_Info]],FIND(",",RawSalesTable[[#This Row],[Customer_Info]])+1)))</f>
        <v>Consumer</v>
      </c>
      <c r="V104" s="8" t="str">
        <f>VLOOKUP(RawSalesTable[[#This Row],[Product_ID]],ProductsTable[],2,FALSE)</f>
        <v>Desk Organizer</v>
      </c>
      <c r="W104" s="8" t="str">
        <f>VLOOKUP(RawSalesTable[[#This Row],[Product_ID]],ProductsTable[],3,FALSE)</f>
        <v>Office</v>
      </c>
      <c r="X104" s="8">
        <f>VLOOKUP(RawSalesTable[[#This Row],[Product_ID]],ProductsTable[],5,FALSE)</f>
        <v>235.76</v>
      </c>
      <c r="Y104" s="8">
        <f>RawSalesTable[[#This Row],[Quantity]]*RawSalesTable[[#This Row],[Unit_Price]]</f>
        <v>379.66</v>
      </c>
      <c r="Z104" s="8">
        <f>RawSalesTable[[#This Row],[Gross_Sales]]*RawSalesTable[[#This Row],[Discount_Pct]]</f>
        <v>37.966000000000001</v>
      </c>
      <c r="AA104" s="8">
        <f>RawSalesTable[[#This Row],[Gross_Sales]]-RawSalesTable[[#This Row],[Discount_Amount]]</f>
        <v>341.69400000000002</v>
      </c>
      <c r="AB104" s="8">
        <f>RawSalesTable[[#This Row],[Unit_Cost]]*RawSalesTable[[#This Row],[Quantity]]</f>
        <v>235.76</v>
      </c>
      <c r="AC104" s="8">
        <f>RawSalesTable[[#This Row],[Net_Sales]]-RawSalesTable[[#This Row],[Total_Cost]]</f>
        <v>105.93400000000003</v>
      </c>
      <c r="AD104" s="9">
        <f>RawSalesTable[[#This Row],[Profit]]/RawSalesTable[[#This Row],[Net_Sales]]</f>
        <v>0.31002592963294651</v>
      </c>
      <c r="AE104" s="8">
        <f>IF(RawSalesTable[[#This Row],[Return_Status]]="Yes",1,0)</f>
        <v>0</v>
      </c>
      <c r="AF104" s="8">
        <f>YEAR(RawSalesTable[[#This Row],[Order_Date]])</f>
        <v>2025</v>
      </c>
      <c r="AG104" s="8">
        <f>MONTH(RawSalesTable[[#This Row],[Order_Date]])</f>
        <v>7</v>
      </c>
      <c r="AH104" s="8" t="str">
        <f>TEXT(RawSalesTable[[#This Row],[Order_Date]],"mmmm")</f>
        <v>juillet</v>
      </c>
      <c r="AI104" s="8" t="str">
        <f>IF(RawSalesTable[[#This Row],[Month_Number]]&lt;=3,"Q1",IF(RawSalesTable[[#This Row],[Month_Number]]&lt;=6,"Q2",IF(RawSalesTable[[#This Row],[Month_Number]]&lt;=9,"Q3","Q4")))</f>
        <v>Q3</v>
      </c>
      <c r="AJ104" s="13">
        <f>DATE(YEAR(RawSalesTable[[#This Row],[Order_Date]]),MONTH(RawSalesTable[[#This Row],[Order_Date]]),1)</f>
        <v>45839</v>
      </c>
      <c r="AK104" s="8" t="str">
        <f>VLOOKUP(RawSalesTable[[#This Row],[Customer_ID_clean]],CustomersTable[],4,FALSE)</f>
        <v>British Columbia</v>
      </c>
    </row>
    <row r="105" spans="1:37">
      <c r="A105" t="s">
        <v>368</v>
      </c>
      <c r="B105" s="3">
        <v>45830</v>
      </c>
      <c r="C105" t="s">
        <v>173</v>
      </c>
      <c r="D105" t="s">
        <v>217</v>
      </c>
      <c r="E105" t="s">
        <v>175</v>
      </c>
      <c r="F105" t="s">
        <v>103</v>
      </c>
      <c r="G105" t="s">
        <v>88</v>
      </c>
      <c r="H105" t="s">
        <v>89</v>
      </c>
      <c r="I105">
        <v>1</v>
      </c>
      <c r="J105" s="2">
        <v>101.43</v>
      </c>
      <c r="K105" s="4">
        <v>0.15</v>
      </c>
      <c r="L105" t="s">
        <v>369</v>
      </c>
      <c r="M105">
        <v>7</v>
      </c>
      <c r="N105" t="s">
        <v>91</v>
      </c>
      <c r="O105" t="str">
        <f>SUBSTITUTE(PROPER(TRIM(RawSalesTable[[#This Row],[Channel_Raw]])), "Market Place", "Marketplace")</f>
        <v>Online</v>
      </c>
      <c r="P105" t="str">
        <f>TRIM(RawSalesTable[[#This Row],[Store_Raw]])</f>
        <v>Vancouver West</v>
      </c>
      <c r="Q105" t="str">
        <f>IF(TRIM(RawSalesTable[[#This Row],[Payment_Method_Raw]])="","Non renseigné",SUBSTITUTE(TRIM(RawSalesTable[[#This Row],[Payment_Method_Raw]]),"CC","Credit Card"))</f>
        <v>Paypal</v>
      </c>
      <c r="R105" s="8" t="str">
        <f>UPPER(PROPER(RawSalesTable[[#This Row],[Customer_ID]]))</f>
        <v>C0077</v>
      </c>
      <c r="S105" s="8" t="str">
        <f>TRIM(LEFT(RawSalesTable[[#This Row],[Customer_Info]],FIND(",",RawSalesTable[[#This Row],[Customer_Info]]) -1))</f>
        <v>Amine Taylor</v>
      </c>
      <c r="T105" s="8" t="str">
        <f>TRIM(MID(RawSalesTable[[#This Row],[Customer_Info]],FIND(",",RawSalesTable[[#This Row],[Customer_Info]])+1,FIND(",",RawSalesTable[[#This Row],[Customer_Info]],FIND(",",RawSalesTable[[#This Row],[Customer_Info]])+1)-FIND(",",RawSalesTable[[#This Row],[Customer_Info]])-1))</f>
        <v>Surrey</v>
      </c>
      <c r="U105" s="8" t="str">
        <f>TRIM(RIGHT(RawSalesTable[[#This Row],[Customer_Info]], LEN(RawSalesTable[[#This Row],[Customer_Info]])-FIND(",",RawSalesTable[[#This Row],[Customer_Info]],FIND(",",RawSalesTable[[#This Row],[Customer_Info]])+1)))</f>
        <v>Small Business</v>
      </c>
      <c r="V105" s="8" t="str">
        <f>VLOOKUP(RawSalesTable[[#This Row],[Product_ID]],ProductsTable[],2,FALSE)</f>
        <v>USB-C Hub</v>
      </c>
      <c r="W105" s="8" t="str">
        <f>VLOOKUP(RawSalesTable[[#This Row],[Product_ID]],ProductsTable[],3,FALSE)</f>
        <v>Electronics</v>
      </c>
      <c r="X105" s="8">
        <f>VLOOKUP(RawSalesTable[[#This Row],[Product_ID]],ProductsTable[],5,FALSE)</f>
        <v>72</v>
      </c>
      <c r="Y105" s="8">
        <f>RawSalesTable[[#This Row],[Quantity]]*RawSalesTable[[#This Row],[Unit_Price]]</f>
        <v>101.43</v>
      </c>
      <c r="Z105" s="8">
        <f>RawSalesTable[[#This Row],[Gross_Sales]]*RawSalesTable[[#This Row],[Discount_Pct]]</f>
        <v>15.214500000000001</v>
      </c>
      <c r="AA105" s="8">
        <f>RawSalesTable[[#This Row],[Gross_Sales]]-RawSalesTable[[#This Row],[Discount_Amount]]</f>
        <v>86.215500000000006</v>
      </c>
      <c r="AB105" s="8">
        <f>RawSalesTable[[#This Row],[Unit_Cost]]*RawSalesTable[[#This Row],[Quantity]]</f>
        <v>72</v>
      </c>
      <c r="AC105" s="8">
        <f>RawSalesTable[[#This Row],[Net_Sales]]-RawSalesTable[[#This Row],[Total_Cost]]</f>
        <v>14.215500000000006</v>
      </c>
      <c r="AD105" s="9">
        <f>RawSalesTable[[#This Row],[Profit]]/RawSalesTable[[#This Row],[Net_Sales]]</f>
        <v>0.16488334464220478</v>
      </c>
      <c r="AE105" s="8">
        <f>IF(RawSalesTable[[#This Row],[Return_Status]]="Yes",1,0)</f>
        <v>0</v>
      </c>
      <c r="AF105" s="8">
        <f>YEAR(RawSalesTable[[#This Row],[Order_Date]])</f>
        <v>2025</v>
      </c>
      <c r="AG105" s="8">
        <f>MONTH(RawSalesTable[[#This Row],[Order_Date]])</f>
        <v>6</v>
      </c>
      <c r="AH105" s="8" t="str">
        <f>TEXT(RawSalesTable[[#This Row],[Order_Date]],"mmmm")</f>
        <v>juin</v>
      </c>
      <c r="AI105" s="8" t="str">
        <f>IF(RawSalesTable[[#This Row],[Month_Number]]&lt;=3,"Q1",IF(RawSalesTable[[#This Row],[Month_Number]]&lt;=6,"Q2",IF(RawSalesTable[[#This Row],[Month_Number]]&lt;=9,"Q3","Q4")))</f>
        <v>Q2</v>
      </c>
      <c r="AJ105" s="13">
        <f>DATE(YEAR(RawSalesTable[[#This Row],[Order_Date]]),MONTH(RawSalesTable[[#This Row],[Order_Date]]),1)</f>
        <v>45809</v>
      </c>
      <c r="AK105" s="8" t="str">
        <f>VLOOKUP(RawSalesTable[[#This Row],[Customer_ID_clean]],CustomersTable[],4,FALSE)</f>
        <v>British Columbia</v>
      </c>
    </row>
    <row r="106" spans="1:37">
      <c r="A106" t="s">
        <v>370</v>
      </c>
      <c r="B106" s="3">
        <v>45917</v>
      </c>
      <c r="C106" t="s">
        <v>371</v>
      </c>
      <c r="D106" t="s">
        <v>143</v>
      </c>
      <c r="E106" t="s">
        <v>372</v>
      </c>
      <c r="F106" t="s">
        <v>103</v>
      </c>
      <c r="G106" t="s">
        <v>104</v>
      </c>
      <c r="H106" t="s">
        <v>89</v>
      </c>
      <c r="I106">
        <v>1</v>
      </c>
      <c r="J106" s="2">
        <v>266.14999999999998</v>
      </c>
      <c r="K106" s="4">
        <v>0.05</v>
      </c>
      <c r="L106" t="s">
        <v>106</v>
      </c>
      <c r="M106">
        <v>4</v>
      </c>
      <c r="N106" t="s">
        <v>91</v>
      </c>
      <c r="O106" t="str">
        <f>SUBSTITUTE(PROPER(TRIM(RawSalesTable[[#This Row],[Channel_Raw]])), "Market Place", "Marketplace")</f>
        <v>Online</v>
      </c>
      <c r="P106" t="str">
        <f>TRIM(RawSalesTable[[#This Row],[Store_Raw]])</f>
        <v>Vancouver West</v>
      </c>
      <c r="Q106" t="str">
        <f>IF(TRIM(RawSalesTable[[#This Row],[Payment_Method_Raw]])="","Non renseigné",SUBSTITUTE(TRIM(RawSalesTable[[#This Row],[Payment_Method_Raw]]),"CC","Credit Card"))</f>
        <v>Credit Card</v>
      </c>
      <c r="R106" s="8" t="str">
        <f>UPPER(PROPER(RawSalesTable[[#This Row],[Customer_ID]]))</f>
        <v>C0049</v>
      </c>
      <c r="S106" s="8" t="str">
        <f>TRIM(LEFT(RawSalesTable[[#This Row],[Customer_Info]],FIND(",",RawSalesTable[[#This Row],[Customer_Info]]) -1))</f>
        <v>Olivia Scott</v>
      </c>
      <c r="T106" s="8" t="str">
        <f>TRIM(MID(RawSalesTable[[#This Row],[Customer_Info]],FIND(",",RawSalesTable[[#This Row],[Customer_Info]])+1,FIND(",",RawSalesTable[[#This Row],[Customer_Info]],FIND(",",RawSalesTable[[#This Row],[Customer_Info]])+1)-FIND(",",RawSalesTable[[#This Row],[Customer_Info]])-1))</f>
        <v>Quebec City</v>
      </c>
      <c r="U106" s="8" t="str">
        <f>TRIM(RIGHT(RawSalesTable[[#This Row],[Customer_Info]], LEN(RawSalesTable[[#This Row],[Customer_Info]])-FIND(",",RawSalesTable[[#This Row],[Customer_Info]],FIND(",",RawSalesTable[[#This Row],[Customer_Info]])+1)))</f>
        <v>Consumer</v>
      </c>
      <c r="V106" s="8" t="str">
        <f>VLOOKUP(RawSalesTable[[#This Row],[Product_ID]],ProductsTable[],2,FALSE)</f>
        <v>Water Bottle</v>
      </c>
      <c r="W106" s="8" t="str">
        <f>VLOOKUP(RawSalesTable[[#This Row],[Product_ID]],ProductsTable[],3,FALSE)</f>
        <v>Accessories</v>
      </c>
      <c r="X106" s="8">
        <f>VLOOKUP(RawSalesTable[[#This Row],[Product_ID]],ProductsTable[],5,FALSE)</f>
        <v>119.16</v>
      </c>
      <c r="Y106" s="8">
        <f>RawSalesTable[[#This Row],[Quantity]]*RawSalesTable[[#This Row],[Unit_Price]]</f>
        <v>266.14999999999998</v>
      </c>
      <c r="Z106" s="8">
        <f>RawSalesTable[[#This Row],[Gross_Sales]]*RawSalesTable[[#This Row],[Discount_Pct]]</f>
        <v>13.307499999999999</v>
      </c>
      <c r="AA106" s="8">
        <f>RawSalesTable[[#This Row],[Gross_Sales]]-RawSalesTable[[#This Row],[Discount_Amount]]</f>
        <v>252.84249999999997</v>
      </c>
      <c r="AB106" s="8">
        <f>RawSalesTable[[#This Row],[Unit_Cost]]*RawSalesTable[[#This Row],[Quantity]]</f>
        <v>119.16</v>
      </c>
      <c r="AC106" s="8">
        <f>RawSalesTable[[#This Row],[Net_Sales]]-RawSalesTable[[#This Row],[Total_Cost]]</f>
        <v>133.68249999999998</v>
      </c>
      <c r="AD106" s="9">
        <f>RawSalesTable[[#This Row],[Profit]]/RawSalesTable[[#This Row],[Net_Sales]]</f>
        <v>0.52871847098490166</v>
      </c>
      <c r="AE106" s="8">
        <f>IF(RawSalesTable[[#This Row],[Return_Status]]="Yes",1,0)</f>
        <v>0</v>
      </c>
      <c r="AF106" s="8">
        <f>YEAR(RawSalesTable[[#This Row],[Order_Date]])</f>
        <v>2025</v>
      </c>
      <c r="AG106" s="8">
        <f>MONTH(RawSalesTable[[#This Row],[Order_Date]])</f>
        <v>9</v>
      </c>
      <c r="AH106" s="8" t="str">
        <f>TEXT(RawSalesTable[[#This Row],[Order_Date]],"mmmm")</f>
        <v>septembre</v>
      </c>
      <c r="AI106" s="8" t="str">
        <f>IF(RawSalesTable[[#This Row],[Month_Number]]&lt;=3,"Q1",IF(RawSalesTable[[#This Row],[Month_Number]]&lt;=6,"Q2",IF(RawSalesTable[[#This Row],[Month_Number]]&lt;=9,"Q3","Q4")))</f>
        <v>Q3</v>
      </c>
      <c r="AJ106" s="13">
        <f>DATE(YEAR(RawSalesTable[[#This Row],[Order_Date]]),MONTH(RawSalesTable[[#This Row],[Order_Date]]),1)</f>
        <v>45901</v>
      </c>
      <c r="AK106" s="8" t="str">
        <f>VLOOKUP(RawSalesTable[[#This Row],[Customer_ID_clean]],CustomersTable[],4,FALSE)</f>
        <v>Quebec</v>
      </c>
    </row>
    <row r="107" spans="1:37">
      <c r="A107" t="s">
        <v>373</v>
      </c>
      <c r="B107" s="3">
        <v>45720</v>
      </c>
      <c r="C107" t="s">
        <v>374</v>
      </c>
      <c r="D107" t="s">
        <v>114</v>
      </c>
      <c r="E107" t="s">
        <v>375</v>
      </c>
      <c r="F107" t="s">
        <v>87</v>
      </c>
      <c r="G107" t="s">
        <v>183</v>
      </c>
      <c r="H107" t="s">
        <v>89</v>
      </c>
      <c r="I107">
        <v>3</v>
      </c>
      <c r="J107" s="2">
        <v>138.76</v>
      </c>
      <c r="K107" s="4">
        <v>0.2</v>
      </c>
      <c r="L107" t="s">
        <v>98</v>
      </c>
      <c r="M107">
        <v>1</v>
      </c>
      <c r="N107" t="s">
        <v>91</v>
      </c>
      <c r="O107" t="str">
        <f>SUBSTITUTE(PROPER(TRIM(RawSalesTable[[#This Row],[Channel_Raw]])), "Market Place", "Marketplace")</f>
        <v>Online</v>
      </c>
      <c r="P107" t="str">
        <f>TRIM(RawSalesTable[[#This Row],[Store_Raw]])</f>
        <v>Online Fulfillment</v>
      </c>
      <c r="Q107" t="str">
        <f>IF(TRIM(RawSalesTable[[#This Row],[Payment_Method_Raw]])="","Non renseigné",SUBSTITUTE(TRIM(RawSalesTable[[#This Row],[Payment_Method_Raw]]),"CC","Credit Card"))</f>
        <v>Debit Card</v>
      </c>
      <c r="R107" s="8" t="str">
        <f>UPPER(PROPER(RawSalesTable[[#This Row],[Customer_ID]]))</f>
        <v>C0035</v>
      </c>
      <c r="S107" s="8" t="str">
        <f>TRIM(LEFT(RawSalesTable[[#This Row],[Customer_Info]],FIND(",",RawSalesTable[[#This Row],[Customer_Info]]) -1))</f>
        <v>Amelia Scott</v>
      </c>
      <c r="T107" s="8" t="str">
        <f>TRIM(MID(RawSalesTable[[#This Row],[Customer_Info]],FIND(",",RawSalesTable[[#This Row],[Customer_Info]])+1,FIND(",",RawSalesTable[[#This Row],[Customer_Info]],FIND(",",RawSalesTable[[#This Row],[Customer_Info]])+1)-FIND(",",RawSalesTable[[#This Row],[Customer_Info]])-1))</f>
        <v>Edmonton</v>
      </c>
      <c r="U107" s="8" t="str">
        <f>TRIM(RIGHT(RawSalesTable[[#This Row],[Customer_Info]], LEN(RawSalesTable[[#This Row],[Customer_Info]])-FIND(",",RawSalesTable[[#This Row],[Customer_Info]],FIND(",",RawSalesTable[[#This Row],[Customer_Info]])+1)))</f>
        <v>Small Business</v>
      </c>
      <c r="V107" s="8" t="str">
        <f>VLOOKUP(RawSalesTable[[#This Row],[Product_ID]],ProductsTable[],2,FALSE)</f>
        <v>Laptop Sleeve</v>
      </c>
      <c r="W107" s="8" t="str">
        <f>VLOOKUP(RawSalesTable[[#This Row],[Product_ID]],ProductsTable[],3,FALSE)</f>
        <v>Accessories</v>
      </c>
      <c r="X107" s="8">
        <f>VLOOKUP(RawSalesTable[[#This Row],[Product_ID]],ProductsTable[],5,FALSE)</f>
        <v>78.95</v>
      </c>
      <c r="Y107" s="8">
        <f>RawSalesTable[[#This Row],[Quantity]]*RawSalesTable[[#This Row],[Unit_Price]]</f>
        <v>416.28</v>
      </c>
      <c r="Z107" s="8">
        <f>RawSalesTable[[#This Row],[Gross_Sales]]*RawSalesTable[[#This Row],[Discount_Pct]]</f>
        <v>83.256</v>
      </c>
      <c r="AA107" s="8">
        <f>RawSalesTable[[#This Row],[Gross_Sales]]-RawSalesTable[[#This Row],[Discount_Amount]]</f>
        <v>333.024</v>
      </c>
      <c r="AB107" s="8">
        <f>RawSalesTable[[#This Row],[Unit_Cost]]*RawSalesTable[[#This Row],[Quantity]]</f>
        <v>236.85000000000002</v>
      </c>
      <c r="AC107" s="8">
        <f>RawSalesTable[[#This Row],[Net_Sales]]-RawSalesTable[[#This Row],[Total_Cost]]</f>
        <v>96.173999999999978</v>
      </c>
      <c r="AD107" s="9">
        <f>RawSalesTable[[#This Row],[Profit]]/RawSalesTable[[#This Row],[Net_Sales]]</f>
        <v>0.28878999711732484</v>
      </c>
      <c r="AE107" s="8">
        <f>IF(RawSalesTable[[#This Row],[Return_Status]]="Yes",1,0)</f>
        <v>0</v>
      </c>
      <c r="AF107" s="8">
        <f>YEAR(RawSalesTable[[#This Row],[Order_Date]])</f>
        <v>2025</v>
      </c>
      <c r="AG107" s="8">
        <f>MONTH(RawSalesTable[[#This Row],[Order_Date]])</f>
        <v>3</v>
      </c>
      <c r="AH107" s="8" t="str">
        <f>TEXT(RawSalesTable[[#This Row],[Order_Date]],"mmmm")</f>
        <v>mars</v>
      </c>
      <c r="AI107" s="8" t="str">
        <f>IF(RawSalesTable[[#This Row],[Month_Number]]&lt;=3,"Q1",IF(RawSalesTable[[#This Row],[Month_Number]]&lt;=6,"Q2",IF(RawSalesTable[[#This Row],[Month_Number]]&lt;=9,"Q3","Q4")))</f>
        <v>Q1</v>
      </c>
      <c r="AJ107" s="13">
        <f>DATE(YEAR(RawSalesTable[[#This Row],[Order_Date]]),MONTH(RawSalesTable[[#This Row],[Order_Date]]),1)</f>
        <v>45717</v>
      </c>
      <c r="AK107" s="8" t="str">
        <f>VLOOKUP(RawSalesTable[[#This Row],[Customer_ID_clean]],CustomersTable[],4,FALSE)</f>
        <v>Alberta</v>
      </c>
    </row>
    <row r="108" spans="1:37">
      <c r="A108" t="s">
        <v>376</v>
      </c>
      <c r="B108" s="3">
        <v>45894</v>
      </c>
      <c r="C108" t="s">
        <v>108</v>
      </c>
      <c r="D108" t="s">
        <v>277</v>
      </c>
      <c r="E108" t="s">
        <v>110</v>
      </c>
      <c r="F108" t="s">
        <v>116</v>
      </c>
      <c r="G108" t="s">
        <v>171</v>
      </c>
      <c r="H108" t="s">
        <v>246</v>
      </c>
      <c r="I108">
        <v>1</v>
      </c>
      <c r="J108" s="2">
        <v>350.44</v>
      </c>
      <c r="K108" s="4">
        <v>0</v>
      </c>
      <c r="L108" t="s">
        <v>106</v>
      </c>
      <c r="M108">
        <v>1</v>
      </c>
      <c r="N108" t="s">
        <v>91</v>
      </c>
      <c r="O108" t="str">
        <f>SUBSTITUTE(PROPER(TRIM(RawSalesTable[[#This Row],[Channel_Raw]])), "Market Place", "Marketplace")</f>
        <v>Retail Store</v>
      </c>
      <c r="P108" t="str">
        <f>TRIM(RawSalesTable[[#This Row],[Store_Raw]])</f>
        <v>Toronto Downtown</v>
      </c>
      <c r="Q108" t="str">
        <f>IF(TRIM(RawSalesTable[[#This Row],[Payment_Method_Raw]])="","Non renseigné",SUBSTITUTE(TRIM(RawSalesTable[[#This Row],[Payment_Method_Raw]]),"CC","Credit Card"))</f>
        <v>Credit Card</v>
      </c>
      <c r="R108" s="8" t="str">
        <f>UPPER(PROPER(RawSalesTable[[#This Row],[Customer_ID]]))</f>
        <v>C0071</v>
      </c>
      <c r="S108" s="8" t="str">
        <f>TRIM(LEFT(RawSalesTable[[#This Row],[Customer_Info]],FIND(",",RawSalesTable[[#This Row],[Customer_Info]]) -1))</f>
        <v>Ethan Lee</v>
      </c>
      <c r="T108" s="8" t="str">
        <f>TRIM(MID(RawSalesTable[[#This Row],[Customer_Info]],FIND(",",RawSalesTable[[#This Row],[Customer_Info]])+1,FIND(",",RawSalesTable[[#This Row],[Customer_Info]],FIND(",",RawSalesTable[[#This Row],[Customer_Info]])+1)-FIND(",",RawSalesTable[[#This Row],[Customer_Info]])-1))</f>
        <v>Surrey</v>
      </c>
      <c r="U108" s="8" t="str">
        <f>TRIM(RIGHT(RawSalesTable[[#This Row],[Customer_Info]], LEN(RawSalesTable[[#This Row],[Customer_Info]])-FIND(",",RawSalesTable[[#This Row],[Customer_Info]],FIND(",",RawSalesTable[[#This Row],[Customer_Info]])+1)))</f>
        <v>Consumer</v>
      </c>
      <c r="V108" s="8" t="str">
        <f>VLOOKUP(RawSalesTable[[#This Row],[Product_ID]],ProductsTable[],2,FALSE)</f>
        <v>Headphones</v>
      </c>
      <c r="W108" s="8" t="str">
        <f>VLOOKUP(RawSalesTable[[#This Row],[Product_ID]],ProductsTable[],3,FALSE)</f>
        <v>Electronics</v>
      </c>
      <c r="X108" s="8">
        <f>VLOOKUP(RawSalesTable[[#This Row],[Product_ID]],ProductsTable[],5,FALSE)</f>
        <v>254.6</v>
      </c>
      <c r="Y108" s="8">
        <f>RawSalesTable[[#This Row],[Quantity]]*RawSalesTable[[#This Row],[Unit_Price]]</f>
        <v>350.44</v>
      </c>
      <c r="Z108" s="8">
        <f>RawSalesTable[[#This Row],[Gross_Sales]]*RawSalesTable[[#This Row],[Discount_Pct]]</f>
        <v>0</v>
      </c>
      <c r="AA108" s="8">
        <f>RawSalesTable[[#This Row],[Gross_Sales]]-RawSalesTable[[#This Row],[Discount_Amount]]</f>
        <v>350.44</v>
      </c>
      <c r="AB108" s="8">
        <f>RawSalesTable[[#This Row],[Unit_Cost]]*RawSalesTable[[#This Row],[Quantity]]</f>
        <v>254.6</v>
      </c>
      <c r="AC108" s="8">
        <f>RawSalesTable[[#This Row],[Net_Sales]]-RawSalesTable[[#This Row],[Total_Cost]]</f>
        <v>95.84</v>
      </c>
      <c r="AD108" s="9">
        <f>RawSalesTable[[#This Row],[Profit]]/RawSalesTable[[#This Row],[Net_Sales]]</f>
        <v>0.27348476201346877</v>
      </c>
      <c r="AE108" s="8">
        <f>IF(RawSalesTable[[#This Row],[Return_Status]]="Yes",1,0)</f>
        <v>0</v>
      </c>
      <c r="AF108" s="8">
        <f>YEAR(RawSalesTable[[#This Row],[Order_Date]])</f>
        <v>2025</v>
      </c>
      <c r="AG108" s="8">
        <f>MONTH(RawSalesTable[[#This Row],[Order_Date]])</f>
        <v>8</v>
      </c>
      <c r="AH108" s="8" t="str">
        <f>TEXT(RawSalesTable[[#This Row],[Order_Date]],"mmmm")</f>
        <v>août</v>
      </c>
      <c r="AI108" s="8" t="str">
        <f>IF(RawSalesTable[[#This Row],[Month_Number]]&lt;=3,"Q1",IF(RawSalesTable[[#This Row],[Month_Number]]&lt;=6,"Q2",IF(RawSalesTable[[#This Row],[Month_Number]]&lt;=9,"Q3","Q4")))</f>
        <v>Q3</v>
      </c>
      <c r="AJ108" s="13">
        <f>DATE(YEAR(RawSalesTable[[#This Row],[Order_Date]]),MONTH(RawSalesTable[[#This Row],[Order_Date]]),1)</f>
        <v>45870</v>
      </c>
      <c r="AK108" s="8" t="str">
        <f>VLOOKUP(RawSalesTable[[#This Row],[Customer_ID_clean]],CustomersTable[],4,FALSE)</f>
        <v>British Columbia</v>
      </c>
    </row>
    <row r="109" spans="1:37">
      <c r="A109" t="s">
        <v>377</v>
      </c>
      <c r="B109" s="3">
        <v>45822</v>
      </c>
      <c r="C109" t="s">
        <v>319</v>
      </c>
      <c r="D109" t="s">
        <v>174</v>
      </c>
      <c r="E109" t="s">
        <v>320</v>
      </c>
      <c r="F109" t="s">
        <v>111</v>
      </c>
      <c r="G109" t="s">
        <v>88</v>
      </c>
      <c r="H109" t="s">
        <v>89</v>
      </c>
      <c r="I109">
        <v>2</v>
      </c>
      <c r="J109" s="2">
        <v>37.19</v>
      </c>
      <c r="K109" s="4">
        <v>0</v>
      </c>
      <c r="L109" t="s">
        <v>90</v>
      </c>
      <c r="M109">
        <v>1</v>
      </c>
      <c r="N109" t="s">
        <v>91</v>
      </c>
      <c r="O109" t="str">
        <f>SUBSTITUTE(PROPER(TRIM(RawSalesTable[[#This Row],[Channel_Raw]])), "Market Place", "Marketplace")</f>
        <v>Online</v>
      </c>
      <c r="P109" t="str">
        <f>TRIM(RawSalesTable[[#This Row],[Store_Raw]])</f>
        <v>Montreal Central</v>
      </c>
      <c r="Q109" t="str">
        <f>IF(TRIM(RawSalesTable[[#This Row],[Payment_Method_Raw]])="","Non renseigné",SUBSTITUTE(TRIM(RawSalesTable[[#This Row],[Payment_Method_Raw]]),"CC","Credit Card"))</f>
        <v>PayPal</v>
      </c>
      <c r="R109" s="8" t="str">
        <f>UPPER(PROPER(RawSalesTable[[#This Row],[Customer_ID]]))</f>
        <v>C0013</v>
      </c>
      <c r="S109" s="8" t="str">
        <f>TRIM(LEFT(RawSalesTable[[#This Row],[Customer_Info]],FIND(",",RawSalesTable[[#This Row],[Customer_Info]]) -1))</f>
        <v>Amelia Martin</v>
      </c>
      <c r="T109" s="8" t="str">
        <f>TRIM(MID(RawSalesTable[[#This Row],[Customer_Info]],FIND(",",RawSalesTable[[#This Row],[Customer_Info]])+1,FIND(",",RawSalesTable[[#This Row],[Customer_Info]],FIND(",",RawSalesTable[[#This Row],[Customer_Info]])+1)-FIND(",",RawSalesTable[[#This Row],[Customer_Info]])-1))</f>
        <v>Quebec City</v>
      </c>
      <c r="U109" s="8" t="str">
        <f>TRIM(RIGHT(RawSalesTable[[#This Row],[Customer_Info]], LEN(RawSalesTable[[#This Row],[Customer_Info]])-FIND(",",RawSalesTable[[#This Row],[Customer_Info]],FIND(",",RawSalesTable[[#This Row],[Customer_Info]])+1)))</f>
        <v>Small Business</v>
      </c>
      <c r="V109" s="8" t="str">
        <f>VLOOKUP(RawSalesTable[[#This Row],[Product_ID]],ProductsTable[],2,FALSE)</f>
        <v>Keyboard</v>
      </c>
      <c r="W109" s="8" t="str">
        <f>VLOOKUP(RawSalesTable[[#This Row],[Product_ID]],ProductsTable[],3,FALSE)</f>
        <v>Electronics</v>
      </c>
      <c r="X109" s="8">
        <f>VLOOKUP(RawSalesTable[[#This Row],[Product_ID]],ProductsTable[],5,FALSE)</f>
        <v>23.5</v>
      </c>
      <c r="Y109" s="8">
        <f>RawSalesTable[[#This Row],[Quantity]]*RawSalesTable[[#This Row],[Unit_Price]]</f>
        <v>74.38</v>
      </c>
      <c r="Z109" s="8">
        <f>RawSalesTable[[#This Row],[Gross_Sales]]*RawSalesTable[[#This Row],[Discount_Pct]]</f>
        <v>0</v>
      </c>
      <c r="AA109" s="8">
        <f>RawSalesTable[[#This Row],[Gross_Sales]]-RawSalesTable[[#This Row],[Discount_Amount]]</f>
        <v>74.38</v>
      </c>
      <c r="AB109" s="8">
        <f>RawSalesTable[[#This Row],[Unit_Cost]]*RawSalesTable[[#This Row],[Quantity]]</f>
        <v>47</v>
      </c>
      <c r="AC109" s="8">
        <f>RawSalesTable[[#This Row],[Net_Sales]]-RawSalesTable[[#This Row],[Total_Cost]]</f>
        <v>27.379999999999995</v>
      </c>
      <c r="AD109" s="9">
        <f>RawSalesTable[[#This Row],[Profit]]/RawSalesTable[[#This Row],[Net_Sales]]</f>
        <v>0.36810970691045974</v>
      </c>
      <c r="AE109" s="8">
        <f>IF(RawSalesTable[[#This Row],[Return_Status]]="Yes",1,0)</f>
        <v>0</v>
      </c>
      <c r="AF109" s="8">
        <f>YEAR(RawSalesTable[[#This Row],[Order_Date]])</f>
        <v>2025</v>
      </c>
      <c r="AG109" s="8">
        <f>MONTH(RawSalesTable[[#This Row],[Order_Date]])</f>
        <v>6</v>
      </c>
      <c r="AH109" s="8" t="str">
        <f>TEXT(RawSalesTable[[#This Row],[Order_Date]],"mmmm")</f>
        <v>juin</v>
      </c>
      <c r="AI109" s="8" t="str">
        <f>IF(RawSalesTable[[#This Row],[Month_Number]]&lt;=3,"Q1",IF(RawSalesTable[[#This Row],[Month_Number]]&lt;=6,"Q2",IF(RawSalesTable[[#This Row],[Month_Number]]&lt;=9,"Q3","Q4")))</f>
        <v>Q2</v>
      </c>
      <c r="AJ109" s="13">
        <f>DATE(YEAR(RawSalesTable[[#This Row],[Order_Date]]),MONTH(RawSalesTable[[#This Row],[Order_Date]]),1)</f>
        <v>45809</v>
      </c>
      <c r="AK109" s="8" t="str">
        <f>VLOOKUP(RawSalesTable[[#This Row],[Customer_ID_clean]],CustomersTable[],4,FALSE)</f>
        <v>Quebec</v>
      </c>
    </row>
    <row r="110" spans="1:37">
      <c r="A110" t="s">
        <v>378</v>
      </c>
      <c r="B110" s="3">
        <v>45890</v>
      </c>
      <c r="C110" t="s">
        <v>379</v>
      </c>
      <c r="D110" t="s">
        <v>226</v>
      </c>
      <c r="E110" t="s">
        <v>380</v>
      </c>
      <c r="F110" t="s">
        <v>111</v>
      </c>
      <c r="G110" t="s">
        <v>88</v>
      </c>
      <c r="H110" t="s">
        <v>89</v>
      </c>
      <c r="I110">
        <v>1</v>
      </c>
      <c r="J110" s="2">
        <v>225.35</v>
      </c>
      <c r="K110" s="4">
        <v>0</v>
      </c>
      <c r="L110" t="s">
        <v>106</v>
      </c>
      <c r="M110">
        <v>2</v>
      </c>
      <c r="N110" t="s">
        <v>91</v>
      </c>
      <c r="O110" t="str">
        <f>SUBSTITUTE(PROPER(TRIM(RawSalesTable[[#This Row],[Channel_Raw]])), "Market Place", "Marketplace")</f>
        <v>Online</v>
      </c>
      <c r="P110" t="str">
        <f>TRIM(RawSalesTable[[#This Row],[Store_Raw]])</f>
        <v>Montreal Central</v>
      </c>
      <c r="Q110" t="str">
        <f>IF(TRIM(RawSalesTable[[#This Row],[Payment_Method_Raw]])="","Non renseigné",SUBSTITUTE(TRIM(RawSalesTable[[#This Row],[Payment_Method_Raw]]),"CC","Credit Card"))</f>
        <v>Credit Card</v>
      </c>
      <c r="R110" s="8" t="str">
        <f>UPPER(PROPER(RawSalesTable[[#This Row],[Customer_ID]]))</f>
        <v>C0072</v>
      </c>
      <c r="S110" s="8" t="str">
        <f>TRIM(LEFT(RawSalesTable[[#This Row],[Customer_Info]],FIND(",",RawSalesTable[[#This Row],[Customer_Info]]) -1))</f>
        <v>Ryan Bennett</v>
      </c>
      <c r="T110" s="8" t="str">
        <f>TRIM(MID(RawSalesTable[[#This Row],[Customer_Info]],FIND(",",RawSalesTable[[#This Row],[Customer_Info]])+1,FIND(",",RawSalesTable[[#This Row],[Customer_Info]],FIND(",",RawSalesTable[[#This Row],[Customer_Info]])+1)-FIND(",",RawSalesTable[[#This Row],[Customer_Info]])-1))</f>
        <v>Montreal</v>
      </c>
      <c r="U110" s="8" t="str">
        <f>TRIM(RIGHT(RawSalesTable[[#This Row],[Customer_Info]], LEN(RawSalesTable[[#This Row],[Customer_Info]])-FIND(",",RawSalesTable[[#This Row],[Customer_Info]],FIND(",",RawSalesTable[[#This Row],[Customer_Info]])+1)))</f>
        <v>Corporate</v>
      </c>
      <c r="V110" s="8" t="str">
        <f>VLOOKUP(RawSalesTable[[#This Row],[Product_ID]],ProductsTable[],2,FALSE)</f>
        <v>Desk Lamp</v>
      </c>
      <c r="W110" s="8" t="str">
        <f>VLOOKUP(RawSalesTable[[#This Row],[Product_ID]],ProductsTable[],3,FALSE)</f>
        <v>Office</v>
      </c>
      <c r="X110" s="8">
        <f>VLOOKUP(RawSalesTable[[#This Row],[Product_ID]],ProductsTable[],5,FALSE)</f>
        <v>127.21</v>
      </c>
      <c r="Y110" s="8">
        <f>RawSalesTable[[#This Row],[Quantity]]*RawSalesTable[[#This Row],[Unit_Price]]</f>
        <v>225.35</v>
      </c>
      <c r="Z110" s="8">
        <f>RawSalesTable[[#This Row],[Gross_Sales]]*RawSalesTable[[#This Row],[Discount_Pct]]</f>
        <v>0</v>
      </c>
      <c r="AA110" s="8">
        <f>RawSalesTable[[#This Row],[Gross_Sales]]-RawSalesTable[[#This Row],[Discount_Amount]]</f>
        <v>225.35</v>
      </c>
      <c r="AB110" s="8">
        <f>RawSalesTable[[#This Row],[Unit_Cost]]*RawSalesTable[[#This Row],[Quantity]]</f>
        <v>127.21</v>
      </c>
      <c r="AC110" s="8">
        <f>RawSalesTable[[#This Row],[Net_Sales]]-RawSalesTable[[#This Row],[Total_Cost]]</f>
        <v>98.14</v>
      </c>
      <c r="AD110" s="9">
        <f>RawSalesTable[[#This Row],[Profit]]/RawSalesTable[[#This Row],[Net_Sales]]</f>
        <v>0.43550033281562017</v>
      </c>
      <c r="AE110" s="8">
        <f>IF(RawSalesTable[[#This Row],[Return_Status]]="Yes",1,0)</f>
        <v>0</v>
      </c>
      <c r="AF110" s="8">
        <f>YEAR(RawSalesTable[[#This Row],[Order_Date]])</f>
        <v>2025</v>
      </c>
      <c r="AG110" s="8">
        <f>MONTH(RawSalesTable[[#This Row],[Order_Date]])</f>
        <v>8</v>
      </c>
      <c r="AH110" s="8" t="str">
        <f>TEXT(RawSalesTable[[#This Row],[Order_Date]],"mmmm")</f>
        <v>août</v>
      </c>
      <c r="AI110" s="8" t="str">
        <f>IF(RawSalesTable[[#This Row],[Month_Number]]&lt;=3,"Q1",IF(RawSalesTable[[#This Row],[Month_Number]]&lt;=6,"Q2",IF(RawSalesTable[[#This Row],[Month_Number]]&lt;=9,"Q3","Q4")))</f>
        <v>Q3</v>
      </c>
      <c r="AJ110" s="13">
        <f>DATE(YEAR(RawSalesTable[[#This Row],[Order_Date]]),MONTH(RawSalesTable[[#This Row],[Order_Date]]),1)</f>
        <v>45870</v>
      </c>
      <c r="AK110" s="8" t="str">
        <f>VLOOKUP(RawSalesTable[[#This Row],[Customer_ID_clean]],CustomersTable[],4,FALSE)</f>
        <v>Quebec</v>
      </c>
    </row>
    <row r="111" spans="1:37">
      <c r="A111" t="s">
        <v>381</v>
      </c>
      <c r="B111" s="3">
        <v>45914</v>
      </c>
      <c r="C111" t="s">
        <v>209</v>
      </c>
      <c r="D111" t="s">
        <v>190</v>
      </c>
      <c r="E111" t="s">
        <v>211</v>
      </c>
      <c r="F111" t="s">
        <v>111</v>
      </c>
      <c r="G111" t="s">
        <v>88</v>
      </c>
      <c r="H111" t="s">
        <v>89</v>
      </c>
      <c r="I111">
        <v>2</v>
      </c>
      <c r="J111" s="2">
        <v>285.22000000000003</v>
      </c>
      <c r="K111" s="4">
        <v>0</v>
      </c>
      <c r="L111" t="s">
        <v>353</v>
      </c>
      <c r="M111">
        <v>7</v>
      </c>
      <c r="N111" t="s">
        <v>91</v>
      </c>
      <c r="O111" t="str">
        <f>SUBSTITUTE(PROPER(TRIM(RawSalesTable[[#This Row],[Channel_Raw]])), "Market Place", "Marketplace")</f>
        <v>Online</v>
      </c>
      <c r="P111" t="str">
        <f>TRIM(RawSalesTable[[#This Row],[Store_Raw]])</f>
        <v>Montreal Central</v>
      </c>
      <c r="Q111" t="str">
        <f>IF(TRIM(RawSalesTable[[#This Row],[Payment_Method_Raw]])="","Non renseigné",SUBSTITUTE(TRIM(RawSalesTable[[#This Row],[Payment_Method_Raw]]),"CC","Credit Card"))</f>
        <v>Credit Card</v>
      </c>
      <c r="R111" s="8" t="str">
        <f>UPPER(PROPER(RawSalesTable[[#This Row],[Customer_ID]]))</f>
        <v>C0005</v>
      </c>
      <c r="S111" s="8" t="str">
        <f>TRIM(LEFT(RawSalesTable[[#This Row],[Customer_Info]],FIND(",",RawSalesTable[[#This Row],[Customer_Info]]) -1))</f>
        <v>Yasmine Taylor</v>
      </c>
      <c r="T111" s="8" t="str">
        <f>TRIM(MID(RawSalesTable[[#This Row],[Customer_Info]],FIND(",",RawSalesTable[[#This Row],[Customer_Info]])+1,FIND(",",RawSalesTable[[#This Row],[Customer_Info]],FIND(",",RawSalesTable[[#This Row],[Customer_Info]])+1)-FIND(",",RawSalesTable[[#This Row],[Customer_Info]])-1))</f>
        <v>Calgary</v>
      </c>
      <c r="U111" s="8" t="str">
        <f>TRIM(RIGHT(RawSalesTable[[#This Row],[Customer_Info]], LEN(RawSalesTable[[#This Row],[Customer_Info]])-FIND(",",RawSalesTable[[#This Row],[Customer_Info]],FIND(",",RawSalesTable[[#This Row],[Customer_Info]])+1)))</f>
        <v>Consumer</v>
      </c>
      <c r="V111" s="8" t="str">
        <f>VLOOKUP(RawSalesTable[[#This Row],[Product_ID]],ProductsTable[],2,FALSE)</f>
        <v>Webcam</v>
      </c>
      <c r="W111" s="8" t="str">
        <f>VLOOKUP(RawSalesTable[[#This Row],[Product_ID]],ProductsTable[],3,FALSE)</f>
        <v>Electronics</v>
      </c>
      <c r="X111" s="8">
        <f>VLOOKUP(RawSalesTable[[#This Row],[Product_ID]],ProductsTable[],5,FALSE)</f>
        <v>154.72999999999999</v>
      </c>
      <c r="Y111" s="8">
        <f>RawSalesTable[[#This Row],[Quantity]]*RawSalesTable[[#This Row],[Unit_Price]]</f>
        <v>570.44000000000005</v>
      </c>
      <c r="Z111" s="8">
        <f>RawSalesTable[[#This Row],[Gross_Sales]]*RawSalesTable[[#This Row],[Discount_Pct]]</f>
        <v>0</v>
      </c>
      <c r="AA111" s="8">
        <f>RawSalesTable[[#This Row],[Gross_Sales]]-RawSalesTable[[#This Row],[Discount_Amount]]</f>
        <v>570.44000000000005</v>
      </c>
      <c r="AB111" s="8">
        <f>RawSalesTable[[#This Row],[Unit_Cost]]*RawSalesTable[[#This Row],[Quantity]]</f>
        <v>309.45999999999998</v>
      </c>
      <c r="AC111" s="8">
        <f>RawSalesTable[[#This Row],[Net_Sales]]-RawSalesTable[[#This Row],[Total_Cost]]</f>
        <v>260.98000000000008</v>
      </c>
      <c r="AD111" s="9">
        <f>RawSalesTable[[#This Row],[Profit]]/RawSalesTable[[#This Row],[Net_Sales]]</f>
        <v>0.45750648622116269</v>
      </c>
      <c r="AE111" s="8">
        <f>IF(RawSalesTable[[#This Row],[Return_Status]]="Yes",1,0)</f>
        <v>0</v>
      </c>
      <c r="AF111" s="8">
        <f>YEAR(RawSalesTable[[#This Row],[Order_Date]])</f>
        <v>2025</v>
      </c>
      <c r="AG111" s="8">
        <f>MONTH(RawSalesTable[[#This Row],[Order_Date]])</f>
        <v>9</v>
      </c>
      <c r="AH111" s="8" t="str">
        <f>TEXT(RawSalesTable[[#This Row],[Order_Date]],"mmmm")</f>
        <v>septembre</v>
      </c>
      <c r="AI111" s="8" t="str">
        <f>IF(RawSalesTable[[#This Row],[Month_Number]]&lt;=3,"Q1",IF(RawSalesTable[[#This Row],[Month_Number]]&lt;=6,"Q2",IF(RawSalesTable[[#This Row],[Month_Number]]&lt;=9,"Q3","Q4")))</f>
        <v>Q3</v>
      </c>
      <c r="AJ111" s="13">
        <f>DATE(YEAR(RawSalesTable[[#This Row],[Order_Date]]),MONTH(RawSalesTable[[#This Row],[Order_Date]]),1)</f>
        <v>45901</v>
      </c>
      <c r="AK111" s="8" t="str">
        <f>VLOOKUP(RawSalesTable[[#This Row],[Customer_ID_clean]],CustomersTable[],4,FALSE)</f>
        <v>Alberta</v>
      </c>
    </row>
    <row r="112" spans="1:37">
      <c r="A112" t="s">
        <v>382</v>
      </c>
      <c r="B112" s="3">
        <v>45720</v>
      </c>
      <c r="C112" t="s">
        <v>209</v>
      </c>
      <c r="D112" t="s">
        <v>165</v>
      </c>
      <c r="E112" t="s">
        <v>211</v>
      </c>
      <c r="F112" t="s">
        <v>116</v>
      </c>
      <c r="G112" t="s">
        <v>96</v>
      </c>
      <c r="H112" t="s">
        <v>97</v>
      </c>
      <c r="I112">
        <v>1</v>
      </c>
      <c r="J112" s="2">
        <v>107.22</v>
      </c>
      <c r="K112" s="4">
        <v>0.1</v>
      </c>
      <c r="L112" t="s">
        <v>106</v>
      </c>
      <c r="M112">
        <v>4</v>
      </c>
      <c r="N112" t="s">
        <v>91</v>
      </c>
      <c r="O112" t="str">
        <f>SUBSTITUTE(PROPER(TRIM(RawSalesTable[[#This Row],[Channel_Raw]])), "Market Place", "Marketplace")</f>
        <v>Retail Store</v>
      </c>
      <c r="P112" t="str">
        <f>TRIM(RawSalesTable[[#This Row],[Store_Raw]])</f>
        <v>Toronto Downtown</v>
      </c>
      <c r="Q112" t="str">
        <f>IF(TRIM(RawSalesTable[[#This Row],[Payment_Method_Raw]])="","Non renseigné",SUBSTITUTE(TRIM(RawSalesTable[[#This Row],[Payment_Method_Raw]]),"CC","Credit Card"))</f>
        <v>Credit Card</v>
      </c>
      <c r="R112" s="8" t="str">
        <f>UPPER(PROPER(RawSalesTable[[#This Row],[Customer_ID]]))</f>
        <v>C0005</v>
      </c>
      <c r="S112" s="8" t="str">
        <f>TRIM(LEFT(RawSalesTable[[#This Row],[Customer_Info]],FIND(",",RawSalesTable[[#This Row],[Customer_Info]]) -1))</f>
        <v>Yasmine Taylor</v>
      </c>
      <c r="T112" s="8" t="str">
        <f>TRIM(MID(RawSalesTable[[#This Row],[Customer_Info]],FIND(",",RawSalesTable[[#This Row],[Customer_Info]])+1,FIND(",",RawSalesTable[[#This Row],[Customer_Info]],FIND(",",RawSalesTable[[#This Row],[Customer_Info]])+1)-FIND(",",RawSalesTable[[#This Row],[Customer_Info]])-1))</f>
        <v>Calgary</v>
      </c>
      <c r="U112" s="8" t="str">
        <f>TRIM(RIGHT(RawSalesTable[[#This Row],[Customer_Info]], LEN(RawSalesTable[[#This Row],[Customer_Info]])-FIND(",",RawSalesTable[[#This Row],[Customer_Info]],FIND(",",RawSalesTable[[#This Row],[Customer_Info]])+1)))</f>
        <v>Consumer</v>
      </c>
      <c r="V112" s="8" t="str">
        <f>VLOOKUP(RawSalesTable[[#This Row],[Product_ID]],ProductsTable[],2,FALSE)</f>
        <v>Food Scale</v>
      </c>
      <c r="W112" s="8" t="str">
        <f>VLOOKUP(RawSalesTable[[#This Row],[Product_ID]],ProductsTable[],3,FALSE)</f>
        <v>Home</v>
      </c>
      <c r="X112" s="8">
        <f>VLOOKUP(RawSalesTable[[#This Row],[Product_ID]],ProductsTable[],5,FALSE)</f>
        <v>46.07</v>
      </c>
      <c r="Y112" s="8">
        <f>RawSalesTable[[#This Row],[Quantity]]*RawSalesTable[[#This Row],[Unit_Price]]</f>
        <v>107.22</v>
      </c>
      <c r="Z112" s="8">
        <f>RawSalesTable[[#This Row],[Gross_Sales]]*RawSalesTable[[#This Row],[Discount_Pct]]</f>
        <v>10.722000000000001</v>
      </c>
      <c r="AA112" s="8">
        <f>RawSalesTable[[#This Row],[Gross_Sales]]-RawSalesTable[[#This Row],[Discount_Amount]]</f>
        <v>96.49799999999999</v>
      </c>
      <c r="AB112" s="8">
        <f>RawSalesTable[[#This Row],[Unit_Cost]]*RawSalesTable[[#This Row],[Quantity]]</f>
        <v>46.07</v>
      </c>
      <c r="AC112" s="8">
        <f>RawSalesTable[[#This Row],[Net_Sales]]-RawSalesTable[[#This Row],[Total_Cost]]</f>
        <v>50.42799999999999</v>
      </c>
      <c r="AD112" s="9">
        <f>RawSalesTable[[#This Row],[Profit]]/RawSalesTable[[#This Row],[Net_Sales]]</f>
        <v>0.5225807788762461</v>
      </c>
      <c r="AE112" s="8">
        <f>IF(RawSalesTable[[#This Row],[Return_Status]]="Yes",1,0)</f>
        <v>0</v>
      </c>
      <c r="AF112" s="8">
        <f>YEAR(RawSalesTable[[#This Row],[Order_Date]])</f>
        <v>2025</v>
      </c>
      <c r="AG112" s="8">
        <f>MONTH(RawSalesTable[[#This Row],[Order_Date]])</f>
        <v>3</v>
      </c>
      <c r="AH112" s="8" t="str">
        <f>TEXT(RawSalesTable[[#This Row],[Order_Date]],"mmmm")</f>
        <v>mars</v>
      </c>
      <c r="AI112" s="8" t="str">
        <f>IF(RawSalesTable[[#This Row],[Month_Number]]&lt;=3,"Q1",IF(RawSalesTable[[#This Row],[Month_Number]]&lt;=6,"Q2",IF(RawSalesTable[[#This Row],[Month_Number]]&lt;=9,"Q3","Q4")))</f>
        <v>Q1</v>
      </c>
      <c r="AJ112" s="13">
        <f>DATE(YEAR(RawSalesTable[[#This Row],[Order_Date]]),MONTH(RawSalesTable[[#This Row],[Order_Date]]),1)</f>
        <v>45717</v>
      </c>
      <c r="AK112" s="8" t="str">
        <f>VLOOKUP(RawSalesTable[[#This Row],[Customer_ID_clean]],CustomersTable[],4,FALSE)</f>
        <v>Alberta</v>
      </c>
    </row>
    <row r="113" spans="1:37">
      <c r="A113" t="s">
        <v>383</v>
      </c>
      <c r="B113" s="3">
        <v>46004</v>
      </c>
      <c r="C113" t="s">
        <v>142</v>
      </c>
      <c r="D113" t="s">
        <v>194</v>
      </c>
      <c r="E113" t="s">
        <v>144</v>
      </c>
      <c r="F113" t="s">
        <v>145</v>
      </c>
      <c r="G113" t="s">
        <v>171</v>
      </c>
      <c r="H113" t="s">
        <v>105</v>
      </c>
      <c r="I113">
        <v>1</v>
      </c>
      <c r="J113" s="2">
        <v>210.86</v>
      </c>
      <c r="K113" s="4">
        <v>0.15</v>
      </c>
      <c r="L113" t="s">
        <v>154</v>
      </c>
      <c r="M113">
        <v>9</v>
      </c>
      <c r="N113" t="s">
        <v>91</v>
      </c>
      <c r="O113" t="str">
        <f>SUBSTITUTE(PROPER(TRIM(RawSalesTable[[#This Row],[Channel_Raw]])), "Market Place", "Marketplace")</f>
        <v>Marketplace</v>
      </c>
      <c r="P113" t="str">
        <f>TRIM(RawSalesTable[[#This Row],[Store_Raw]])</f>
        <v>Calgary North</v>
      </c>
      <c r="Q113" t="str">
        <f>IF(TRIM(RawSalesTable[[#This Row],[Payment_Method_Raw]])="","Non renseigné",SUBSTITUTE(TRIM(RawSalesTable[[#This Row],[Payment_Method_Raw]]),"CC","Credit Card"))</f>
        <v>Gift Card</v>
      </c>
      <c r="R113" s="8" t="str">
        <f>UPPER(PROPER(RawSalesTable[[#This Row],[Customer_ID]]))</f>
        <v>C0002</v>
      </c>
      <c r="S113" s="8" t="str">
        <f>TRIM(LEFT(RawSalesTable[[#This Row],[Customer_Info]],FIND(",",RawSalesTable[[#This Row],[Customer_Info]]) -1))</f>
        <v>Ryan Johnson</v>
      </c>
      <c r="T113" s="8" t="str">
        <f>TRIM(MID(RawSalesTable[[#This Row],[Customer_Info]],FIND(",",RawSalesTable[[#This Row],[Customer_Info]])+1,FIND(",",RawSalesTable[[#This Row],[Customer_Info]],FIND(",",RawSalesTable[[#This Row],[Customer_Info]])+1)-FIND(",",RawSalesTable[[#This Row],[Customer_Info]])-1))</f>
        <v>Montreal</v>
      </c>
      <c r="U113" s="8" t="str">
        <f>TRIM(RIGHT(RawSalesTable[[#This Row],[Customer_Info]], LEN(RawSalesTable[[#This Row],[Customer_Info]])-FIND(",",RawSalesTable[[#This Row],[Customer_Info]],FIND(",",RawSalesTable[[#This Row],[Customer_Info]])+1)))</f>
        <v>Small Business</v>
      </c>
      <c r="V113" s="8" t="str">
        <f>VLOOKUP(RawSalesTable[[#This Row],[Product_ID]],ProductsTable[],2,FALSE)</f>
        <v>Jump Rope</v>
      </c>
      <c r="W113" s="8" t="str">
        <f>VLOOKUP(RawSalesTable[[#This Row],[Product_ID]],ProductsTable[],3,FALSE)</f>
        <v>Fitness</v>
      </c>
      <c r="X113" s="8">
        <f>VLOOKUP(RawSalesTable[[#This Row],[Product_ID]],ProductsTable[],5,FALSE)</f>
        <v>101</v>
      </c>
      <c r="Y113" s="8">
        <f>RawSalesTable[[#This Row],[Quantity]]*RawSalesTable[[#This Row],[Unit_Price]]</f>
        <v>210.86</v>
      </c>
      <c r="Z113" s="8">
        <f>RawSalesTable[[#This Row],[Gross_Sales]]*RawSalesTable[[#This Row],[Discount_Pct]]</f>
        <v>31.629000000000001</v>
      </c>
      <c r="AA113" s="8">
        <f>RawSalesTable[[#This Row],[Gross_Sales]]-RawSalesTable[[#This Row],[Discount_Amount]]</f>
        <v>179.23100000000002</v>
      </c>
      <c r="AB113" s="8">
        <f>RawSalesTable[[#This Row],[Unit_Cost]]*RawSalesTable[[#This Row],[Quantity]]</f>
        <v>101</v>
      </c>
      <c r="AC113" s="8">
        <f>RawSalesTable[[#This Row],[Net_Sales]]-RawSalesTable[[#This Row],[Total_Cost]]</f>
        <v>78.231000000000023</v>
      </c>
      <c r="AD113" s="9">
        <f>RawSalesTable[[#This Row],[Profit]]/RawSalesTable[[#This Row],[Net_Sales]]</f>
        <v>0.43648141225569242</v>
      </c>
      <c r="AE113" s="8">
        <f>IF(RawSalesTable[[#This Row],[Return_Status]]="Yes",1,0)</f>
        <v>0</v>
      </c>
      <c r="AF113" s="8">
        <f>YEAR(RawSalesTable[[#This Row],[Order_Date]])</f>
        <v>2025</v>
      </c>
      <c r="AG113" s="8">
        <f>MONTH(RawSalesTable[[#This Row],[Order_Date]])</f>
        <v>12</v>
      </c>
      <c r="AH113" s="8" t="str">
        <f>TEXT(RawSalesTable[[#This Row],[Order_Date]],"mmmm")</f>
        <v>décembre</v>
      </c>
      <c r="AI113" s="8" t="str">
        <f>IF(RawSalesTable[[#This Row],[Month_Number]]&lt;=3,"Q1",IF(RawSalesTable[[#This Row],[Month_Number]]&lt;=6,"Q2",IF(RawSalesTable[[#This Row],[Month_Number]]&lt;=9,"Q3","Q4")))</f>
        <v>Q4</v>
      </c>
      <c r="AJ113" s="13">
        <f>DATE(YEAR(RawSalesTable[[#This Row],[Order_Date]]),MONTH(RawSalesTable[[#This Row],[Order_Date]]),1)</f>
        <v>45992</v>
      </c>
      <c r="AK113" s="8" t="str">
        <f>VLOOKUP(RawSalesTable[[#This Row],[Customer_ID_clean]],CustomersTable[],4,FALSE)</f>
        <v>Quebec</v>
      </c>
    </row>
    <row r="114" spans="1:37">
      <c r="A114" t="s">
        <v>384</v>
      </c>
      <c r="B114" s="3">
        <v>45789</v>
      </c>
      <c r="C114" t="s">
        <v>132</v>
      </c>
      <c r="D114" t="s">
        <v>101</v>
      </c>
      <c r="E114" t="s">
        <v>134</v>
      </c>
      <c r="F114" t="s">
        <v>87</v>
      </c>
      <c r="G114" t="s">
        <v>183</v>
      </c>
      <c r="H114" t="s">
        <v>89</v>
      </c>
      <c r="I114">
        <v>1</v>
      </c>
      <c r="J114" s="2">
        <v>300.5</v>
      </c>
      <c r="K114" s="4">
        <v>0.05</v>
      </c>
      <c r="L114" t="s">
        <v>106</v>
      </c>
      <c r="M114">
        <v>8</v>
      </c>
      <c r="N114" t="s">
        <v>91</v>
      </c>
      <c r="O114" t="str">
        <f>SUBSTITUTE(PROPER(TRIM(RawSalesTable[[#This Row],[Channel_Raw]])), "Market Place", "Marketplace")</f>
        <v>Online</v>
      </c>
      <c r="P114" t="str">
        <f>TRIM(RawSalesTable[[#This Row],[Store_Raw]])</f>
        <v>Online Fulfillment</v>
      </c>
      <c r="Q114" t="str">
        <f>IF(TRIM(RawSalesTable[[#This Row],[Payment_Method_Raw]])="","Non renseigné",SUBSTITUTE(TRIM(RawSalesTable[[#This Row],[Payment_Method_Raw]]),"CC","Credit Card"))</f>
        <v>Credit Card</v>
      </c>
      <c r="R114" s="8" t="str">
        <f>UPPER(PROPER(RawSalesTable[[#This Row],[Customer_ID]]))</f>
        <v>C0104</v>
      </c>
      <c r="S114" s="8" t="str">
        <f>TRIM(LEFT(RawSalesTable[[#This Row],[Customer_Info]],FIND(",",RawSalesTable[[#This Row],[Customer_Info]]) -1))</f>
        <v>Ava Scott</v>
      </c>
      <c r="T114" s="8" t="str">
        <f>TRIM(MID(RawSalesTable[[#This Row],[Customer_Info]],FIND(",",RawSalesTable[[#This Row],[Customer_Info]])+1,FIND(",",RawSalesTable[[#This Row],[Customer_Info]],FIND(",",RawSalesTable[[#This Row],[Customer_Info]])+1)-FIND(",",RawSalesTable[[#This Row],[Customer_Info]])-1))</f>
        <v>Edmonton</v>
      </c>
      <c r="U114" s="8" t="str">
        <f>TRIM(RIGHT(RawSalesTable[[#This Row],[Customer_Info]], LEN(RawSalesTable[[#This Row],[Customer_Info]])-FIND(",",RawSalesTable[[#This Row],[Customer_Info]],FIND(",",RawSalesTable[[#This Row],[Customer_Info]])+1)))</f>
        <v>Corporate</v>
      </c>
      <c r="V114" s="8" t="str">
        <f>VLOOKUP(RawSalesTable[[#This Row],[Product_ID]],ProductsTable[],2,FALSE)</f>
        <v>Kettle</v>
      </c>
      <c r="W114" s="8" t="str">
        <f>VLOOKUP(RawSalesTable[[#This Row],[Product_ID]],ProductsTable[],3,FALSE)</f>
        <v>Home</v>
      </c>
      <c r="X114" s="8">
        <f>VLOOKUP(RawSalesTable[[#This Row],[Product_ID]],ProductsTable[],5,FALSE)</f>
        <v>139.86000000000001</v>
      </c>
      <c r="Y114" s="8">
        <f>RawSalesTable[[#This Row],[Quantity]]*RawSalesTable[[#This Row],[Unit_Price]]</f>
        <v>300.5</v>
      </c>
      <c r="Z114" s="8">
        <f>RawSalesTable[[#This Row],[Gross_Sales]]*RawSalesTable[[#This Row],[Discount_Pct]]</f>
        <v>15.025</v>
      </c>
      <c r="AA114" s="8">
        <f>RawSalesTable[[#This Row],[Gross_Sales]]-RawSalesTable[[#This Row],[Discount_Amount]]</f>
        <v>285.47500000000002</v>
      </c>
      <c r="AB114" s="8">
        <f>RawSalesTable[[#This Row],[Unit_Cost]]*RawSalesTable[[#This Row],[Quantity]]</f>
        <v>139.86000000000001</v>
      </c>
      <c r="AC114" s="8">
        <f>RawSalesTable[[#This Row],[Net_Sales]]-RawSalesTable[[#This Row],[Total_Cost]]</f>
        <v>145.61500000000001</v>
      </c>
      <c r="AD114" s="9">
        <f>RawSalesTable[[#This Row],[Profit]]/RawSalesTable[[#This Row],[Net_Sales]]</f>
        <v>0.51007969174183376</v>
      </c>
      <c r="AE114" s="8">
        <f>IF(RawSalesTable[[#This Row],[Return_Status]]="Yes",1,0)</f>
        <v>0</v>
      </c>
      <c r="AF114" s="8">
        <f>YEAR(RawSalesTable[[#This Row],[Order_Date]])</f>
        <v>2025</v>
      </c>
      <c r="AG114" s="8">
        <f>MONTH(RawSalesTable[[#This Row],[Order_Date]])</f>
        <v>5</v>
      </c>
      <c r="AH114" s="8" t="str">
        <f>TEXT(RawSalesTable[[#This Row],[Order_Date]],"mmmm")</f>
        <v>mai</v>
      </c>
      <c r="AI114" s="8" t="str">
        <f>IF(RawSalesTable[[#This Row],[Month_Number]]&lt;=3,"Q1",IF(RawSalesTable[[#This Row],[Month_Number]]&lt;=6,"Q2",IF(RawSalesTable[[#This Row],[Month_Number]]&lt;=9,"Q3","Q4")))</f>
        <v>Q2</v>
      </c>
      <c r="AJ114" s="13">
        <f>DATE(YEAR(RawSalesTable[[#This Row],[Order_Date]]),MONTH(RawSalesTable[[#This Row],[Order_Date]]),1)</f>
        <v>45778</v>
      </c>
      <c r="AK114" s="8" t="str">
        <f>VLOOKUP(RawSalesTable[[#This Row],[Customer_ID_clean]],CustomersTable[],4,FALSE)</f>
        <v>Alberta</v>
      </c>
    </row>
    <row r="115" spans="1:37">
      <c r="A115" t="s">
        <v>385</v>
      </c>
      <c r="B115" s="3">
        <v>45837</v>
      </c>
      <c r="C115" t="s">
        <v>386</v>
      </c>
      <c r="D115" t="s">
        <v>360</v>
      </c>
      <c r="E115" t="s">
        <v>387</v>
      </c>
      <c r="F115" t="s">
        <v>116</v>
      </c>
      <c r="G115" t="s">
        <v>96</v>
      </c>
      <c r="H115" t="s">
        <v>89</v>
      </c>
      <c r="I115">
        <v>3</v>
      </c>
      <c r="J115" s="2">
        <v>63.14</v>
      </c>
      <c r="K115" s="4">
        <v>0</v>
      </c>
      <c r="L115" t="s">
        <v>90</v>
      </c>
      <c r="M115">
        <v>9</v>
      </c>
      <c r="N115" t="s">
        <v>91</v>
      </c>
      <c r="O115" t="str">
        <f>SUBSTITUTE(PROPER(TRIM(RawSalesTable[[#This Row],[Channel_Raw]])), "Market Place", "Marketplace")</f>
        <v>Online</v>
      </c>
      <c r="P115" t="str">
        <f>TRIM(RawSalesTable[[#This Row],[Store_Raw]])</f>
        <v>Toronto Downtown</v>
      </c>
      <c r="Q115" t="str">
        <f>IF(TRIM(RawSalesTable[[#This Row],[Payment_Method_Raw]])="","Non renseigné",SUBSTITUTE(TRIM(RawSalesTable[[#This Row],[Payment_Method_Raw]]),"CC","Credit Card"))</f>
        <v>PayPal</v>
      </c>
      <c r="R115" s="8" t="str">
        <f>UPPER(PROPER(RawSalesTable[[#This Row],[Customer_ID]]))</f>
        <v>C0009</v>
      </c>
      <c r="S115" s="8" t="str">
        <f>TRIM(LEFT(RawSalesTable[[#This Row],[Customer_Info]],FIND(",",RawSalesTable[[#This Row],[Customer_Info]]) -1))</f>
        <v>Ethan Tremblay</v>
      </c>
      <c r="T115" s="8" t="str">
        <f>TRIM(MID(RawSalesTable[[#This Row],[Customer_Info]],FIND(",",RawSalesTable[[#This Row],[Customer_Info]])+1,FIND(",",RawSalesTable[[#This Row],[Customer_Info]],FIND(",",RawSalesTable[[#This Row],[Customer_Info]])+1)-FIND(",",RawSalesTable[[#This Row],[Customer_Info]])-1))</f>
        <v>Mississauga</v>
      </c>
      <c r="U115" s="8" t="str">
        <f>TRIM(RIGHT(RawSalesTable[[#This Row],[Customer_Info]], LEN(RawSalesTable[[#This Row],[Customer_Info]])-FIND(",",RawSalesTable[[#This Row],[Customer_Info]],FIND(",",RawSalesTable[[#This Row],[Customer_Info]])+1)))</f>
        <v>Corporate</v>
      </c>
      <c r="V115" s="8" t="str">
        <f>VLOOKUP(RawSalesTable[[#This Row],[Product_ID]],ProductsTable[],2,FALSE)</f>
        <v>Blender</v>
      </c>
      <c r="W115" s="8" t="str">
        <f>VLOOKUP(RawSalesTable[[#This Row],[Product_ID]],ProductsTable[],3,FALSE)</f>
        <v>Home</v>
      </c>
      <c r="X115" s="8">
        <f>VLOOKUP(RawSalesTable[[#This Row],[Product_ID]],ProductsTable[],5,FALSE)</f>
        <v>37.46</v>
      </c>
      <c r="Y115" s="8">
        <f>RawSalesTable[[#This Row],[Quantity]]*RawSalesTable[[#This Row],[Unit_Price]]</f>
        <v>189.42000000000002</v>
      </c>
      <c r="Z115" s="8">
        <f>RawSalesTable[[#This Row],[Gross_Sales]]*RawSalesTable[[#This Row],[Discount_Pct]]</f>
        <v>0</v>
      </c>
      <c r="AA115" s="8">
        <f>RawSalesTable[[#This Row],[Gross_Sales]]-RawSalesTable[[#This Row],[Discount_Amount]]</f>
        <v>189.42000000000002</v>
      </c>
      <c r="AB115" s="8">
        <f>RawSalesTable[[#This Row],[Unit_Cost]]*RawSalesTable[[#This Row],[Quantity]]</f>
        <v>112.38</v>
      </c>
      <c r="AC115" s="8">
        <f>RawSalesTable[[#This Row],[Net_Sales]]-RawSalesTable[[#This Row],[Total_Cost]]</f>
        <v>77.04000000000002</v>
      </c>
      <c r="AD115" s="9">
        <f>RawSalesTable[[#This Row],[Profit]]/RawSalesTable[[#This Row],[Net_Sales]]</f>
        <v>0.40671523598352877</v>
      </c>
      <c r="AE115" s="8">
        <f>IF(RawSalesTable[[#This Row],[Return_Status]]="Yes",1,0)</f>
        <v>0</v>
      </c>
      <c r="AF115" s="8">
        <f>YEAR(RawSalesTable[[#This Row],[Order_Date]])</f>
        <v>2025</v>
      </c>
      <c r="AG115" s="8">
        <f>MONTH(RawSalesTable[[#This Row],[Order_Date]])</f>
        <v>6</v>
      </c>
      <c r="AH115" s="8" t="str">
        <f>TEXT(RawSalesTable[[#This Row],[Order_Date]],"mmmm")</f>
        <v>juin</v>
      </c>
      <c r="AI115" s="8" t="str">
        <f>IF(RawSalesTable[[#This Row],[Month_Number]]&lt;=3,"Q1",IF(RawSalesTable[[#This Row],[Month_Number]]&lt;=6,"Q2",IF(RawSalesTable[[#This Row],[Month_Number]]&lt;=9,"Q3","Q4")))</f>
        <v>Q2</v>
      </c>
      <c r="AJ115" s="13">
        <f>DATE(YEAR(RawSalesTable[[#This Row],[Order_Date]]),MONTH(RawSalesTable[[#This Row],[Order_Date]]),1)</f>
        <v>45809</v>
      </c>
      <c r="AK115" s="8" t="str">
        <f>VLOOKUP(RawSalesTable[[#This Row],[Customer_ID_clean]],CustomersTable[],4,FALSE)</f>
        <v>Ontario</v>
      </c>
    </row>
    <row r="116" spans="1:37">
      <c r="A116" t="s">
        <v>388</v>
      </c>
      <c r="B116" s="3">
        <v>45843</v>
      </c>
      <c r="C116" t="s">
        <v>389</v>
      </c>
      <c r="D116" t="s">
        <v>226</v>
      </c>
      <c r="E116" t="s">
        <v>390</v>
      </c>
      <c r="F116" t="s">
        <v>87</v>
      </c>
      <c r="G116" t="s">
        <v>183</v>
      </c>
      <c r="H116" t="s">
        <v>89</v>
      </c>
      <c r="I116">
        <v>1</v>
      </c>
      <c r="J116" s="2">
        <v>212.87</v>
      </c>
      <c r="K116" s="4">
        <v>0.05</v>
      </c>
      <c r="L116" t="s">
        <v>90</v>
      </c>
      <c r="M116">
        <v>6</v>
      </c>
      <c r="N116" t="s">
        <v>91</v>
      </c>
      <c r="O116" t="str">
        <f>SUBSTITUTE(PROPER(TRIM(RawSalesTable[[#This Row],[Channel_Raw]])), "Market Place", "Marketplace")</f>
        <v>Online</v>
      </c>
      <c r="P116" t="str">
        <f>TRIM(RawSalesTable[[#This Row],[Store_Raw]])</f>
        <v>Online Fulfillment</v>
      </c>
      <c r="Q116" t="str">
        <f>IF(TRIM(RawSalesTable[[#This Row],[Payment_Method_Raw]])="","Non renseigné",SUBSTITUTE(TRIM(RawSalesTable[[#This Row],[Payment_Method_Raw]]),"CC","Credit Card"))</f>
        <v>PayPal</v>
      </c>
      <c r="R116" s="8" t="str">
        <f>UPPER(PROPER(RawSalesTable[[#This Row],[Customer_ID]]))</f>
        <v>C0103</v>
      </c>
      <c r="S116" s="8" t="str">
        <f>TRIM(LEFT(RawSalesTable[[#This Row],[Customer_Info]],FIND(",",RawSalesTable[[#This Row],[Customer_Info]]) -1))</f>
        <v>Zoe Singh</v>
      </c>
      <c r="T116" s="8" t="str">
        <f>TRIM(MID(RawSalesTable[[#This Row],[Customer_Info]],FIND(",",RawSalesTable[[#This Row],[Customer_Info]])+1,FIND(",",RawSalesTable[[#This Row],[Customer_Info]],FIND(",",RawSalesTable[[#This Row],[Customer_Info]])+1)-FIND(",",RawSalesTable[[#This Row],[Customer_Info]])-1))</f>
        <v>Saskatoon</v>
      </c>
      <c r="U116" s="8" t="str">
        <f>TRIM(RIGHT(RawSalesTable[[#This Row],[Customer_Info]], LEN(RawSalesTable[[#This Row],[Customer_Info]])-FIND(",",RawSalesTable[[#This Row],[Customer_Info]],FIND(",",RawSalesTable[[#This Row],[Customer_Info]])+1)))</f>
        <v>Corporate</v>
      </c>
      <c r="V116" s="8" t="str">
        <f>VLOOKUP(RawSalesTable[[#This Row],[Product_ID]],ProductsTable[],2,FALSE)</f>
        <v>Desk Lamp</v>
      </c>
      <c r="W116" s="8" t="str">
        <f>VLOOKUP(RawSalesTable[[#This Row],[Product_ID]],ProductsTable[],3,FALSE)</f>
        <v>Office</v>
      </c>
      <c r="X116" s="8">
        <f>VLOOKUP(RawSalesTable[[#This Row],[Product_ID]],ProductsTable[],5,FALSE)</f>
        <v>127.21</v>
      </c>
      <c r="Y116" s="8">
        <f>RawSalesTable[[#This Row],[Quantity]]*RawSalesTable[[#This Row],[Unit_Price]]</f>
        <v>212.87</v>
      </c>
      <c r="Z116" s="8">
        <f>RawSalesTable[[#This Row],[Gross_Sales]]*RawSalesTable[[#This Row],[Discount_Pct]]</f>
        <v>10.643500000000001</v>
      </c>
      <c r="AA116" s="8">
        <f>RawSalesTable[[#This Row],[Gross_Sales]]-RawSalesTable[[#This Row],[Discount_Amount]]</f>
        <v>202.22650000000002</v>
      </c>
      <c r="AB116" s="8">
        <f>RawSalesTable[[#This Row],[Unit_Cost]]*RawSalesTable[[#This Row],[Quantity]]</f>
        <v>127.21</v>
      </c>
      <c r="AC116" s="8">
        <f>RawSalesTable[[#This Row],[Net_Sales]]-RawSalesTable[[#This Row],[Total_Cost]]</f>
        <v>75.016500000000022</v>
      </c>
      <c r="AD116" s="9">
        <f>RawSalesTable[[#This Row],[Profit]]/RawSalesTable[[#This Row],[Net_Sales]]</f>
        <v>0.37095286720583115</v>
      </c>
      <c r="AE116" s="8">
        <f>IF(RawSalesTable[[#This Row],[Return_Status]]="Yes",1,0)</f>
        <v>0</v>
      </c>
      <c r="AF116" s="8">
        <f>YEAR(RawSalesTable[[#This Row],[Order_Date]])</f>
        <v>2025</v>
      </c>
      <c r="AG116" s="8">
        <f>MONTH(RawSalesTable[[#This Row],[Order_Date]])</f>
        <v>7</v>
      </c>
      <c r="AH116" s="8" t="str">
        <f>TEXT(RawSalesTable[[#This Row],[Order_Date]],"mmmm")</f>
        <v>juillet</v>
      </c>
      <c r="AI116" s="8" t="str">
        <f>IF(RawSalesTable[[#This Row],[Month_Number]]&lt;=3,"Q1",IF(RawSalesTable[[#This Row],[Month_Number]]&lt;=6,"Q2",IF(RawSalesTable[[#This Row],[Month_Number]]&lt;=9,"Q3","Q4")))</f>
        <v>Q3</v>
      </c>
      <c r="AJ116" s="13">
        <f>DATE(YEAR(RawSalesTable[[#This Row],[Order_Date]]),MONTH(RawSalesTable[[#This Row],[Order_Date]]),1)</f>
        <v>45839</v>
      </c>
      <c r="AK116" s="8" t="str">
        <f>VLOOKUP(RawSalesTable[[#This Row],[Customer_ID_clean]],CustomersTable[],4,FALSE)</f>
        <v>Saskatchewan</v>
      </c>
    </row>
    <row r="117" spans="1:37">
      <c r="A117" t="s">
        <v>391</v>
      </c>
      <c r="B117" s="3">
        <v>45816</v>
      </c>
      <c r="C117" t="s">
        <v>216</v>
      </c>
      <c r="D117" t="s">
        <v>221</v>
      </c>
      <c r="E117" t="s">
        <v>392</v>
      </c>
      <c r="F117" t="s">
        <v>116</v>
      </c>
      <c r="G117" t="s">
        <v>96</v>
      </c>
      <c r="H117" t="s">
        <v>89</v>
      </c>
      <c r="I117">
        <v>2</v>
      </c>
      <c r="J117" s="2">
        <v>29.54</v>
      </c>
      <c r="K117" s="4">
        <v>0</v>
      </c>
      <c r="L117" t="s">
        <v>90</v>
      </c>
      <c r="M117">
        <v>5</v>
      </c>
      <c r="N117" t="s">
        <v>91</v>
      </c>
      <c r="O117" t="str">
        <f>SUBSTITUTE(PROPER(TRIM(RawSalesTable[[#This Row],[Channel_Raw]])), "Market Place", "Marketplace")</f>
        <v>Online</v>
      </c>
      <c r="P117" t="str">
        <f>TRIM(RawSalesTable[[#This Row],[Store_Raw]])</f>
        <v>Toronto Downtown</v>
      </c>
      <c r="Q117" t="str">
        <f>IF(TRIM(RawSalesTable[[#This Row],[Payment_Method_Raw]])="","Non renseigné",SUBSTITUTE(TRIM(RawSalesTable[[#This Row],[Payment_Method_Raw]]),"CC","Credit Card"))</f>
        <v>PayPal</v>
      </c>
      <c r="R117" s="8" t="str">
        <f>UPPER(PROPER(RawSalesTable[[#This Row],[Customer_ID]]))</f>
        <v>C0065</v>
      </c>
      <c r="S117" s="8" t="str">
        <f>TRIM(LEFT(RawSalesTable[[#This Row],[Customer_Info]],FIND(",",RawSalesTable[[#This Row],[Customer_Info]]) -1))</f>
        <v>Mia Wilson</v>
      </c>
      <c r="T117" s="8" t="str">
        <f>TRIM(MID(RawSalesTable[[#This Row],[Customer_Info]],FIND(",",RawSalesTable[[#This Row],[Customer_Info]])+1,FIND(",",RawSalesTable[[#This Row],[Customer_Info]],FIND(",",RawSalesTable[[#This Row],[Customer_Info]])+1)-FIND(",",RawSalesTable[[#This Row],[Customer_Info]])-1))</f>
        <v>Quebec City</v>
      </c>
      <c r="U117" s="8" t="str">
        <f>TRIM(RIGHT(RawSalesTable[[#This Row],[Customer_Info]], LEN(RawSalesTable[[#This Row],[Customer_Info]])-FIND(",",RawSalesTable[[#This Row],[Customer_Info]],FIND(",",RawSalesTable[[#This Row],[Customer_Info]])+1)))</f>
        <v>Consumer</v>
      </c>
      <c r="V117" s="8" t="str">
        <f>VLOOKUP(RawSalesTable[[#This Row],[Product_ID]],ProductsTable[],2,FALSE)</f>
        <v>Air Fryer</v>
      </c>
      <c r="W117" s="8" t="str">
        <f>VLOOKUP(RawSalesTable[[#This Row],[Product_ID]],ProductsTable[],3,FALSE)</f>
        <v>Home</v>
      </c>
      <c r="X117" s="8">
        <f>VLOOKUP(RawSalesTable[[#This Row],[Product_ID]],ProductsTable[],5,FALSE)</f>
        <v>14.58</v>
      </c>
      <c r="Y117" s="8">
        <f>RawSalesTable[[#This Row],[Quantity]]*RawSalesTable[[#This Row],[Unit_Price]]</f>
        <v>59.08</v>
      </c>
      <c r="Z117" s="8">
        <f>RawSalesTable[[#This Row],[Gross_Sales]]*RawSalesTable[[#This Row],[Discount_Pct]]</f>
        <v>0</v>
      </c>
      <c r="AA117" s="8">
        <f>RawSalesTable[[#This Row],[Gross_Sales]]-RawSalesTable[[#This Row],[Discount_Amount]]</f>
        <v>59.08</v>
      </c>
      <c r="AB117" s="8">
        <f>RawSalesTable[[#This Row],[Unit_Cost]]*RawSalesTable[[#This Row],[Quantity]]</f>
        <v>29.16</v>
      </c>
      <c r="AC117" s="8">
        <f>RawSalesTable[[#This Row],[Net_Sales]]-RawSalesTable[[#This Row],[Total_Cost]]</f>
        <v>29.919999999999998</v>
      </c>
      <c r="AD117" s="9">
        <f>RawSalesTable[[#This Row],[Profit]]/RawSalesTable[[#This Row],[Net_Sales]]</f>
        <v>0.50643195666892349</v>
      </c>
      <c r="AE117" s="8">
        <f>IF(RawSalesTable[[#This Row],[Return_Status]]="Yes",1,0)</f>
        <v>0</v>
      </c>
      <c r="AF117" s="8">
        <f>YEAR(RawSalesTable[[#This Row],[Order_Date]])</f>
        <v>2025</v>
      </c>
      <c r="AG117" s="8">
        <f>MONTH(RawSalesTable[[#This Row],[Order_Date]])</f>
        <v>6</v>
      </c>
      <c r="AH117" s="8" t="str">
        <f>TEXT(RawSalesTable[[#This Row],[Order_Date]],"mmmm")</f>
        <v>juin</v>
      </c>
      <c r="AI117" s="8" t="str">
        <f>IF(RawSalesTable[[#This Row],[Month_Number]]&lt;=3,"Q1",IF(RawSalesTable[[#This Row],[Month_Number]]&lt;=6,"Q2",IF(RawSalesTable[[#This Row],[Month_Number]]&lt;=9,"Q3","Q4")))</f>
        <v>Q2</v>
      </c>
      <c r="AJ117" s="13">
        <f>DATE(YEAR(RawSalesTable[[#This Row],[Order_Date]]),MONTH(RawSalesTable[[#This Row],[Order_Date]]),1)</f>
        <v>45809</v>
      </c>
      <c r="AK117" s="8" t="str">
        <f>VLOOKUP(RawSalesTable[[#This Row],[Customer_ID_clean]],CustomersTable[],4,FALSE)</f>
        <v>Quebec</v>
      </c>
    </row>
    <row r="118" spans="1:37">
      <c r="A118" t="s">
        <v>393</v>
      </c>
      <c r="B118" s="3">
        <v>45976</v>
      </c>
      <c r="C118" t="s">
        <v>293</v>
      </c>
      <c r="D118" t="s">
        <v>157</v>
      </c>
      <c r="E118" t="s">
        <v>394</v>
      </c>
      <c r="F118" t="s">
        <v>145</v>
      </c>
      <c r="G118" t="s">
        <v>183</v>
      </c>
      <c r="H118" t="s">
        <v>97</v>
      </c>
      <c r="I118">
        <v>1</v>
      </c>
      <c r="J118" s="2">
        <v>286.02999999999997</v>
      </c>
      <c r="K118" s="4">
        <v>0.1</v>
      </c>
      <c r="L118" t="s">
        <v>90</v>
      </c>
      <c r="M118">
        <v>2</v>
      </c>
      <c r="N118" t="s">
        <v>91</v>
      </c>
      <c r="O118" t="str">
        <f>SUBSTITUTE(PROPER(TRIM(RawSalesTable[[#This Row],[Channel_Raw]])), "Market Place", "Marketplace")</f>
        <v>Retail Store</v>
      </c>
      <c r="P118" t="str">
        <f>TRIM(RawSalesTable[[#This Row],[Store_Raw]])</f>
        <v>Calgary North</v>
      </c>
      <c r="Q118" t="str">
        <f>IF(TRIM(RawSalesTable[[#This Row],[Payment_Method_Raw]])="","Non renseigné",SUBSTITUTE(TRIM(RawSalesTable[[#This Row],[Payment_Method_Raw]]),"CC","Credit Card"))</f>
        <v>PayPal</v>
      </c>
      <c r="R118" s="8" t="str">
        <f>UPPER(PROPER(RawSalesTable[[#This Row],[Customer_ID]]))</f>
        <v>C0007</v>
      </c>
      <c r="S118" s="8" t="str">
        <f>TRIM(LEFT(RawSalesTable[[#This Row],[Customer_Info]],FIND(",",RawSalesTable[[#This Row],[Customer_Info]]) -1))</f>
        <v>Lucas Wilson</v>
      </c>
      <c r="T118" s="8" t="str">
        <f>TRIM(MID(RawSalesTable[[#This Row],[Customer_Info]],FIND(",",RawSalesTable[[#This Row],[Customer_Info]])+1,FIND(",",RawSalesTable[[#This Row],[Customer_Info]],FIND(",",RawSalesTable[[#This Row],[Customer_Info]])+1)-FIND(",",RawSalesTable[[#This Row],[Customer_Info]])-1))</f>
        <v>Ottawa</v>
      </c>
      <c r="U118" s="8" t="str">
        <f>TRIM(RIGHT(RawSalesTable[[#This Row],[Customer_Info]], LEN(RawSalesTable[[#This Row],[Customer_Info]])-FIND(",",RawSalesTable[[#This Row],[Customer_Info]],FIND(",",RawSalesTable[[#This Row],[Customer_Info]])+1)))</f>
        <v>Consumer</v>
      </c>
      <c r="V118" s="8" t="str">
        <f>VLOOKUP(RawSalesTable[[#This Row],[Product_ID]],ProductsTable[],2,FALSE)</f>
        <v>Notebook</v>
      </c>
      <c r="W118" s="8" t="str">
        <f>VLOOKUP(RawSalesTable[[#This Row],[Product_ID]],ProductsTable[],3,FALSE)</f>
        <v>Office</v>
      </c>
      <c r="X118" s="8">
        <f>VLOOKUP(RawSalesTable[[#This Row],[Product_ID]],ProductsTable[],5,FALSE)</f>
        <v>176.13</v>
      </c>
      <c r="Y118" s="8">
        <f>RawSalesTable[[#This Row],[Quantity]]*RawSalesTable[[#This Row],[Unit_Price]]</f>
        <v>286.02999999999997</v>
      </c>
      <c r="Z118" s="8">
        <f>RawSalesTable[[#This Row],[Gross_Sales]]*RawSalesTable[[#This Row],[Discount_Pct]]</f>
        <v>28.602999999999998</v>
      </c>
      <c r="AA118" s="8">
        <f>RawSalesTable[[#This Row],[Gross_Sales]]-RawSalesTable[[#This Row],[Discount_Amount]]</f>
        <v>257.42699999999996</v>
      </c>
      <c r="AB118" s="8">
        <f>RawSalesTable[[#This Row],[Unit_Cost]]*RawSalesTable[[#This Row],[Quantity]]</f>
        <v>176.13</v>
      </c>
      <c r="AC118" s="8">
        <f>RawSalesTable[[#This Row],[Net_Sales]]-RawSalesTable[[#This Row],[Total_Cost]]</f>
        <v>81.296999999999969</v>
      </c>
      <c r="AD118" s="9">
        <f>RawSalesTable[[#This Row],[Profit]]/RawSalesTable[[#This Row],[Net_Sales]]</f>
        <v>0.315806034332063</v>
      </c>
      <c r="AE118" s="8">
        <f>IF(RawSalesTable[[#This Row],[Return_Status]]="Yes",1,0)</f>
        <v>0</v>
      </c>
      <c r="AF118" s="8">
        <f>YEAR(RawSalesTable[[#This Row],[Order_Date]])</f>
        <v>2025</v>
      </c>
      <c r="AG118" s="8">
        <f>MONTH(RawSalesTable[[#This Row],[Order_Date]])</f>
        <v>11</v>
      </c>
      <c r="AH118" s="8" t="str">
        <f>TEXT(RawSalesTable[[#This Row],[Order_Date]],"mmmm")</f>
        <v>novembre</v>
      </c>
      <c r="AI118" s="8" t="str">
        <f>IF(RawSalesTable[[#This Row],[Month_Number]]&lt;=3,"Q1",IF(RawSalesTable[[#This Row],[Month_Number]]&lt;=6,"Q2",IF(RawSalesTable[[#This Row],[Month_Number]]&lt;=9,"Q3","Q4")))</f>
        <v>Q4</v>
      </c>
      <c r="AJ118" s="13">
        <f>DATE(YEAR(RawSalesTable[[#This Row],[Order_Date]]),MONTH(RawSalesTable[[#This Row],[Order_Date]]),1)</f>
        <v>45962</v>
      </c>
      <c r="AK118" s="8" t="str">
        <f>VLOOKUP(RawSalesTable[[#This Row],[Customer_ID_clean]],CustomersTable[],4,FALSE)</f>
        <v>Ontario</v>
      </c>
    </row>
    <row r="119" spans="1:37">
      <c r="A119" t="s">
        <v>395</v>
      </c>
      <c r="B119" s="3">
        <v>45761</v>
      </c>
      <c r="C119" t="s">
        <v>396</v>
      </c>
      <c r="D119" t="s">
        <v>94</v>
      </c>
      <c r="E119" t="s">
        <v>397</v>
      </c>
      <c r="F119" t="s">
        <v>111</v>
      </c>
      <c r="G119" t="s">
        <v>104</v>
      </c>
      <c r="H119" t="s">
        <v>246</v>
      </c>
      <c r="I119">
        <v>1</v>
      </c>
      <c r="J119" s="2">
        <v>312.99</v>
      </c>
      <c r="K119" s="4">
        <v>0</v>
      </c>
      <c r="L119" t="s">
        <v>106</v>
      </c>
      <c r="M119">
        <v>4</v>
      </c>
      <c r="N119" t="s">
        <v>91</v>
      </c>
      <c r="O119" t="str">
        <f>SUBSTITUTE(PROPER(TRIM(RawSalesTable[[#This Row],[Channel_Raw]])), "Market Place", "Marketplace")</f>
        <v>Retail Store</v>
      </c>
      <c r="P119" t="str">
        <f>TRIM(RawSalesTable[[#This Row],[Store_Raw]])</f>
        <v>Montreal Central</v>
      </c>
      <c r="Q119" t="str">
        <f>IF(TRIM(RawSalesTable[[#This Row],[Payment_Method_Raw]])="","Non renseigné",SUBSTITUTE(TRIM(RawSalesTable[[#This Row],[Payment_Method_Raw]]),"CC","Credit Card"))</f>
        <v>Credit Card</v>
      </c>
      <c r="R119" s="8" t="str">
        <f>UPPER(PROPER(RawSalesTable[[#This Row],[Customer_ID]]))</f>
        <v>C0058</v>
      </c>
      <c r="S119" s="8" t="str">
        <f>TRIM(LEFT(RawSalesTable[[#This Row],[Customer_Info]],FIND(",",RawSalesTable[[#This Row],[Customer_Info]]) -1))</f>
        <v>Mia Singh</v>
      </c>
      <c r="T119" s="8" t="str">
        <f>TRIM(MID(RawSalesTable[[#This Row],[Customer_Info]],FIND(",",RawSalesTable[[#This Row],[Customer_Info]])+1,FIND(",",RawSalesTable[[#This Row],[Customer_Info]],FIND(",",RawSalesTable[[#This Row],[Customer_Info]])+1)-FIND(",",RawSalesTable[[#This Row],[Customer_Info]])-1))</f>
        <v>Laval</v>
      </c>
      <c r="U119" s="8" t="str">
        <f>TRIM(RIGHT(RawSalesTable[[#This Row],[Customer_Info]], LEN(RawSalesTable[[#This Row],[Customer_Info]])-FIND(",",RawSalesTable[[#This Row],[Customer_Info]],FIND(",",RawSalesTable[[#This Row],[Customer_Info]])+1)))</f>
        <v>Consumer</v>
      </c>
      <c r="V119" s="8" t="str">
        <f>VLOOKUP(RawSalesTable[[#This Row],[Product_ID]],ProductsTable[],2,FALSE)</f>
        <v>Backpack</v>
      </c>
      <c r="W119" s="8" t="str">
        <f>VLOOKUP(RawSalesTable[[#This Row],[Product_ID]],ProductsTable[],3,FALSE)</f>
        <v>Accessories</v>
      </c>
      <c r="X119" s="8">
        <f>VLOOKUP(RawSalesTable[[#This Row],[Product_ID]],ProductsTable[],5,FALSE)</f>
        <v>152.55000000000001</v>
      </c>
      <c r="Y119" s="8">
        <f>RawSalesTable[[#This Row],[Quantity]]*RawSalesTable[[#This Row],[Unit_Price]]</f>
        <v>312.99</v>
      </c>
      <c r="Z119" s="8">
        <f>RawSalesTable[[#This Row],[Gross_Sales]]*RawSalesTable[[#This Row],[Discount_Pct]]</f>
        <v>0</v>
      </c>
      <c r="AA119" s="8">
        <f>RawSalesTable[[#This Row],[Gross_Sales]]-RawSalesTable[[#This Row],[Discount_Amount]]</f>
        <v>312.99</v>
      </c>
      <c r="AB119" s="8">
        <f>RawSalesTable[[#This Row],[Unit_Cost]]*RawSalesTable[[#This Row],[Quantity]]</f>
        <v>152.55000000000001</v>
      </c>
      <c r="AC119" s="8">
        <f>RawSalesTable[[#This Row],[Net_Sales]]-RawSalesTable[[#This Row],[Total_Cost]]</f>
        <v>160.44</v>
      </c>
      <c r="AD119" s="9">
        <f>RawSalesTable[[#This Row],[Profit]]/RawSalesTable[[#This Row],[Net_Sales]]</f>
        <v>0.51260423655707843</v>
      </c>
      <c r="AE119" s="8">
        <f>IF(RawSalesTable[[#This Row],[Return_Status]]="Yes",1,0)</f>
        <v>0</v>
      </c>
      <c r="AF119" s="8">
        <f>YEAR(RawSalesTable[[#This Row],[Order_Date]])</f>
        <v>2025</v>
      </c>
      <c r="AG119" s="8">
        <f>MONTH(RawSalesTable[[#This Row],[Order_Date]])</f>
        <v>4</v>
      </c>
      <c r="AH119" s="8" t="str">
        <f>TEXT(RawSalesTable[[#This Row],[Order_Date]],"mmmm")</f>
        <v>avril</v>
      </c>
      <c r="AI119" s="8" t="str">
        <f>IF(RawSalesTable[[#This Row],[Month_Number]]&lt;=3,"Q1",IF(RawSalesTable[[#This Row],[Month_Number]]&lt;=6,"Q2",IF(RawSalesTable[[#This Row],[Month_Number]]&lt;=9,"Q3","Q4")))</f>
        <v>Q2</v>
      </c>
      <c r="AJ119" s="13">
        <f>DATE(YEAR(RawSalesTable[[#This Row],[Order_Date]]),MONTH(RawSalesTable[[#This Row],[Order_Date]]),1)</f>
        <v>45748</v>
      </c>
      <c r="AK119" s="8" t="str">
        <f>VLOOKUP(RawSalesTable[[#This Row],[Customer_ID_clean]],CustomersTable[],4,FALSE)</f>
        <v>Quebec</v>
      </c>
    </row>
    <row r="120" spans="1:37">
      <c r="A120" t="s">
        <v>398</v>
      </c>
      <c r="B120" s="3">
        <v>45971</v>
      </c>
      <c r="C120" t="s">
        <v>399</v>
      </c>
      <c r="D120" t="s">
        <v>139</v>
      </c>
      <c r="E120" t="s">
        <v>400</v>
      </c>
      <c r="F120" t="s">
        <v>116</v>
      </c>
      <c r="G120" t="s">
        <v>104</v>
      </c>
      <c r="H120" t="s">
        <v>97</v>
      </c>
      <c r="I120">
        <v>1</v>
      </c>
      <c r="J120" s="2">
        <v>79.47</v>
      </c>
      <c r="K120" s="4">
        <v>0</v>
      </c>
      <c r="L120" t="s">
        <v>106</v>
      </c>
      <c r="M120">
        <v>1</v>
      </c>
      <c r="N120" t="s">
        <v>91</v>
      </c>
      <c r="O120" t="str">
        <f>SUBSTITUTE(PROPER(TRIM(RawSalesTable[[#This Row],[Channel_Raw]])), "Market Place", "Marketplace")</f>
        <v>Retail Store</v>
      </c>
      <c r="P120" t="str">
        <f>TRIM(RawSalesTable[[#This Row],[Store_Raw]])</f>
        <v>Toronto Downtown</v>
      </c>
      <c r="Q120" t="str">
        <f>IF(TRIM(RawSalesTable[[#This Row],[Payment_Method_Raw]])="","Non renseigné",SUBSTITUTE(TRIM(RawSalesTable[[#This Row],[Payment_Method_Raw]]),"CC","Credit Card"))</f>
        <v>Credit Card</v>
      </c>
      <c r="R120" s="8" t="str">
        <f>UPPER(PROPER(RawSalesTable[[#This Row],[Customer_ID]]))</f>
        <v>C0090</v>
      </c>
      <c r="S120" s="8" t="str">
        <f>TRIM(LEFT(RawSalesTable[[#This Row],[Customer_Info]],FIND(",",RawSalesTable[[#This Row],[Customer_Info]]) -1))</f>
        <v>Nora Young</v>
      </c>
      <c r="T120" s="8" t="str">
        <f>TRIM(MID(RawSalesTable[[#This Row],[Customer_Info]],FIND(",",RawSalesTable[[#This Row],[Customer_Info]])+1,FIND(",",RawSalesTable[[#This Row],[Customer_Info]],FIND(",",RawSalesTable[[#This Row],[Customer_Info]])+1)-FIND(",",RawSalesTable[[#This Row],[Customer_Info]])-1))</f>
        <v>Montreal</v>
      </c>
      <c r="U120" s="8" t="str">
        <f>TRIM(RIGHT(RawSalesTable[[#This Row],[Customer_Info]], LEN(RawSalesTable[[#This Row],[Customer_Info]])-FIND(",",RawSalesTable[[#This Row],[Customer_Info]],FIND(",",RawSalesTable[[#This Row],[Customer_Info]])+1)))</f>
        <v>Small Business</v>
      </c>
      <c r="V120" s="8" t="str">
        <f>VLOOKUP(RawSalesTable[[#This Row],[Product_ID]],ProductsTable[],2,FALSE)</f>
        <v>Standing Desk</v>
      </c>
      <c r="W120" s="8" t="str">
        <f>VLOOKUP(RawSalesTable[[#This Row],[Product_ID]],ProductsTable[],3,FALSE)</f>
        <v>Office</v>
      </c>
      <c r="X120" s="8">
        <f>VLOOKUP(RawSalesTable[[#This Row],[Product_ID]],ProductsTable[],5,FALSE)</f>
        <v>45.17</v>
      </c>
      <c r="Y120" s="8">
        <f>RawSalesTable[[#This Row],[Quantity]]*RawSalesTable[[#This Row],[Unit_Price]]</f>
        <v>79.47</v>
      </c>
      <c r="Z120" s="8">
        <f>RawSalesTable[[#This Row],[Gross_Sales]]*RawSalesTable[[#This Row],[Discount_Pct]]</f>
        <v>0</v>
      </c>
      <c r="AA120" s="8">
        <f>RawSalesTable[[#This Row],[Gross_Sales]]-RawSalesTable[[#This Row],[Discount_Amount]]</f>
        <v>79.47</v>
      </c>
      <c r="AB120" s="8">
        <f>RawSalesTable[[#This Row],[Unit_Cost]]*RawSalesTable[[#This Row],[Quantity]]</f>
        <v>45.17</v>
      </c>
      <c r="AC120" s="8">
        <f>RawSalesTable[[#This Row],[Net_Sales]]-RawSalesTable[[#This Row],[Total_Cost]]</f>
        <v>34.299999999999997</v>
      </c>
      <c r="AD120" s="9">
        <f>RawSalesTable[[#This Row],[Profit]]/RawSalesTable[[#This Row],[Net_Sales]]</f>
        <v>0.43160941235686417</v>
      </c>
      <c r="AE120" s="8">
        <f>IF(RawSalesTable[[#This Row],[Return_Status]]="Yes",1,0)</f>
        <v>0</v>
      </c>
      <c r="AF120" s="8">
        <f>YEAR(RawSalesTable[[#This Row],[Order_Date]])</f>
        <v>2025</v>
      </c>
      <c r="AG120" s="8">
        <f>MONTH(RawSalesTable[[#This Row],[Order_Date]])</f>
        <v>11</v>
      </c>
      <c r="AH120" s="8" t="str">
        <f>TEXT(RawSalesTable[[#This Row],[Order_Date]],"mmmm")</f>
        <v>novembre</v>
      </c>
      <c r="AI120" s="8" t="str">
        <f>IF(RawSalesTable[[#This Row],[Month_Number]]&lt;=3,"Q1",IF(RawSalesTable[[#This Row],[Month_Number]]&lt;=6,"Q2",IF(RawSalesTable[[#This Row],[Month_Number]]&lt;=9,"Q3","Q4")))</f>
        <v>Q4</v>
      </c>
      <c r="AJ120" s="13">
        <f>DATE(YEAR(RawSalesTable[[#This Row],[Order_Date]]),MONTH(RawSalesTable[[#This Row],[Order_Date]]),1)</f>
        <v>45962</v>
      </c>
      <c r="AK120" s="8" t="str">
        <f>VLOOKUP(RawSalesTable[[#This Row],[Customer_ID_clean]],CustomersTable[],4,FALSE)</f>
        <v>Quebec</v>
      </c>
    </row>
    <row r="121" spans="1:37">
      <c r="A121" t="s">
        <v>401</v>
      </c>
      <c r="B121" s="3">
        <v>45846</v>
      </c>
      <c r="C121" t="s">
        <v>402</v>
      </c>
      <c r="D121" t="s">
        <v>277</v>
      </c>
      <c r="E121" t="s">
        <v>403</v>
      </c>
      <c r="F121" t="s">
        <v>103</v>
      </c>
      <c r="G121" t="s">
        <v>130</v>
      </c>
      <c r="H121" t="s">
        <v>89</v>
      </c>
      <c r="I121">
        <v>2</v>
      </c>
      <c r="J121" s="2">
        <v>379.92</v>
      </c>
      <c r="K121" s="4">
        <v>0.15</v>
      </c>
      <c r="L121" t="s">
        <v>253</v>
      </c>
      <c r="M121">
        <v>6</v>
      </c>
      <c r="N121" t="s">
        <v>91</v>
      </c>
      <c r="O121" t="str">
        <f>SUBSTITUTE(PROPER(TRIM(RawSalesTable[[#This Row],[Channel_Raw]])), "Market Place", "Marketplace")</f>
        <v>Online</v>
      </c>
      <c r="P121" t="str">
        <f>TRIM(RawSalesTable[[#This Row],[Store_Raw]])</f>
        <v>Vancouver West</v>
      </c>
      <c r="Q121" t="str">
        <f>IF(TRIM(RawSalesTable[[#This Row],[Payment_Method_Raw]])="","Non renseigné",SUBSTITUTE(TRIM(RawSalesTable[[#This Row],[Payment_Method_Raw]]),"CC","Credit Card"))</f>
        <v>Credit Card</v>
      </c>
      <c r="R121" s="8" t="str">
        <f>UPPER(PROPER(RawSalesTable[[#This Row],[Customer_ID]]))</f>
        <v>C0010</v>
      </c>
      <c r="S121" s="8" t="str">
        <f>TRIM(LEFT(RawSalesTable[[#This Row],[Customer_Info]],FIND(",",RawSalesTable[[#This Row],[Customer_Info]]) -1))</f>
        <v>Ethan Martin</v>
      </c>
      <c r="T121" s="8" t="str">
        <f>TRIM(MID(RawSalesTable[[#This Row],[Customer_Info]],FIND(",",RawSalesTable[[#This Row],[Customer_Info]])+1,FIND(",",RawSalesTable[[#This Row],[Customer_Info]],FIND(",",RawSalesTable[[#This Row],[Customer_Info]])+1)-FIND(",",RawSalesTable[[#This Row],[Customer_Info]])-1))</f>
        <v>Victoria</v>
      </c>
      <c r="U121" s="8" t="str">
        <f>TRIM(RIGHT(RawSalesTable[[#This Row],[Customer_Info]], LEN(RawSalesTable[[#This Row],[Customer_Info]])-FIND(",",RawSalesTable[[#This Row],[Customer_Info]],FIND(",",RawSalesTable[[#This Row],[Customer_Info]])+1)))</f>
        <v>Corporate</v>
      </c>
      <c r="V121" s="8" t="str">
        <f>VLOOKUP(RawSalesTable[[#This Row],[Product_ID]],ProductsTable[],2,FALSE)</f>
        <v>Headphones</v>
      </c>
      <c r="W121" s="8" t="str">
        <f>VLOOKUP(RawSalesTable[[#This Row],[Product_ID]],ProductsTable[],3,FALSE)</f>
        <v>Electronics</v>
      </c>
      <c r="X121" s="8">
        <f>VLOOKUP(RawSalesTable[[#This Row],[Product_ID]],ProductsTable[],5,FALSE)</f>
        <v>254.6</v>
      </c>
      <c r="Y121" s="8">
        <f>RawSalesTable[[#This Row],[Quantity]]*RawSalesTable[[#This Row],[Unit_Price]]</f>
        <v>759.84</v>
      </c>
      <c r="Z121" s="8">
        <f>RawSalesTable[[#This Row],[Gross_Sales]]*RawSalesTable[[#This Row],[Discount_Pct]]</f>
        <v>113.976</v>
      </c>
      <c r="AA121" s="8">
        <f>RawSalesTable[[#This Row],[Gross_Sales]]-RawSalesTable[[#This Row],[Discount_Amount]]</f>
        <v>645.86400000000003</v>
      </c>
      <c r="AB121" s="8">
        <f>RawSalesTable[[#This Row],[Unit_Cost]]*RawSalesTable[[#This Row],[Quantity]]</f>
        <v>509.2</v>
      </c>
      <c r="AC121" s="8">
        <f>RawSalesTable[[#This Row],[Net_Sales]]-RawSalesTable[[#This Row],[Total_Cost]]</f>
        <v>136.66400000000004</v>
      </c>
      <c r="AD121" s="9">
        <f>RawSalesTable[[#This Row],[Profit]]/RawSalesTable[[#This Row],[Net_Sales]]</f>
        <v>0.21159872666691446</v>
      </c>
      <c r="AE121" s="8">
        <f>IF(RawSalesTable[[#This Row],[Return_Status]]="Yes",1,0)</f>
        <v>0</v>
      </c>
      <c r="AF121" s="8">
        <f>YEAR(RawSalesTable[[#This Row],[Order_Date]])</f>
        <v>2025</v>
      </c>
      <c r="AG121" s="8">
        <f>MONTH(RawSalesTable[[#This Row],[Order_Date]])</f>
        <v>7</v>
      </c>
      <c r="AH121" s="8" t="str">
        <f>TEXT(RawSalesTable[[#This Row],[Order_Date]],"mmmm")</f>
        <v>juillet</v>
      </c>
      <c r="AI121" s="8" t="str">
        <f>IF(RawSalesTable[[#This Row],[Month_Number]]&lt;=3,"Q1",IF(RawSalesTable[[#This Row],[Month_Number]]&lt;=6,"Q2",IF(RawSalesTable[[#This Row],[Month_Number]]&lt;=9,"Q3","Q4")))</f>
        <v>Q3</v>
      </c>
      <c r="AJ121" s="13">
        <f>DATE(YEAR(RawSalesTable[[#This Row],[Order_Date]]),MONTH(RawSalesTable[[#This Row],[Order_Date]]),1)</f>
        <v>45839</v>
      </c>
      <c r="AK121" s="8" t="str">
        <f>VLOOKUP(RawSalesTable[[#This Row],[Customer_ID_clean]],CustomersTable[],4,FALSE)</f>
        <v>British Columbia</v>
      </c>
    </row>
    <row r="122" spans="1:37">
      <c r="A122" t="s">
        <v>404</v>
      </c>
      <c r="B122" s="3">
        <v>45931</v>
      </c>
      <c r="C122" t="s">
        <v>313</v>
      </c>
      <c r="D122" t="s">
        <v>255</v>
      </c>
      <c r="E122" t="s">
        <v>314</v>
      </c>
      <c r="F122" t="s">
        <v>145</v>
      </c>
      <c r="G122" t="s">
        <v>88</v>
      </c>
      <c r="H122" t="s">
        <v>89</v>
      </c>
      <c r="I122">
        <v>1</v>
      </c>
      <c r="J122" s="2">
        <v>243.7</v>
      </c>
      <c r="K122" s="4">
        <v>0</v>
      </c>
      <c r="L122" t="s">
        <v>98</v>
      </c>
      <c r="M122">
        <v>2</v>
      </c>
      <c r="N122" t="s">
        <v>91</v>
      </c>
      <c r="O122" t="str">
        <f>SUBSTITUTE(PROPER(TRIM(RawSalesTable[[#This Row],[Channel_Raw]])), "Market Place", "Marketplace")</f>
        <v>Online</v>
      </c>
      <c r="P122" t="str">
        <f>TRIM(RawSalesTable[[#This Row],[Store_Raw]])</f>
        <v>Calgary North</v>
      </c>
      <c r="Q122" t="str">
        <f>IF(TRIM(RawSalesTable[[#This Row],[Payment_Method_Raw]])="","Non renseigné",SUBSTITUTE(TRIM(RawSalesTable[[#This Row],[Payment_Method_Raw]]),"CC","Credit Card"))</f>
        <v>Debit Card</v>
      </c>
      <c r="R122" s="8" t="str">
        <f>UPPER(PROPER(RawSalesTable[[#This Row],[Customer_ID]]))</f>
        <v>C0080</v>
      </c>
      <c r="S122" s="8" t="str">
        <f>TRIM(LEFT(RawSalesTable[[#This Row],[Customer_Info]],FIND(",",RawSalesTable[[#This Row],[Customer_Info]]) -1))</f>
        <v>Sarah Smith</v>
      </c>
      <c r="T122" s="8" t="str">
        <f>TRIM(MID(RawSalesTable[[#This Row],[Customer_Info]],FIND(",",RawSalesTable[[#This Row],[Customer_Info]])+1,FIND(",",RawSalesTable[[#This Row],[Customer_Info]],FIND(",",RawSalesTable[[#This Row],[Customer_Info]])+1)-FIND(",",RawSalesTable[[#This Row],[Customer_Info]])-1))</f>
        <v>Mississauga</v>
      </c>
      <c r="U122" s="8" t="str">
        <f>TRIM(RIGHT(RawSalesTable[[#This Row],[Customer_Info]], LEN(RawSalesTable[[#This Row],[Customer_Info]])-FIND(",",RawSalesTable[[#This Row],[Customer_Info]],FIND(",",RawSalesTable[[#This Row],[Customer_Info]])+1)))</f>
        <v>Corporate</v>
      </c>
      <c r="V122" s="8" t="str">
        <f>VLOOKUP(RawSalesTable[[#This Row],[Product_ID]],ProductsTable[],2,FALSE)</f>
        <v>Document Shredder</v>
      </c>
      <c r="W122" s="8" t="str">
        <f>VLOOKUP(RawSalesTable[[#This Row],[Product_ID]],ProductsTable[],3,FALSE)</f>
        <v>Office</v>
      </c>
      <c r="X122" s="8">
        <f>VLOOKUP(RawSalesTable[[#This Row],[Product_ID]],ProductsTable[],5,FALSE)</f>
        <v>117.65</v>
      </c>
      <c r="Y122" s="8">
        <f>RawSalesTable[[#This Row],[Quantity]]*RawSalesTable[[#This Row],[Unit_Price]]</f>
        <v>243.7</v>
      </c>
      <c r="Z122" s="8">
        <f>RawSalesTable[[#This Row],[Gross_Sales]]*RawSalesTable[[#This Row],[Discount_Pct]]</f>
        <v>0</v>
      </c>
      <c r="AA122" s="8">
        <f>RawSalesTable[[#This Row],[Gross_Sales]]-RawSalesTable[[#This Row],[Discount_Amount]]</f>
        <v>243.7</v>
      </c>
      <c r="AB122" s="8">
        <f>RawSalesTable[[#This Row],[Unit_Cost]]*RawSalesTable[[#This Row],[Quantity]]</f>
        <v>117.65</v>
      </c>
      <c r="AC122" s="8">
        <f>RawSalesTable[[#This Row],[Net_Sales]]-RawSalesTable[[#This Row],[Total_Cost]]</f>
        <v>126.04999999999998</v>
      </c>
      <c r="AD122" s="9">
        <f>RawSalesTable[[#This Row],[Profit]]/RawSalesTable[[#This Row],[Net_Sales]]</f>
        <v>0.51723430447271235</v>
      </c>
      <c r="AE122" s="8">
        <f>IF(RawSalesTable[[#This Row],[Return_Status]]="Yes",1,0)</f>
        <v>0</v>
      </c>
      <c r="AF122" s="8">
        <f>YEAR(RawSalesTable[[#This Row],[Order_Date]])</f>
        <v>2025</v>
      </c>
      <c r="AG122" s="8">
        <f>MONTH(RawSalesTable[[#This Row],[Order_Date]])</f>
        <v>10</v>
      </c>
      <c r="AH122" s="8" t="str">
        <f>TEXT(RawSalesTable[[#This Row],[Order_Date]],"mmmm")</f>
        <v>octobre</v>
      </c>
      <c r="AI122" s="8" t="str">
        <f>IF(RawSalesTable[[#This Row],[Month_Number]]&lt;=3,"Q1",IF(RawSalesTable[[#This Row],[Month_Number]]&lt;=6,"Q2",IF(RawSalesTable[[#This Row],[Month_Number]]&lt;=9,"Q3","Q4")))</f>
        <v>Q4</v>
      </c>
      <c r="AJ122" s="13">
        <f>DATE(YEAR(RawSalesTable[[#This Row],[Order_Date]]),MONTH(RawSalesTable[[#This Row],[Order_Date]]),1)</f>
        <v>45931</v>
      </c>
      <c r="AK122" s="8" t="str">
        <f>VLOOKUP(RawSalesTable[[#This Row],[Customer_ID_clean]],CustomersTable[],4,FALSE)</f>
        <v>Ontario</v>
      </c>
    </row>
    <row r="123" spans="1:37">
      <c r="A123" t="s">
        <v>405</v>
      </c>
      <c r="B123" s="3">
        <v>45814</v>
      </c>
      <c r="C123" t="s">
        <v>406</v>
      </c>
      <c r="D123" t="s">
        <v>221</v>
      </c>
      <c r="E123" t="s">
        <v>407</v>
      </c>
      <c r="F123" t="s">
        <v>87</v>
      </c>
      <c r="G123" t="s">
        <v>117</v>
      </c>
      <c r="H123" t="s">
        <v>97</v>
      </c>
      <c r="I123">
        <v>1</v>
      </c>
      <c r="J123" s="2">
        <v>29.65</v>
      </c>
      <c r="K123" s="4">
        <v>0.05</v>
      </c>
      <c r="L123" t="s">
        <v>253</v>
      </c>
      <c r="M123">
        <v>4</v>
      </c>
      <c r="N123" t="s">
        <v>91</v>
      </c>
      <c r="O123" t="str">
        <f>SUBSTITUTE(PROPER(TRIM(RawSalesTable[[#This Row],[Channel_Raw]])), "Market Place", "Marketplace")</f>
        <v>Retail Store</v>
      </c>
      <c r="P123" t="str">
        <f>TRIM(RawSalesTable[[#This Row],[Store_Raw]])</f>
        <v>Online Fulfillment</v>
      </c>
      <c r="Q123" t="str">
        <f>IF(TRIM(RawSalesTable[[#This Row],[Payment_Method_Raw]])="","Non renseigné",SUBSTITUTE(TRIM(RawSalesTable[[#This Row],[Payment_Method_Raw]]),"CC","Credit Card"))</f>
        <v>Credit Card</v>
      </c>
      <c r="R123" s="8" t="str">
        <f>UPPER(PROPER(RawSalesTable[[#This Row],[Customer_ID]]))</f>
        <v>C0038</v>
      </c>
      <c r="S123" s="8" t="str">
        <f>TRIM(LEFT(RawSalesTable[[#This Row],[Customer_Info]],FIND(",",RawSalesTable[[#This Row],[Customer_Info]]) -1))</f>
        <v>Noah Brown</v>
      </c>
      <c r="T123" s="8" t="str">
        <f>TRIM(MID(RawSalesTable[[#This Row],[Customer_Info]],FIND(",",RawSalesTable[[#This Row],[Customer_Info]])+1,FIND(",",RawSalesTable[[#This Row],[Customer_Info]],FIND(",",RawSalesTable[[#This Row],[Customer_Info]])+1)-FIND(",",RawSalesTable[[#This Row],[Customer_Info]])-1))</f>
        <v>Montreal</v>
      </c>
      <c r="U123" s="8" t="str">
        <f>TRIM(RIGHT(RawSalesTable[[#This Row],[Customer_Info]], LEN(RawSalesTable[[#This Row],[Customer_Info]])-FIND(",",RawSalesTable[[#This Row],[Customer_Info]],FIND(",",RawSalesTable[[#This Row],[Customer_Info]])+1)))</f>
        <v>Consumer</v>
      </c>
      <c r="V123" s="8" t="str">
        <f>VLOOKUP(RawSalesTable[[#This Row],[Product_ID]],ProductsTable[],2,FALSE)</f>
        <v>Air Fryer</v>
      </c>
      <c r="W123" s="8" t="str">
        <f>VLOOKUP(RawSalesTable[[#This Row],[Product_ID]],ProductsTable[],3,FALSE)</f>
        <v>Home</v>
      </c>
      <c r="X123" s="8">
        <f>VLOOKUP(RawSalesTable[[#This Row],[Product_ID]],ProductsTable[],5,FALSE)</f>
        <v>14.58</v>
      </c>
      <c r="Y123" s="8">
        <f>RawSalesTable[[#This Row],[Quantity]]*RawSalesTable[[#This Row],[Unit_Price]]</f>
        <v>29.65</v>
      </c>
      <c r="Z123" s="8">
        <f>RawSalesTable[[#This Row],[Gross_Sales]]*RawSalesTable[[#This Row],[Discount_Pct]]</f>
        <v>1.4824999999999999</v>
      </c>
      <c r="AA123" s="8">
        <f>RawSalesTable[[#This Row],[Gross_Sales]]-RawSalesTable[[#This Row],[Discount_Amount]]</f>
        <v>28.167499999999997</v>
      </c>
      <c r="AB123" s="8">
        <f>RawSalesTable[[#This Row],[Unit_Cost]]*RawSalesTable[[#This Row],[Quantity]]</f>
        <v>14.58</v>
      </c>
      <c r="AC123" s="8">
        <f>RawSalesTable[[#This Row],[Net_Sales]]-RawSalesTable[[#This Row],[Total_Cost]]</f>
        <v>13.587499999999997</v>
      </c>
      <c r="AD123" s="9">
        <f>RawSalesTable[[#This Row],[Profit]]/RawSalesTable[[#This Row],[Net_Sales]]</f>
        <v>0.48238217804206968</v>
      </c>
      <c r="AE123" s="8">
        <f>IF(RawSalesTable[[#This Row],[Return_Status]]="Yes",1,0)</f>
        <v>0</v>
      </c>
      <c r="AF123" s="8">
        <f>YEAR(RawSalesTable[[#This Row],[Order_Date]])</f>
        <v>2025</v>
      </c>
      <c r="AG123" s="8">
        <f>MONTH(RawSalesTable[[#This Row],[Order_Date]])</f>
        <v>6</v>
      </c>
      <c r="AH123" s="8" t="str">
        <f>TEXT(RawSalesTable[[#This Row],[Order_Date]],"mmmm")</f>
        <v>juin</v>
      </c>
      <c r="AI123" s="8" t="str">
        <f>IF(RawSalesTable[[#This Row],[Month_Number]]&lt;=3,"Q1",IF(RawSalesTable[[#This Row],[Month_Number]]&lt;=6,"Q2",IF(RawSalesTable[[#This Row],[Month_Number]]&lt;=9,"Q3","Q4")))</f>
        <v>Q2</v>
      </c>
      <c r="AJ123" s="13">
        <f>DATE(YEAR(RawSalesTable[[#This Row],[Order_Date]]),MONTH(RawSalesTable[[#This Row],[Order_Date]]),1)</f>
        <v>45809</v>
      </c>
      <c r="AK123" s="8" t="str">
        <f>VLOOKUP(RawSalesTable[[#This Row],[Customer_ID_clean]],CustomersTable[],4,FALSE)</f>
        <v>Quebec</v>
      </c>
    </row>
    <row r="124" spans="1:37">
      <c r="A124" t="s">
        <v>408</v>
      </c>
      <c r="B124" s="3">
        <v>45850</v>
      </c>
      <c r="C124" t="s">
        <v>359</v>
      </c>
      <c r="D124" t="s">
        <v>194</v>
      </c>
      <c r="E124" t="s">
        <v>361</v>
      </c>
      <c r="F124" t="s">
        <v>116</v>
      </c>
      <c r="G124" t="s">
        <v>96</v>
      </c>
      <c r="H124" t="s">
        <v>233</v>
      </c>
      <c r="I124">
        <v>5</v>
      </c>
      <c r="J124" s="2">
        <v>198.88</v>
      </c>
      <c r="K124" s="4">
        <v>0.05</v>
      </c>
      <c r="L124" t="s">
        <v>90</v>
      </c>
      <c r="M124">
        <v>3</v>
      </c>
      <c r="N124" t="s">
        <v>91</v>
      </c>
      <c r="O124" t="str">
        <f>SUBSTITUTE(PROPER(TRIM(RawSalesTable[[#This Row],[Channel_Raw]])), "Market Place", "Marketplace")</f>
        <v>Retail Store</v>
      </c>
      <c r="P124" t="str">
        <f>TRIM(RawSalesTable[[#This Row],[Store_Raw]])</f>
        <v>Toronto Downtown</v>
      </c>
      <c r="Q124" t="str">
        <f>IF(TRIM(RawSalesTable[[#This Row],[Payment_Method_Raw]])="","Non renseigné",SUBSTITUTE(TRIM(RawSalesTable[[#This Row],[Payment_Method_Raw]]),"CC","Credit Card"))</f>
        <v>PayPal</v>
      </c>
      <c r="R124" s="8" t="str">
        <f>UPPER(PROPER(RawSalesTable[[#This Row],[Customer_ID]]))</f>
        <v>C0044</v>
      </c>
      <c r="S124" s="8" t="str">
        <f>TRIM(LEFT(RawSalesTable[[#This Row],[Customer_Info]],FIND(",",RawSalesTable[[#This Row],[Customer_Info]]) -1))</f>
        <v>Nora Young</v>
      </c>
      <c r="T124" s="8" t="str">
        <f>TRIM(MID(RawSalesTable[[#This Row],[Customer_Info]],FIND(",",RawSalesTable[[#This Row],[Customer_Info]])+1,FIND(",",RawSalesTable[[#This Row],[Customer_Info]],FIND(",",RawSalesTable[[#This Row],[Customer_Info]])+1)-FIND(",",RawSalesTable[[#This Row],[Customer_Info]])-1))</f>
        <v>Vancouver</v>
      </c>
      <c r="U124" s="8" t="str">
        <f>TRIM(RIGHT(RawSalesTable[[#This Row],[Customer_Info]], LEN(RawSalesTable[[#This Row],[Customer_Info]])-FIND(",",RawSalesTable[[#This Row],[Customer_Info]],FIND(",",RawSalesTable[[#This Row],[Customer_Info]])+1)))</f>
        <v>Corporate</v>
      </c>
      <c r="V124" s="8" t="str">
        <f>VLOOKUP(RawSalesTable[[#This Row],[Product_ID]],ProductsTable[],2,FALSE)</f>
        <v>Jump Rope</v>
      </c>
      <c r="W124" s="8" t="str">
        <f>VLOOKUP(RawSalesTable[[#This Row],[Product_ID]],ProductsTable[],3,FALSE)</f>
        <v>Fitness</v>
      </c>
      <c r="X124" s="8">
        <f>VLOOKUP(RawSalesTable[[#This Row],[Product_ID]],ProductsTable[],5,FALSE)</f>
        <v>101</v>
      </c>
      <c r="Y124" s="8">
        <f>RawSalesTable[[#This Row],[Quantity]]*RawSalesTable[[#This Row],[Unit_Price]]</f>
        <v>994.4</v>
      </c>
      <c r="Z124" s="8">
        <f>RawSalesTable[[#This Row],[Gross_Sales]]*RawSalesTable[[#This Row],[Discount_Pct]]</f>
        <v>49.72</v>
      </c>
      <c r="AA124" s="8">
        <f>RawSalesTable[[#This Row],[Gross_Sales]]-RawSalesTable[[#This Row],[Discount_Amount]]</f>
        <v>944.68</v>
      </c>
      <c r="AB124" s="8">
        <f>RawSalesTable[[#This Row],[Unit_Cost]]*RawSalesTable[[#This Row],[Quantity]]</f>
        <v>505</v>
      </c>
      <c r="AC124" s="8">
        <f>RawSalesTable[[#This Row],[Net_Sales]]-RawSalesTable[[#This Row],[Total_Cost]]</f>
        <v>439.67999999999995</v>
      </c>
      <c r="AD124" s="9">
        <f>RawSalesTable[[#This Row],[Profit]]/RawSalesTable[[#This Row],[Net_Sales]]</f>
        <v>0.46542744633103272</v>
      </c>
      <c r="AE124" s="8">
        <f>IF(RawSalesTable[[#This Row],[Return_Status]]="Yes",1,0)</f>
        <v>0</v>
      </c>
      <c r="AF124" s="8">
        <f>YEAR(RawSalesTable[[#This Row],[Order_Date]])</f>
        <v>2025</v>
      </c>
      <c r="AG124" s="8">
        <f>MONTH(RawSalesTable[[#This Row],[Order_Date]])</f>
        <v>7</v>
      </c>
      <c r="AH124" s="8" t="str">
        <f>TEXT(RawSalesTable[[#This Row],[Order_Date]],"mmmm")</f>
        <v>juillet</v>
      </c>
      <c r="AI124" s="8" t="str">
        <f>IF(RawSalesTable[[#This Row],[Month_Number]]&lt;=3,"Q1",IF(RawSalesTable[[#This Row],[Month_Number]]&lt;=6,"Q2",IF(RawSalesTable[[#This Row],[Month_Number]]&lt;=9,"Q3","Q4")))</f>
        <v>Q3</v>
      </c>
      <c r="AJ124" s="13">
        <f>DATE(YEAR(RawSalesTable[[#This Row],[Order_Date]]),MONTH(RawSalesTable[[#This Row],[Order_Date]]),1)</f>
        <v>45839</v>
      </c>
      <c r="AK124" s="8" t="str">
        <f>VLOOKUP(RawSalesTable[[#This Row],[Customer_ID_clean]],CustomersTable[],4,FALSE)</f>
        <v>British Columbia</v>
      </c>
    </row>
    <row r="125" spans="1:37">
      <c r="A125" t="s">
        <v>409</v>
      </c>
      <c r="B125" s="3">
        <v>45708</v>
      </c>
      <c r="C125" t="s">
        <v>410</v>
      </c>
      <c r="D125" t="s">
        <v>255</v>
      </c>
      <c r="E125" t="s">
        <v>411</v>
      </c>
      <c r="F125" t="s">
        <v>87</v>
      </c>
      <c r="G125" t="s">
        <v>122</v>
      </c>
      <c r="H125" t="s">
        <v>105</v>
      </c>
      <c r="I125">
        <v>2</v>
      </c>
      <c r="J125" s="2">
        <v>243.99</v>
      </c>
      <c r="K125" s="4">
        <v>0.2</v>
      </c>
      <c r="L125" t="s">
        <v>154</v>
      </c>
      <c r="M125">
        <v>7</v>
      </c>
      <c r="N125" t="s">
        <v>91</v>
      </c>
      <c r="O125" t="str">
        <f>SUBSTITUTE(PROPER(TRIM(RawSalesTable[[#This Row],[Channel_Raw]])), "Market Place", "Marketplace")</f>
        <v>Marketplace</v>
      </c>
      <c r="P125" t="str">
        <f>TRIM(RawSalesTable[[#This Row],[Store_Raw]])</f>
        <v>Online Fulfillment</v>
      </c>
      <c r="Q125" t="str">
        <f>IF(TRIM(RawSalesTable[[#This Row],[Payment_Method_Raw]])="","Non renseigné",SUBSTITUTE(TRIM(RawSalesTable[[#This Row],[Payment_Method_Raw]]),"CC","Credit Card"))</f>
        <v>Gift Card</v>
      </c>
      <c r="R125" s="8" t="str">
        <f>UPPER(PROPER(RawSalesTable[[#This Row],[Customer_ID]]))</f>
        <v>C0093</v>
      </c>
      <c r="S125" s="8" t="str">
        <f>TRIM(LEFT(RawSalesTable[[#This Row],[Customer_Info]],FIND(",",RawSalesTable[[#This Row],[Customer_Info]]) -1))</f>
        <v>Ethan Roy</v>
      </c>
      <c r="T125" s="8" t="str">
        <f>TRIM(MID(RawSalesTable[[#This Row],[Customer_Info]],FIND(",",RawSalesTable[[#This Row],[Customer_Info]])+1,FIND(",",RawSalesTable[[#This Row],[Customer_Info]],FIND(",",RawSalesTable[[#This Row],[Customer_Info]])+1)-FIND(",",RawSalesTable[[#This Row],[Customer_Info]])-1))</f>
        <v>Winnipeg</v>
      </c>
      <c r="U125" s="8" t="str">
        <f>TRIM(RIGHT(RawSalesTable[[#This Row],[Customer_Info]], LEN(RawSalesTable[[#This Row],[Customer_Info]])-FIND(",",RawSalesTable[[#This Row],[Customer_Info]],FIND(",",RawSalesTable[[#This Row],[Customer_Info]])+1)))</f>
        <v>Consumer</v>
      </c>
      <c r="V125" s="8" t="str">
        <f>VLOOKUP(RawSalesTable[[#This Row],[Product_ID]],ProductsTable[],2,FALSE)</f>
        <v>Document Shredder</v>
      </c>
      <c r="W125" s="8" t="str">
        <f>VLOOKUP(RawSalesTable[[#This Row],[Product_ID]],ProductsTable[],3,FALSE)</f>
        <v>Office</v>
      </c>
      <c r="X125" s="8">
        <f>VLOOKUP(RawSalesTable[[#This Row],[Product_ID]],ProductsTable[],5,FALSE)</f>
        <v>117.65</v>
      </c>
      <c r="Y125" s="8">
        <f>RawSalesTable[[#This Row],[Quantity]]*RawSalesTable[[#This Row],[Unit_Price]]</f>
        <v>487.98</v>
      </c>
      <c r="Z125" s="8">
        <f>RawSalesTable[[#This Row],[Gross_Sales]]*RawSalesTable[[#This Row],[Discount_Pct]]</f>
        <v>97.596000000000004</v>
      </c>
      <c r="AA125" s="8">
        <f>RawSalesTable[[#This Row],[Gross_Sales]]-RawSalesTable[[#This Row],[Discount_Amount]]</f>
        <v>390.38400000000001</v>
      </c>
      <c r="AB125" s="8">
        <f>RawSalesTable[[#This Row],[Unit_Cost]]*RawSalesTable[[#This Row],[Quantity]]</f>
        <v>235.3</v>
      </c>
      <c r="AC125" s="8">
        <f>RawSalesTable[[#This Row],[Net_Sales]]-RawSalesTable[[#This Row],[Total_Cost]]</f>
        <v>155.084</v>
      </c>
      <c r="AD125" s="9">
        <f>RawSalesTable[[#This Row],[Profit]]/RawSalesTable[[#This Row],[Net_Sales]]</f>
        <v>0.39726013361203327</v>
      </c>
      <c r="AE125" s="8">
        <f>IF(RawSalesTable[[#This Row],[Return_Status]]="Yes",1,0)</f>
        <v>0</v>
      </c>
      <c r="AF125" s="8">
        <f>YEAR(RawSalesTable[[#This Row],[Order_Date]])</f>
        <v>2025</v>
      </c>
      <c r="AG125" s="8">
        <f>MONTH(RawSalesTable[[#This Row],[Order_Date]])</f>
        <v>2</v>
      </c>
      <c r="AH125" s="8" t="str">
        <f>TEXT(RawSalesTable[[#This Row],[Order_Date]],"mmmm")</f>
        <v>février</v>
      </c>
      <c r="AI125" s="8" t="str">
        <f>IF(RawSalesTable[[#This Row],[Month_Number]]&lt;=3,"Q1",IF(RawSalesTable[[#This Row],[Month_Number]]&lt;=6,"Q2",IF(RawSalesTable[[#This Row],[Month_Number]]&lt;=9,"Q3","Q4")))</f>
        <v>Q1</v>
      </c>
      <c r="AJ125" s="13">
        <f>DATE(YEAR(RawSalesTable[[#This Row],[Order_Date]]),MONTH(RawSalesTable[[#This Row],[Order_Date]]),1)</f>
        <v>45689</v>
      </c>
      <c r="AK125" s="8" t="str">
        <f>VLOOKUP(RawSalesTable[[#This Row],[Customer_ID_clean]],CustomersTable[],4,FALSE)</f>
        <v>Manitoba</v>
      </c>
    </row>
    <row r="126" spans="1:37">
      <c r="A126" t="s">
        <v>412</v>
      </c>
      <c r="B126" s="3">
        <v>45870</v>
      </c>
      <c r="C126" t="s">
        <v>84</v>
      </c>
      <c r="D126" t="s">
        <v>249</v>
      </c>
      <c r="E126" t="s">
        <v>86</v>
      </c>
      <c r="F126" t="s">
        <v>103</v>
      </c>
      <c r="G126" t="s">
        <v>104</v>
      </c>
      <c r="H126" t="s">
        <v>89</v>
      </c>
      <c r="I126">
        <v>1</v>
      </c>
      <c r="J126" s="2">
        <v>438.44</v>
      </c>
      <c r="K126" s="4">
        <v>0.1</v>
      </c>
      <c r="L126" t="s">
        <v>106</v>
      </c>
      <c r="M126">
        <v>4</v>
      </c>
      <c r="N126" t="s">
        <v>91</v>
      </c>
      <c r="O126" t="str">
        <f>SUBSTITUTE(PROPER(TRIM(RawSalesTable[[#This Row],[Channel_Raw]])), "Market Place", "Marketplace")</f>
        <v>Online</v>
      </c>
      <c r="P126" t="str">
        <f>TRIM(RawSalesTable[[#This Row],[Store_Raw]])</f>
        <v>Vancouver West</v>
      </c>
      <c r="Q126" t="str">
        <f>IF(TRIM(RawSalesTable[[#This Row],[Payment_Method_Raw]])="","Non renseigné",SUBSTITUTE(TRIM(RawSalesTable[[#This Row],[Payment_Method_Raw]]),"CC","Credit Card"))</f>
        <v>Credit Card</v>
      </c>
      <c r="R126" s="8" t="str">
        <f>UPPER(PROPER(RawSalesTable[[#This Row],[Customer_ID]]))</f>
        <v>C0113</v>
      </c>
      <c r="S126" s="8" t="str">
        <f>TRIM(LEFT(RawSalesTable[[#This Row],[Customer_Info]],FIND(",",RawSalesTable[[#This Row],[Customer_Info]]) -1))</f>
        <v>Olivia Johnson</v>
      </c>
      <c r="T126" s="8" t="str">
        <f>TRIM(MID(RawSalesTable[[#This Row],[Customer_Info]],FIND(",",RawSalesTable[[#This Row],[Customer_Info]])+1,FIND(",",RawSalesTable[[#This Row],[Customer_Info]],FIND(",",RawSalesTable[[#This Row],[Customer_Info]])+1)-FIND(",",RawSalesTable[[#This Row],[Customer_Info]])-1))</f>
        <v>Surrey</v>
      </c>
      <c r="U126" s="8" t="str">
        <f>TRIM(RIGHT(RawSalesTable[[#This Row],[Customer_Info]], LEN(RawSalesTable[[#This Row],[Customer_Info]])-FIND(",",RawSalesTable[[#This Row],[Customer_Info]],FIND(",",RawSalesTable[[#This Row],[Customer_Info]])+1)))</f>
        <v>Consumer</v>
      </c>
      <c r="V126" s="8" t="str">
        <f>VLOOKUP(RawSalesTable[[#This Row],[Product_ID]],ProductsTable[],2,FALSE)</f>
        <v>Humidifier</v>
      </c>
      <c r="W126" s="8" t="str">
        <f>VLOOKUP(RawSalesTable[[#This Row],[Product_ID]],ProductsTable[],3,FALSE)</f>
        <v>Home</v>
      </c>
      <c r="X126" s="8">
        <f>VLOOKUP(RawSalesTable[[#This Row],[Product_ID]],ProductsTable[],5,FALSE)</f>
        <v>239.67</v>
      </c>
      <c r="Y126" s="8">
        <f>RawSalesTable[[#This Row],[Quantity]]*RawSalesTable[[#This Row],[Unit_Price]]</f>
        <v>438.44</v>
      </c>
      <c r="Z126" s="8">
        <f>RawSalesTable[[#This Row],[Gross_Sales]]*RawSalesTable[[#This Row],[Discount_Pct]]</f>
        <v>43.844000000000001</v>
      </c>
      <c r="AA126" s="8">
        <f>RawSalesTable[[#This Row],[Gross_Sales]]-RawSalesTable[[#This Row],[Discount_Amount]]</f>
        <v>394.596</v>
      </c>
      <c r="AB126" s="8">
        <f>RawSalesTable[[#This Row],[Unit_Cost]]*RawSalesTable[[#This Row],[Quantity]]</f>
        <v>239.67</v>
      </c>
      <c r="AC126" s="8">
        <f>RawSalesTable[[#This Row],[Net_Sales]]-RawSalesTable[[#This Row],[Total_Cost]]</f>
        <v>154.92600000000002</v>
      </c>
      <c r="AD126" s="9">
        <f>RawSalesTable[[#This Row],[Profit]]/RawSalesTable[[#This Row],[Net_Sales]]</f>
        <v>0.39261928656144518</v>
      </c>
      <c r="AE126" s="8">
        <f>IF(RawSalesTable[[#This Row],[Return_Status]]="Yes",1,0)</f>
        <v>0</v>
      </c>
      <c r="AF126" s="8">
        <f>YEAR(RawSalesTable[[#This Row],[Order_Date]])</f>
        <v>2025</v>
      </c>
      <c r="AG126" s="8">
        <f>MONTH(RawSalesTable[[#This Row],[Order_Date]])</f>
        <v>8</v>
      </c>
      <c r="AH126" s="8" t="str">
        <f>TEXT(RawSalesTable[[#This Row],[Order_Date]],"mmmm")</f>
        <v>août</v>
      </c>
      <c r="AI126" s="8" t="str">
        <f>IF(RawSalesTable[[#This Row],[Month_Number]]&lt;=3,"Q1",IF(RawSalesTable[[#This Row],[Month_Number]]&lt;=6,"Q2",IF(RawSalesTable[[#This Row],[Month_Number]]&lt;=9,"Q3","Q4")))</f>
        <v>Q3</v>
      </c>
      <c r="AJ126" s="13">
        <f>DATE(YEAR(RawSalesTable[[#This Row],[Order_Date]]),MONTH(RawSalesTable[[#This Row],[Order_Date]]),1)</f>
        <v>45870</v>
      </c>
      <c r="AK126" s="8" t="str">
        <f>VLOOKUP(RawSalesTable[[#This Row],[Customer_ID_clean]],CustomersTable[],4,FALSE)</f>
        <v>British Columbia</v>
      </c>
    </row>
    <row r="127" spans="1:37">
      <c r="A127" t="s">
        <v>413</v>
      </c>
      <c r="B127" s="3">
        <v>45702</v>
      </c>
      <c r="C127" t="s">
        <v>414</v>
      </c>
      <c r="D127" t="s">
        <v>249</v>
      </c>
      <c r="E127" t="s">
        <v>415</v>
      </c>
      <c r="F127" t="s">
        <v>145</v>
      </c>
      <c r="G127" t="s">
        <v>96</v>
      </c>
      <c r="H127" t="s">
        <v>97</v>
      </c>
      <c r="I127">
        <v>2</v>
      </c>
      <c r="J127" s="2">
        <v>394.57</v>
      </c>
      <c r="K127" s="4">
        <v>0.05</v>
      </c>
      <c r="L127" t="s">
        <v>90</v>
      </c>
      <c r="M127">
        <v>0</v>
      </c>
      <c r="N127" t="s">
        <v>91</v>
      </c>
      <c r="O127" t="str">
        <f>SUBSTITUTE(PROPER(TRIM(RawSalesTable[[#This Row],[Channel_Raw]])), "Market Place", "Marketplace")</f>
        <v>Retail Store</v>
      </c>
      <c r="P127" t="str">
        <f>TRIM(RawSalesTable[[#This Row],[Store_Raw]])</f>
        <v>Calgary North</v>
      </c>
      <c r="Q127" t="str">
        <f>IF(TRIM(RawSalesTable[[#This Row],[Payment_Method_Raw]])="","Non renseigné",SUBSTITUTE(TRIM(RawSalesTable[[#This Row],[Payment_Method_Raw]]),"CC","Credit Card"))</f>
        <v>PayPal</v>
      </c>
      <c r="R127" s="8" t="str">
        <f>UPPER(PROPER(RawSalesTable[[#This Row],[Customer_ID]]))</f>
        <v>C0052</v>
      </c>
      <c r="S127" s="8" t="str">
        <f>TRIM(LEFT(RawSalesTable[[#This Row],[Customer_Info]],FIND(",",RawSalesTable[[#This Row],[Customer_Info]]) -1))</f>
        <v>Liam Bennett</v>
      </c>
      <c r="T127" s="8" t="str">
        <f>TRIM(MID(RawSalesTable[[#This Row],[Customer_Info]],FIND(",",RawSalesTable[[#This Row],[Customer_Info]])+1,FIND(",",RawSalesTable[[#This Row],[Customer_Info]],FIND(",",RawSalesTable[[#This Row],[Customer_Info]])+1)-FIND(",",RawSalesTable[[#This Row],[Customer_Info]])-1))</f>
        <v>Edmonton</v>
      </c>
      <c r="U127" s="8" t="str">
        <f>TRIM(RIGHT(RawSalesTable[[#This Row],[Customer_Info]], LEN(RawSalesTable[[#This Row],[Customer_Info]])-FIND(",",RawSalesTable[[#This Row],[Customer_Info]],FIND(",",RawSalesTable[[#This Row],[Customer_Info]])+1)))</f>
        <v>Corporate</v>
      </c>
      <c r="V127" s="8" t="str">
        <f>VLOOKUP(RawSalesTable[[#This Row],[Product_ID]],ProductsTable[],2,FALSE)</f>
        <v>Humidifier</v>
      </c>
      <c r="W127" s="8" t="str">
        <f>VLOOKUP(RawSalesTable[[#This Row],[Product_ID]],ProductsTable[],3,FALSE)</f>
        <v>Home</v>
      </c>
      <c r="X127" s="8">
        <f>VLOOKUP(RawSalesTable[[#This Row],[Product_ID]],ProductsTable[],5,FALSE)</f>
        <v>239.67</v>
      </c>
      <c r="Y127" s="8">
        <f>RawSalesTable[[#This Row],[Quantity]]*RawSalesTable[[#This Row],[Unit_Price]]</f>
        <v>789.14</v>
      </c>
      <c r="Z127" s="8">
        <f>RawSalesTable[[#This Row],[Gross_Sales]]*RawSalesTable[[#This Row],[Discount_Pct]]</f>
        <v>39.457000000000001</v>
      </c>
      <c r="AA127" s="8">
        <f>RawSalesTable[[#This Row],[Gross_Sales]]-RawSalesTable[[#This Row],[Discount_Amount]]</f>
        <v>749.68299999999999</v>
      </c>
      <c r="AB127" s="8">
        <f>RawSalesTable[[#This Row],[Unit_Cost]]*RawSalesTable[[#This Row],[Quantity]]</f>
        <v>479.34</v>
      </c>
      <c r="AC127" s="8">
        <f>RawSalesTable[[#This Row],[Net_Sales]]-RawSalesTable[[#This Row],[Total_Cost]]</f>
        <v>270.34300000000002</v>
      </c>
      <c r="AD127" s="9">
        <f>RawSalesTable[[#This Row],[Profit]]/RawSalesTable[[#This Row],[Net_Sales]]</f>
        <v>0.36060975105477916</v>
      </c>
      <c r="AE127" s="8">
        <f>IF(RawSalesTable[[#This Row],[Return_Status]]="Yes",1,0)</f>
        <v>0</v>
      </c>
      <c r="AF127" s="8">
        <f>YEAR(RawSalesTable[[#This Row],[Order_Date]])</f>
        <v>2025</v>
      </c>
      <c r="AG127" s="8">
        <f>MONTH(RawSalesTable[[#This Row],[Order_Date]])</f>
        <v>2</v>
      </c>
      <c r="AH127" s="8" t="str">
        <f>TEXT(RawSalesTable[[#This Row],[Order_Date]],"mmmm")</f>
        <v>février</v>
      </c>
      <c r="AI127" s="8" t="str">
        <f>IF(RawSalesTable[[#This Row],[Month_Number]]&lt;=3,"Q1",IF(RawSalesTable[[#This Row],[Month_Number]]&lt;=6,"Q2",IF(RawSalesTable[[#This Row],[Month_Number]]&lt;=9,"Q3","Q4")))</f>
        <v>Q1</v>
      </c>
      <c r="AJ127" s="13">
        <f>DATE(YEAR(RawSalesTable[[#This Row],[Order_Date]]),MONTH(RawSalesTable[[#This Row],[Order_Date]]),1)</f>
        <v>45689</v>
      </c>
      <c r="AK127" s="8" t="str">
        <f>VLOOKUP(RawSalesTable[[#This Row],[Customer_ID_clean]],CustomersTable[],4,FALSE)</f>
        <v>Alberta</v>
      </c>
    </row>
    <row r="128" spans="1:37">
      <c r="A128" t="s">
        <v>416</v>
      </c>
      <c r="B128" s="3">
        <v>45993</v>
      </c>
      <c r="C128" t="s">
        <v>417</v>
      </c>
      <c r="D128" t="s">
        <v>418</v>
      </c>
      <c r="E128" t="s">
        <v>419</v>
      </c>
      <c r="F128" t="s">
        <v>145</v>
      </c>
      <c r="G128" t="s">
        <v>171</v>
      </c>
      <c r="H128" t="s">
        <v>228</v>
      </c>
      <c r="I128">
        <v>5</v>
      </c>
      <c r="J128" s="2">
        <v>373.91</v>
      </c>
      <c r="K128" s="4">
        <v>0</v>
      </c>
      <c r="L128" t="s">
        <v>98</v>
      </c>
      <c r="M128">
        <v>4</v>
      </c>
      <c r="N128" t="s">
        <v>91</v>
      </c>
      <c r="O128" t="str">
        <f>SUBSTITUTE(PROPER(TRIM(RawSalesTable[[#This Row],[Channel_Raw]])), "Market Place", "Marketplace")</f>
        <v>Online</v>
      </c>
      <c r="P128" t="str">
        <f>TRIM(RawSalesTable[[#This Row],[Store_Raw]])</f>
        <v>Calgary North</v>
      </c>
      <c r="Q128" t="str">
        <f>IF(TRIM(RawSalesTable[[#This Row],[Payment_Method_Raw]])="","Non renseigné",SUBSTITUTE(TRIM(RawSalesTable[[#This Row],[Payment_Method_Raw]]),"CC","Credit Card"))</f>
        <v>Debit Card</v>
      </c>
      <c r="R128" s="8" t="str">
        <f>UPPER(PROPER(RawSalesTable[[#This Row],[Customer_ID]]))</f>
        <v>C0079</v>
      </c>
      <c r="S128" s="8" t="str">
        <f>TRIM(LEFT(RawSalesTable[[#This Row],[Customer_Info]],FIND(",",RawSalesTable[[#This Row],[Customer_Info]]) -1))</f>
        <v>Sophia Scott</v>
      </c>
      <c r="T128" s="8" t="str">
        <f>TRIM(MID(RawSalesTable[[#This Row],[Customer_Info]],FIND(",",RawSalesTable[[#This Row],[Customer_Info]])+1,FIND(",",RawSalesTable[[#This Row],[Customer_Info]],FIND(",",RawSalesTable[[#This Row],[Customer_Info]])+1)-FIND(",",RawSalesTable[[#This Row],[Customer_Info]])-1))</f>
        <v>Ottawa</v>
      </c>
      <c r="U128" s="8" t="str">
        <f>TRIM(RIGHT(RawSalesTable[[#This Row],[Customer_Info]], LEN(RawSalesTable[[#This Row],[Customer_Info]])-FIND(",",RawSalesTable[[#This Row],[Customer_Info]],FIND(",",RawSalesTable[[#This Row],[Customer_Info]])+1)))</f>
        <v>Consumer</v>
      </c>
      <c r="V128" s="8" t="str">
        <f>VLOOKUP(RawSalesTable[[#This Row],[Product_ID]],ProductsTable[],2,FALSE)</f>
        <v>Foam Roller</v>
      </c>
      <c r="W128" s="8" t="str">
        <f>VLOOKUP(RawSalesTable[[#This Row],[Product_ID]],ProductsTable[],3,FALSE)</f>
        <v>Fitness</v>
      </c>
      <c r="X128" s="8">
        <f>VLOOKUP(RawSalesTable[[#This Row],[Product_ID]],ProductsTable[],5,FALSE)</f>
        <v>212.02</v>
      </c>
      <c r="Y128" s="8">
        <f>RawSalesTable[[#This Row],[Quantity]]*RawSalesTable[[#This Row],[Unit_Price]]</f>
        <v>1869.5500000000002</v>
      </c>
      <c r="Z128" s="8">
        <f>RawSalesTable[[#This Row],[Gross_Sales]]*RawSalesTable[[#This Row],[Discount_Pct]]</f>
        <v>0</v>
      </c>
      <c r="AA128" s="8">
        <f>RawSalesTable[[#This Row],[Gross_Sales]]-RawSalesTable[[#This Row],[Discount_Amount]]</f>
        <v>1869.5500000000002</v>
      </c>
      <c r="AB128" s="8">
        <f>RawSalesTable[[#This Row],[Unit_Cost]]*RawSalesTable[[#This Row],[Quantity]]</f>
        <v>1060.1000000000001</v>
      </c>
      <c r="AC128" s="8">
        <f>RawSalesTable[[#This Row],[Net_Sales]]-RawSalesTable[[#This Row],[Total_Cost]]</f>
        <v>809.45</v>
      </c>
      <c r="AD128" s="9">
        <f>RawSalesTable[[#This Row],[Profit]]/RawSalesTable[[#This Row],[Net_Sales]]</f>
        <v>0.4329651520419352</v>
      </c>
      <c r="AE128" s="8">
        <f>IF(RawSalesTable[[#This Row],[Return_Status]]="Yes",1,0)</f>
        <v>0</v>
      </c>
      <c r="AF128" s="8">
        <f>YEAR(RawSalesTable[[#This Row],[Order_Date]])</f>
        <v>2025</v>
      </c>
      <c r="AG128" s="8">
        <f>MONTH(RawSalesTable[[#This Row],[Order_Date]])</f>
        <v>12</v>
      </c>
      <c r="AH128" s="8" t="str">
        <f>TEXT(RawSalesTable[[#This Row],[Order_Date]],"mmmm")</f>
        <v>décembre</v>
      </c>
      <c r="AI128" s="8" t="str">
        <f>IF(RawSalesTable[[#This Row],[Month_Number]]&lt;=3,"Q1",IF(RawSalesTable[[#This Row],[Month_Number]]&lt;=6,"Q2",IF(RawSalesTable[[#This Row],[Month_Number]]&lt;=9,"Q3","Q4")))</f>
        <v>Q4</v>
      </c>
      <c r="AJ128" s="13">
        <f>DATE(YEAR(RawSalesTable[[#This Row],[Order_Date]]),MONTH(RawSalesTable[[#This Row],[Order_Date]]),1)</f>
        <v>45992</v>
      </c>
      <c r="AK128" s="8" t="str">
        <f>VLOOKUP(RawSalesTable[[#This Row],[Customer_ID_clean]],CustomersTable[],4,FALSE)</f>
        <v>Ontario</v>
      </c>
    </row>
    <row r="129" spans="1:37">
      <c r="A129" t="s">
        <v>420</v>
      </c>
      <c r="B129" s="3">
        <v>45955</v>
      </c>
      <c r="C129" t="s">
        <v>268</v>
      </c>
      <c r="D129" t="s">
        <v>261</v>
      </c>
      <c r="E129" t="s">
        <v>269</v>
      </c>
      <c r="F129" t="s">
        <v>111</v>
      </c>
      <c r="G129" t="s">
        <v>117</v>
      </c>
      <c r="H129" t="s">
        <v>89</v>
      </c>
      <c r="I129">
        <v>4</v>
      </c>
      <c r="J129" s="2">
        <v>256.85000000000002</v>
      </c>
      <c r="K129" s="4">
        <v>0.1</v>
      </c>
      <c r="L129" t="s">
        <v>106</v>
      </c>
      <c r="M129">
        <v>1</v>
      </c>
      <c r="N129" t="s">
        <v>91</v>
      </c>
      <c r="O129" t="str">
        <f>SUBSTITUTE(PROPER(TRIM(RawSalesTable[[#This Row],[Channel_Raw]])), "Market Place", "Marketplace")</f>
        <v>Online</v>
      </c>
      <c r="P129" t="str">
        <f>TRIM(RawSalesTable[[#This Row],[Store_Raw]])</f>
        <v>Montreal Central</v>
      </c>
      <c r="Q129" t="str">
        <f>IF(TRIM(RawSalesTable[[#This Row],[Payment_Method_Raw]])="","Non renseigné",SUBSTITUTE(TRIM(RawSalesTable[[#This Row],[Payment_Method_Raw]]),"CC","Credit Card"))</f>
        <v>Credit Card</v>
      </c>
      <c r="R129" s="8" t="str">
        <f>UPPER(PROPER(RawSalesTable[[#This Row],[Customer_ID]]))</f>
        <v>C0043</v>
      </c>
      <c r="S129" s="8" t="str">
        <f>TRIM(LEFT(RawSalesTable[[#This Row],[Customer_Info]],FIND(",",RawSalesTable[[#This Row],[Customer_Info]]) -1))</f>
        <v>Ava Brown</v>
      </c>
      <c r="T129" s="8" t="str">
        <f>TRIM(MID(RawSalesTable[[#This Row],[Customer_Info]],FIND(",",RawSalesTable[[#This Row],[Customer_Info]])+1,FIND(",",RawSalesTable[[#This Row],[Customer_Info]],FIND(",",RawSalesTable[[#This Row],[Customer_Info]])+1)-FIND(",",RawSalesTable[[#This Row],[Customer_Info]])-1))</f>
        <v>Ottawa</v>
      </c>
      <c r="U129" s="8" t="str">
        <f>TRIM(RIGHT(RawSalesTable[[#This Row],[Customer_Info]], LEN(RawSalesTable[[#This Row],[Customer_Info]])-FIND(",",RawSalesTable[[#This Row],[Customer_Info]],FIND(",",RawSalesTable[[#This Row],[Customer_Info]])+1)))</f>
        <v>Small Business</v>
      </c>
      <c r="V129" s="8" t="str">
        <f>VLOOKUP(RawSalesTable[[#This Row],[Product_ID]],ProductsTable[],2,FALSE)</f>
        <v>Dumbbell Set</v>
      </c>
      <c r="W129" s="8" t="str">
        <f>VLOOKUP(RawSalesTable[[#This Row],[Product_ID]],ProductsTable[],3,FALSE)</f>
        <v>Fitness</v>
      </c>
      <c r="X129" s="8">
        <f>VLOOKUP(RawSalesTable[[#This Row],[Product_ID]],ProductsTable[],5,FALSE)</f>
        <v>131.72999999999999</v>
      </c>
      <c r="Y129" s="8">
        <f>RawSalesTable[[#This Row],[Quantity]]*RawSalesTable[[#This Row],[Unit_Price]]</f>
        <v>1027.4000000000001</v>
      </c>
      <c r="Z129" s="8">
        <f>RawSalesTable[[#This Row],[Gross_Sales]]*RawSalesTable[[#This Row],[Discount_Pct]]</f>
        <v>102.74000000000001</v>
      </c>
      <c r="AA129" s="8">
        <f>RawSalesTable[[#This Row],[Gross_Sales]]-RawSalesTable[[#This Row],[Discount_Amount]]</f>
        <v>924.66000000000008</v>
      </c>
      <c r="AB129" s="8">
        <f>RawSalesTable[[#This Row],[Unit_Cost]]*RawSalesTable[[#This Row],[Quantity]]</f>
        <v>526.91999999999996</v>
      </c>
      <c r="AC129" s="8">
        <f>RawSalesTable[[#This Row],[Net_Sales]]-RawSalesTable[[#This Row],[Total_Cost]]</f>
        <v>397.74000000000012</v>
      </c>
      <c r="AD129" s="9">
        <f>RawSalesTable[[#This Row],[Profit]]/RawSalesTable[[#This Row],[Net_Sales]]</f>
        <v>0.43014729738498486</v>
      </c>
      <c r="AE129" s="8">
        <f>IF(RawSalesTable[[#This Row],[Return_Status]]="Yes",1,0)</f>
        <v>0</v>
      </c>
      <c r="AF129" s="8">
        <f>YEAR(RawSalesTable[[#This Row],[Order_Date]])</f>
        <v>2025</v>
      </c>
      <c r="AG129" s="8">
        <f>MONTH(RawSalesTable[[#This Row],[Order_Date]])</f>
        <v>10</v>
      </c>
      <c r="AH129" s="8" t="str">
        <f>TEXT(RawSalesTable[[#This Row],[Order_Date]],"mmmm")</f>
        <v>octobre</v>
      </c>
      <c r="AI129" s="8" t="str">
        <f>IF(RawSalesTable[[#This Row],[Month_Number]]&lt;=3,"Q1",IF(RawSalesTable[[#This Row],[Month_Number]]&lt;=6,"Q2",IF(RawSalesTable[[#This Row],[Month_Number]]&lt;=9,"Q3","Q4")))</f>
        <v>Q4</v>
      </c>
      <c r="AJ129" s="13">
        <f>DATE(YEAR(RawSalesTable[[#This Row],[Order_Date]]),MONTH(RawSalesTable[[#This Row],[Order_Date]]),1)</f>
        <v>45931</v>
      </c>
      <c r="AK129" s="8" t="str">
        <f>VLOOKUP(RawSalesTable[[#This Row],[Customer_ID_clean]],CustomersTable[],4,FALSE)</f>
        <v>Ontario</v>
      </c>
    </row>
    <row r="130" spans="1:37">
      <c r="A130" t="s">
        <v>421</v>
      </c>
      <c r="B130" s="3">
        <v>46019</v>
      </c>
      <c r="C130" t="s">
        <v>356</v>
      </c>
      <c r="D130" t="s">
        <v>221</v>
      </c>
      <c r="E130" t="s">
        <v>357</v>
      </c>
      <c r="F130" t="s">
        <v>87</v>
      </c>
      <c r="G130" t="s">
        <v>183</v>
      </c>
      <c r="H130" t="s">
        <v>97</v>
      </c>
      <c r="I130">
        <v>1</v>
      </c>
      <c r="J130" s="2">
        <v>29.65</v>
      </c>
      <c r="K130" s="4">
        <v>0.15</v>
      </c>
      <c r="L130" t="s">
        <v>422</v>
      </c>
      <c r="M130">
        <v>3</v>
      </c>
      <c r="N130" t="s">
        <v>91</v>
      </c>
      <c r="O130" t="str">
        <f>SUBSTITUTE(PROPER(TRIM(RawSalesTable[[#This Row],[Channel_Raw]])), "Market Place", "Marketplace")</f>
        <v>Retail Store</v>
      </c>
      <c r="P130" t="str">
        <f>TRIM(RawSalesTable[[#This Row],[Store_Raw]])</f>
        <v>Online Fulfillment</v>
      </c>
      <c r="Q130" t="str">
        <f>IF(TRIM(RawSalesTable[[#This Row],[Payment_Method_Raw]])="","Non renseigné",SUBSTITUTE(TRIM(RawSalesTable[[#This Row],[Payment_Method_Raw]]),"CC","Credit Card"))</f>
        <v>gift card</v>
      </c>
      <c r="R130" s="8" t="str">
        <f>UPPER(PROPER(RawSalesTable[[#This Row],[Customer_ID]]))</f>
        <v>C0008</v>
      </c>
      <c r="S130" s="8" t="str">
        <f>TRIM(LEFT(RawSalesTable[[#This Row],[Customer_Info]],FIND(",",RawSalesTable[[#This Row],[Customer_Info]]) -1))</f>
        <v>Mia Wilson</v>
      </c>
      <c r="T130" s="8" t="str">
        <f>TRIM(MID(RawSalesTable[[#This Row],[Customer_Info]],FIND(",",RawSalesTable[[#This Row],[Customer_Info]])+1,FIND(",",RawSalesTable[[#This Row],[Customer_Info]],FIND(",",RawSalesTable[[#This Row],[Customer_Info]])+1)-FIND(",",RawSalesTable[[#This Row],[Customer_Info]])-1))</f>
        <v>Calgary</v>
      </c>
      <c r="U130" s="8" t="str">
        <f>TRIM(RIGHT(RawSalesTable[[#This Row],[Customer_Info]], LEN(RawSalesTable[[#This Row],[Customer_Info]])-FIND(",",RawSalesTable[[#This Row],[Customer_Info]],FIND(",",RawSalesTable[[#This Row],[Customer_Info]])+1)))</f>
        <v>Consumer</v>
      </c>
      <c r="V130" s="8" t="str">
        <f>VLOOKUP(RawSalesTable[[#This Row],[Product_ID]],ProductsTable[],2,FALSE)</f>
        <v>Air Fryer</v>
      </c>
      <c r="W130" s="8" t="str">
        <f>VLOOKUP(RawSalesTable[[#This Row],[Product_ID]],ProductsTable[],3,FALSE)</f>
        <v>Home</v>
      </c>
      <c r="X130" s="8">
        <f>VLOOKUP(RawSalesTable[[#This Row],[Product_ID]],ProductsTable[],5,FALSE)</f>
        <v>14.58</v>
      </c>
      <c r="Y130" s="8">
        <f>RawSalesTable[[#This Row],[Quantity]]*RawSalesTable[[#This Row],[Unit_Price]]</f>
        <v>29.65</v>
      </c>
      <c r="Z130" s="8">
        <f>RawSalesTable[[#This Row],[Gross_Sales]]*RawSalesTable[[#This Row],[Discount_Pct]]</f>
        <v>4.4474999999999998</v>
      </c>
      <c r="AA130" s="8">
        <f>RawSalesTable[[#This Row],[Gross_Sales]]-RawSalesTable[[#This Row],[Discount_Amount]]</f>
        <v>25.202500000000001</v>
      </c>
      <c r="AB130" s="8">
        <f>RawSalesTable[[#This Row],[Unit_Cost]]*RawSalesTable[[#This Row],[Quantity]]</f>
        <v>14.58</v>
      </c>
      <c r="AC130" s="8">
        <f>RawSalesTable[[#This Row],[Net_Sales]]-RawSalesTable[[#This Row],[Total_Cost]]</f>
        <v>10.6225</v>
      </c>
      <c r="AD130" s="9">
        <f>RawSalesTable[[#This Row],[Profit]]/RawSalesTable[[#This Row],[Net_Sales]]</f>
        <v>0.42148596369407798</v>
      </c>
      <c r="AE130" s="8">
        <f>IF(RawSalesTable[[#This Row],[Return_Status]]="Yes",1,0)</f>
        <v>0</v>
      </c>
      <c r="AF130" s="8">
        <f>YEAR(RawSalesTable[[#This Row],[Order_Date]])</f>
        <v>2025</v>
      </c>
      <c r="AG130" s="8">
        <f>MONTH(RawSalesTable[[#This Row],[Order_Date]])</f>
        <v>12</v>
      </c>
      <c r="AH130" s="8" t="str">
        <f>TEXT(RawSalesTable[[#This Row],[Order_Date]],"mmmm")</f>
        <v>décembre</v>
      </c>
      <c r="AI130" s="8" t="str">
        <f>IF(RawSalesTable[[#This Row],[Month_Number]]&lt;=3,"Q1",IF(RawSalesTable[[#This Row],[Month_Number]]&lt;=6,"Q2",IF(RawSalesTable[[#This Row],[Month_Number]]&lt;=9,"Q3","Q4")))</f>
        <v>Q4</v>
      </c>
      <c r="AJ130" s="13">
        <f>DATE(YEAR(RawSalesTable[[#This Row],[Order_Date]]),MONTH(RawSalesTable[[#This Row],[Order_Date]]),1)</f>
        <v>45992</v>
      </c>
      <c r="AK130" s="8" t="str">
        <f>VLOOKUP(RawSalesTable[[#This Row],[Customer_ID_clean]],CustomersTable[],4,FALSE)</f>
        <v>Alberta</v>
      </c>
    </row>
    <row r="131" spans="1:37">
      <c r="A131" t="s">
        <v>423</v>
      </c>
      <c r="B131" s="3">
        <v>45671</v>
      </c>
      <c r="C131" t="s">
        <v>330</v>
      </c>
      <c r="D131" t="s">
        <v>133</v>
      </c>
      <c r="E131" t="s">
        <v>424</v>
      </c>
      <c r="F131" t="s">
        <v>103</v>
      </c>
      <c r="G131" t="s">
        <v>117</v>
      </c>
      <c r="H131" t="s">
        <v>97</v>
      </c>
      <c r="I131">
        <v>1</v>
      </c>
      <c r="J131" s="2">
        <v>343.13</v>
      </c>
      <c r="K131" s="4">
        <v>0.05</v>
      </c>
      <c r="L131" t="s">
        <v>90</v>
      </c>
      <c r="M131">
        <v>2</v>
      </c>
      <c r="N131" t="s">
        <v>91</v>
      </c>
      <c r="O131" t="str">
        <f>SUBSTITUTE(PROPER(TRIM(RawSalesTable[[#This Row],[Channel_Raw]])), "Market Place", "Marketplace")</f>
        <v>Retail Store</v>
      </c>
      <c r="P131" t="str">
        <f>TRIM(RawSalesTable[[#This Row],[Store_Raw]])</f>
        <v>Vancouver West</v>
      </c>
      <c r="Q131" t="str">
        <f>IF(TRIM(RawSalesTable[[#This Row],[Payment_Method_Raw]])="","Non renseigné",SUBSTITUTE(TRIM(RawSalesTable[[#This Row],[Payment_Method_Raw]]),"CC","Credit Card"))</f>
        <v>PayPal</v>
      </c>
      <c r="R131" s="8" t="str">
        <f>UPPER(PROPER(RawSalesTable[[#This Row],[Customer_ID]]))</f>
        <v>C0108</v>
      </c>
      <c r="S131" s="8" t="str">
        <f>TRIM(LEFT(RawSalesTable[[#This Row],[Customer_Info]],FIND(",",RawSalesTable[[#This Row],[Customer_Info]]) -1))</f>
        <v>Noah Lee</v>
      </c>
      <c r="T131" s="8" t="str">
        <f>TRIM(MID(RawSalesTable[[#This Row],[Customer_Info]],FIND(",",RawSalesTable[[#This Row],[Customer_Info]])+1,FIND(",",RawSalesTable[[#This Row],[Customer_Info]],FIND(",",RawSalesTable[[#This Row],[Customer_Info]])+1)-FIND(",",RawSalesTable[[#This Row],[Customer_Info]])-1))</f>
        <v>Surrey</v>
      </c>
      <c r="U131" s="8" t="str">
        <f>TRIM(RIGHT(RawSalesTable[[#This Row],[Customer_Info]], LEN(RawSalesTable[[#This Row],[Customer_Info]])-FIND(",",RawSalesTable[[#This Row],[Customer_Info]],FIND(",",RawSalesTable[[#This Row],[Customer_Info]])+1)))</f>
        <v>Consumer</v>
      </c>
      <c r="V131" s="8" t="str">
        <f>VLOOKUP(RawSalesTable[[#This Row],[Product_ID]],ProductsTable[],2,FALSE)</f>
        <v>Travel Adapter</v>
      </c>
      <c r="W131" s="8" t="str">
        <f>VLOOKUP(RawSalesTable[[#This Row],[Product_ID]],ProductsTable[],3,FALSE)</f>
        <v>Accessories</v>
      </c>
      <c r="X131" s="8">
        <f>VLOOKUP(RawSalesTable[[#This Row],[Product_ID]],ProductsTable[],5,FALSE)</f>
        <v>229.86</v>
      </c>
      <c r="Y131" s="8">
        <f>RawSalesTable[[#This Row],[Quantity]]*RawSalesTable[[#This Row],[Unit_Price]]</f>
        <v>343.13</v>
      </c>
      <c r="Z131" s="8">
        <f>RawSalesTable[[#This Row],[Gross_Sales]]*RawSalesTable[[#This Row],[Discount_Pct]]</f>
        <v>17.156500000000001</v>
      </c>
      <c r="AA131" s="8">
        <f>RawSalesTable[[#This Row],[Gross_Sales]]-RawSalesTable[[#This Row],[Discount_Amount]]</f>
        <v>325.9735</v>
      </c>
      <c r="AB131" s="8">
        <f>RawSalesTable[[#This Row],[Unit_Cost]]*RawSalesTable[[#This Row],[Quantity]]</f>
        <v>229.86</v>
      </c>
      <c r="AC131" s="8">
        <f>RawSalesTable[[#This Row],[Net_Sales]]-RawSalesTable[[#This Row],[Total_Cost]]</f>
        <v>96.113499999999988</v>
      </c>
      <c r="AD131" s="9">
        <f>RawSalesTable[[#This Row],[Profit]]/RawSalesTable[[#This Row],[Net_Sales]]</f>
        <v>0.29485065503790947</v>
      </c>
      <c r="AE131" s="8">
        <f>IF(RawSalesTable[[#This Row],[Return_Status]]="Yes",1,0)</f>
        <v>0</v>
      </c>
      <c r="AF131" s="8">
        <f>YEAR(RawSalesTable[[#This Row],[Order_Date]])</f>
        <v>2025</v>
      </c>
      <c r="AG131" s="8">
        <f>MONTH(RawSalesTable[[#This Row],[Order_Date]])</f>
        <v>1</v>
      </c>
      <c r="AH131" s="8" t="str">
        <f>TEXT(RawSalesTable[[#This Row],[Order_Date]],"mmmm")</f>
        <v>janvier</v>
      </c>
      <c r="AI131" s="8" t="str">
        <f>IF(RawSalesTable[[#This Row],[Month_Number]]&lt;=3,"Q1",IF(RawSalesTable[[#This Row],[Month_Number]]&lt;=6,"Q2",IF(RawSalesTable[[#This Row],[Month_Number]]&lt;=9,"Q3","Q4")))</f>
        <v>Q1</v>
      </c>
      <c r="AJ131" s="13">
        <f>DATE(YEAR(RawSalesTable[[#This Row],[Order_Date]]),MONTH(RawSalesTable[[#This Row],[Order_Date]]),1)</f>
        <v>45658</v>
      </c>
      <c r="AK131" s="8" t="str">
        <f>VLOOKUP(RawSalesTable[[#This Row],[Customer_ID_clean]],CustomersTable[],4,FALSE)</f>
        <v>British Columbia</v>
      </c>
    </row>
    <row r="132" spans="1:37">
      <c r="A132" t="s">
        <v>425</v>
      </c>
      <c r="B132" s="3">
        <v>45738</v>
      </c>
      <c r="C132" t="s">
        <v>293</v>
      </c>
      <c r="D132" t="s">
        <v>136</v>
      </c>
      <c r="E132" t="s">
        <v>294</v>
      </c>
      <c r="F132" t="s">
        <v>103</v>
      </c>
      <c r="G132" t="s">
        <v>122</v>
      </c>
      <c r="H132" t="s">
        <v>105</v>
      </c>
      <c r="I132">
        <v>1</v>
      </c>
      <c r="J132" s="2">
        <v>159.52000000000001</v>
      </c>
      <c r="K132" s="4">
        <v>0</v>
      </c>
      <c r="L132" t="s">
        <v>98</v>
      </c>
      <c r="M132">
        <v>6</v>
      </c>
      <c r="N132" t="s">
        <v>91</v>
      </c>
      <c r="O132" t="str">
        <f>SUBSTITUTE(PROPER(TRIM(RawSalesTable[[#This Row],[Channel_Raw]])), "Market Place", "Marketplace")</f>
        <v>Marketplace</v>
      </c>
      <c r="P132" t="str">
        <f>TRIM(RawSalesTable[[#This Row],[Store_Raw]])</f>
        <v>Vancouver West</v>
      </c>
      <c r="Q132" t="str">
        <f>IF(TRIM(RawSalesTable[[#This Row],[Payment_Method_Raw]])="","Non renseigné",SUBSTITUTE(TRIM(RawSalesTable[[#This Row],[Payment_Method_Raw]]),"CC","Credit Card"))</f>
        <v>Debit Card</v>
      </c>
      <c r="R132" s="8" t="str">
        <f>UPPER(PROPER(RawSalesTable[[#This Row],[Customer_ID]]))</f>
        <v>C0007</v>
      </c>
      <c r="S132" s="8" t="str">
        <f>TRIM(LEFT(RawSalesTable[[#This Row],[Customer_Info]],FIND(",",RawSalesTable[[#This Row],[Customer_Info]]) -1))</f>
        <v>Lucas Wilson</v>
      </c>
      <c r="T132" s="8" t="str">
        <f>TRIM(MID(RawSalesTable[[#This Row],[Customer_Info]],FIND(",",RawSalesTable[[#This Row],[Customer_Info]])+1,FIND(",",RawSalesTable[[#This Row],[Customer_Info]],FIND(",",RawSalesTable[[#This Row],[Customer_Info]])+1)-FIND(",",RawSalesTable[[#This Row],[Customer_Info]])-1))</f>
        <v>Ottawa</v>
      </c>
      <c r="U132" s="8" t="str">
        <f>TRIM(RIGHT(RawSalesTable[[#This Row],[Customer_Info]], LEN(RawSalesTable[[#This Row],[Customer_Info]])-FIND(",",RawSalesTable[[#This Row],[Customer_Info]],FIND(",",RawSalesTable[[#This Row],[Customer_Info]])+1)))</f>
        <v>Consumer</v>
      </c>
      <c r="V132" s="8" t="str">
        <f>VLOOKUP(RawSalesTable[[#This Row],[Product_ID]],ProductsTable[],2,FALSE)</f>
        <v>Mouse</v>
      </c>
      <c r="W132" s="8" t="str">
        <f>VLOOKUP(RawSalesTable[[#This Row],[Product_ID]],ProductsTable[],3,FALSE)</f>
        <v>Electronics</v>
      </c>
      <c r="X132" s="8">
        <f>VLOOKUP(RawSalesTable[[#This Row],[Product_ID]],ProductsTable[],5,FALSE)</f>
        <v>106.4</v>
      </c>
      <c r="Y132" s="8">
        <f>RawSalesTable[[#This Row],[Quantity]]*RawSalesTable[[#This Row],[Unit_Price]]</f>
        <v>159.52000000000001</v>
      </c>
      <c r="Z132" s="8">
        <f>RawSalesTable[[#This Row],[Gross_Sales]]*RawSalesTable[[#This Row],[Discount_Pct]]</f>
        <v>0</v>
      </c>
      <c r="AA132" s="8">
        <f>RawSalesTable[[#This Row],[Gross_Sales]]-RawSalesTable[[#This Row],[Discount_Amount]]</f>
        <v>159.52000000000001</v>
      </c>
      <c r="AB132" s="8">
        <f>RawSalesTable[[#This Row],[Unit_Cost]]*RawSalesTable[[#This Row],[Quantity]]</f>
        <v>106.4</v>
      </c>
      <c r="AC132" s="8">
        <f>RawSalesTable[[#This Row],[Net_Sales]]-RawSalesTable[[#This Row],[Total_Cost]]</f>
        <v>53.120000000000005</v>
      </c>
      <c r="AD132" s="9">
        <f>RawSalesTable[[#This Row],[Profit]]/RawSalesTable[[#This Row],[Net_Sales]]</f>
        <v>0.33299899699097291</v>
      </c>
      <c r="AE132" s="8">
        <f>IF(RawSalesTable[[#This Row],[Return_Status]]="Yes",1,0)</f>
        <v>0</v>
      </c>
      <c r="AF132" s="8">
        <f>YEAR(RawSalesTable[[#This Row],[Order_Date]])</f>
        <v>2025</v>
      </c>
      <c r="AG132" s="8">
        <f>MONTH(RawSalesTable[[#This Row],[Order_Date]])</f>
        <v>3</v>
      </c>
      <c r="AH132" s="8" t="str">
        <f>TEXT(RawSalesTable[[#This Row],[Order_Date]],"mmmm")</f>
        <v>mars</v>
      </c>
      <c r="AI132" s="8" t="str">
        <f>IF(RawSalesTable[[#This Row],[Month_Number]]&lt;=3,"Q1",IF(RawSalesTable[[#This Row],[Month_Number]]&lt;=6,"Q2",IF(RawSalesTable[[#This Row],[Month_Number]]&lt;=9,"Q3","Q4")))</f>
        <v>Q1</v>
      </c>
      <c r="AJ132" s="13">
        <f>DATE(YEAR(RawSalesTable[[#This Row],[Order_Date]]),MONTH(RawSalesTable[[#This Row],[Order_Date]]),1)</f>
        <v>45717</v>
      </c>
      <c r="AK132" s="8" t="str">
        <f>VLOOKUP(RawSalesTable[[#This Row],[Customer_ID_clean]],CustomersTable[],4,FALSE)</f>
        <v>Ontario</v>
      </c>
    </row>
    <row r="133" spans="1:37">
      <c r="A133" t="s">
        <v>426</v>
      </c>
      <c r="B133" s="3">
        <v>45857</v>
      </c>
      <c r="C133" t="s">
        <v>427</v>
      </c>
      <c r="D133" t="s">
        <v>139</v>
      </c>
      <c r="E133" t="s">
        <v>428</v>
      </c>
      <c r="F133" t="s">
        <v>87</v>
      </c>
      <c r="G133" t="s">
        <v>104</v>
      </c>
      <c r="H133" t="s">
        <v>89</v>
      </c>
      <c r="I133">
        <v>2</v>
      </c>
      <c r="J133" s="2">
        <v>83.33</v>
      </c>
      <c r="K133" s="4">
        <v>0.15</v>
      </c>
      <c r="L133" t="s">
        <v>98</v>
      </c>
      <c r="M133">
        <v>2</v>
      </c>
      <c r="N133" t="s">
        <v>91</v>
      </c>
      <c r="O133" t="str">
        <f>SUBSTITUTE(PROPER(TRIM(RawSalesTable[[#This Row],[Channel_Raw]])), "Market Place", "Marketplace")</f>
        <v>Online</v>
      </c>
      <c r="P133" t="str">
        <f>TRIM(RawSalesTable[[#This Row],[Store_Raw]])</f>
        <v>Online Fulfillment</v>
      </c>
      <c r="Q133" t="str">
        <f>IF(TRIM(RawSalesTable[[#This Row],[Payment_Method_Raw]])="","Non renseigné",SUBSTITUTE(TRIM(RawSalesTable[[#This Row],[Payment_Method_Raw]]),"CC","Credit Card"))</f>
        <v>Debit Card</v>
      </c>
      <c r="R133" s="8" t="str">
        <f>UPPER(PROPER(RawSalesTable[[#This Row],[Customer_ID]]))</f>
        <v>C0062</v>
      </c>
      <c r="S133" s="8" t="str">
        <f>TRIM(LEFT(RawSalesTable[[#This Row],[Customer_Info]],FIND(",",RawSalesTable[[#This Row],[Customer_Info]]) -1))</f>
        <v>Yasmine Scott</v>
      </c>
      <c r="T133" s="8" t="str">
        <f>TRIM(MID(RawSalesTable[[#This Row],[Customer_Info]],FIND(",",RawSalesTable[[#This Row],[Customer_Info]])+1,FIND(",",RawSalesTable[[#This Row],[Customer_Info]],FIND(",",RawSalesTable[[#This Row],[Customer_Info]])+1)-FIND(",",RawSalesTable[[#This Row],[Customer_Info]])-1))</f>
        <v>Toronto</v>
      </c>
      <c r="U133" s="8" t="str">
        <f>TRIM(RIGHT(RawSalesTable[[#This Row],[Customer_Info]], LEN(RawSalesTable[[#This Row],[Customer_Info]])-FIND(",",RawSalesTable[[#This Row],[Customer_Info]],FIND(",",RawSalesTable[[#This Row],[Customer_Info]])+1)))</f>
        <v>Consumer</v>
      </c>
      <c r="V133" s="8" t="str">
        <f>VLOOKUP(RawSalesTable[[#This Row],[Product_ID]],ProductsTable[],2,FALSE)</f>
        <v>Standing Desk</v>
      </c>
      <c r="W133" s="8" t="str">
        <f>VLOOKUP(RawSalesTable[[#This Row],[Product_ID]],ProductsTable[],3,FALSE)</f>
        <v>Office</v>
      </c>
      <c r="X133" s="8">
        <f>VLOOKUP(RawSalesTable[[#This Row],[Product_ID]],ProductsTable[],5,FALSE)</f>
        <v>45.17</v>
      </c>
      <c r="Y133" s="8">
        <f>RawSalesTable[[#This Row],[Quantity]]*RawSalesTable[[#This Row],[Unit_Price]]</f>
        <v>166.66</v>
      </c>
      <c r="Z133" s="8">
        <f>RawSalesTable[[#This Row],[Gross_Sales]]*RawSalesTable[[#This Row],[Discount_Pct]]</f>
        <v>24.998999999999999</v>
      </c>
      <c r="AA133" s="8">
        <f>RawSalesTable[[#This Row],[Gross_Sales]]-RawSalesTable[[#This Row],[Discount_Amount]]</f>
        <v>141.661</v>
      </c>
      <c r="AB133" s="8">
        <f>RawSalesTable[[#This Row],[Unit_Cost]]*RawSalesTable[[#This Row],[Quantity]]</f>
        <v>90.34</v>
      </c>
      <c r="AC133" s="8">
        <f>RawSalesTable[[#This Row],[Net_Sales]]-RawSalesTable[[#This Row],[Total_Cost]]</f>
        <v>51.320999999999998</v>
      </c>
      <c r="AD133" s="9">
        <f>RawSalesTable[[#This Row],[Profit]]/RawSalesTable[[#This Row],[Net_Sales]]</f>
        <v>0.3622803735678839</v>
      </c>
      <c r="AE133" s="8">
        <f>IF(RawSalesTable[[#This Row],[Return_Status]]="Yes",1,0)</f>
        <v>0</v>
      </c>
      <c r="AF133" s="8">
        <f>YEAR(RawSalesTable[[#This Row],[Order_Date]])</f>
        <v>2025</v>
      </c>
      <c r="AG133" s="8">
        <f>MONTH(RawSalesTable[[#This Row],[Order_Date]])</f>
        <v>7</v>
      </c>
      <c r="AH133" s="8" t="str">
        <f>TEXT(RawSalesTable[[#This Row],[Order_Date]],"mmmm")</f>
        <v>juillet</v>
      </c>
      <c r="AI133" s="8" t="str">
        <f>IF(RawSalesTable[[#This Row],[Month_Number]]&lt;=3,"Q1",IF(RawSalesTable[[#This Row],[Month_Number]]&lt;=6,"Q2",IF(RawSalesTable[[#This Row],[Month_Number]]&lt;=9,"Q3","Q4")))</f>
        <v>Q3</v>
      </c>
      <c r="AJ133" s="13">
        <f>DATE(YEAR(RawSalesTable[[#This Row],[Order_Date]]),MONTH(RawSalesTable[[#This Row],[Order_Date]]),1)</f>
        <v>45839</v>
      </c>
      <c r="AK133" s="8" t="str">
        <f>VLOOKUP(RawSalesTable[[#This Row],[Customer_ID_clean]],CustomersTable[],4,FALSE)</f>
        <v>Ontario</v>
      </c>
    </row>
    <row r="134" spans="1:37">
      <c r="A134" t="s">
        <v>429</v>
      </c>
      <c r="B134" s="3">
        <v>46021</v>
      </c>
      <c r="C134" t="s">
        <v>430</v>
      </c>
      <c r="D134" t="s">
        <v>109</v>
      </c>
      <c r="E134" t="s">
        <v>431</v>
      </c>
      <c r="F134" t="s">
        <v>103</v>
      </c>
      <c r="G134" t="s">
        <v>96</v>
      </c>
      <c r="H134" t="s">
        <v>167</v>
      </c>
      <c r="I134">
        <v>1</v>
      </c>
      <c r="J134" s="2">
        <v>193.21</v>
      </c>
      <c r="K134" s="4">
        <v>0</v>
      </c>
      <c r="L134" t="s">
        <v>432</v>
      </c>
      <c r="M134">
        <v>5</v>
      </c>
      <c r="N134" t="s">
        <v>91</v>
      </c>
      <c r="O134" t="str">
        <f>SUBSTITUTE(PROPER(TRIM(RawSalesTable[[#This Row],[Channel_Raw]])), "Market Place", "Marketplace")</f>
        <v>Marketplace</v>
      </c>
      <c r="P134" t="str">
        <f>TRIM(RawSalesTable[[#This Row],[Store_Raw]])</f>
        <v>Vancouver West</v>
      </c>
      <c r="Q134" t="str">
        <f>IF(TRIM(RawSalesTable[[#This Row],[Payment_Method_Raw]])="","Non renseigné",SUBSTITUTE(TRIM(RawSalesTable[[#This Row],[Payment_Method_Raw]]),"CC","Credit Card"))</f>
        <v>PAYPAL</v>
      </c>
      <c r="R134" s="8" t="str">
        <f>UPPER(PROPER(RawSalesTable[[#This Row],[Customer_ID]]))</f>
        <v>C0056</v>
      </c>
      <c r="S134" s="8" t="str">
        <f>TRIM(LEFT(RawSalesTable[[#This Row],[Customer_Info]],FIND(",",RawSalesTable[[#This Row],[Customer_Info]]) -1))</f>
        <v>Sarah Wilson</v>
      </c>
      <c r="T134" s="8" t="str">
        <f>TRIM(MID(RawSalesTable[[#This Row],[Customer_Info]],FIND(",",RawSalesTable[[#This Row],[Customer_Info]])+1,FIND(",",RawSalesTable[[#This Row],[Customer_Info]],FIND(",",RawSalesTable[[#This Row],[Customer_Info]])+1)-FIND(",",RawSalesTable[[#This Row],[Customer_Info]])-1))</f>
        <v>Halifax</v>
      </c>
      <c r="U134" s="8" t="str">
        <f>TRIM(RIGHT(RawSalesTable[[#This Row],[Customer_Info]], LEN(RawSalesTable[[#This Row],[Customer_Info]])-FIND(",",RawSalesTable[[#This Row],[Customer_Info]],FIND(",",RawSalesTable[[#This Row],[Customer_Info]])+1)))</f>
        <v>Consumer</v>
      </c>
      <c r="V134" s="8" t="str">
        <f>VLOOKUP(RawSalesTable[[#This Row],[Product_ID]],ProductsTable[],2,FALSE)</f>
        <v>Gym Bag</v>
      </c>
      <c r="W134" s="8" t="str">
        <f>VLOOKUP(RawSalesTable[[#This Row],[Product_ID]],ProductsTable[],3,FALSE)</f>
        <v>Fitness</v>
      </c>
      <c r="X134" s="8">
        <f>VLOOKUP(RawSalesTable[[#This Row],[Product_ID]],ProductsTable[],5,FALSE)</f>
        <v>132.72</v>
      </c>
      <c r="Y134" s="8">
        <f>RawSalesTable[[#This Row],[Quantity]]*RawSalesTable[[#This Row],[Unit_Price]]</f>
        <v>193.21</v>
      </c>
      <c r="Z134" s="8">
        <f>RawSalesTable[[#This Row],[Gross_Sales]]*RawSalesTable[[#This Row],[Discount_Pct]]</f>
        <v>0</v>
      </c>
      <c r="AA134" s="8">
        <f>RawSalesTable[[#This Row],[Gross_Sales]]-RawSalesTable[[#This Row],[Discount_Amount]]</f>
        <v>193.21</v>
      </c>
      <c r="AB134" s="8">
        <f>RawSalesTable[[#This Row],[Unit_Cost]]*RawSalesTable[[#This Row],[Quantity]]</f>
        <v>132.72</v>
      </c>
      <c r="AC134" s="8">
        <f>RawSalesTable[[#This Row],[Net_Sales]]-RawSalesTable[[#This Row],[Total_Cost]]</f>
        <v>60.490000000000009</v>
      </c>
      <c r="AD134" s="9">
        <f>RawSalesTable[[#This Row],[Profit]]/RawSalesTable[[#This Row],[Net_Sales]]</f>
        <v>0.31307903317633667</v>
      </c>
      <c r="AE134" s="8">
        <f>IF(RawSalesTable[[#This Row],[Return_Status]]="Yes",1,0)</f>
        <v>0</v>
      </c>
      <c r="AF134" s="8">
        <f>YEAR(RawSalesTable[[#This Row],[Order_Date]])</f>
        <v>2025</v>
      </c>
      <c r="AG134" s="8">
        <f>MONTH(RawSalesTable[[#This Row],[Order_Date]])</f>
        <v>12</v>
      </c>
      <c r="AH134" s="8" t="str">
        <f>TEXT(RawSalesTable[[#This Row],[Order_Date]],"mmmm")</f>
        <v>décembre</v>
      </c>
      <c r="AI134" s="8" t="str">
        <f>IF(RawSalesTable[[#This Row],[Month_Number]]&lt;=3,"Q1",IF(RawSalesTable[[#This Row],[Month_Number]]&lt;=6,"Q2",IF(RawSalesTable[[#This Row],[Month_Number]]&lt;=9,"Q3","Q4")))</f>
        <v>Q4</v>
      </c>
      <c r="AJ134" s="13">
        <f>DATE(YEAR(RawSalesTable[[#This Row],[Order_Date]]),MONTH(RawSalesTable[[#This Row],[Order_Date]]),1)</f>
        <v>45992</v>
      </c>
      <c r="AK134" s="8" t="str">
        <f>VLOOKUP(RawSalesTable[[#This Row],[Customer_ID_clean]],CustomersTable[],4,FALSE)</f>
        <v>Nova Scotia</v>
      </c>
    </row>
    <row r="135" spans="1:37">
      <c r="A135" t="s">
        <v>433</v>
      </c>
      <c r="B135" s="3">
        <v>45774</v>
      </c>
      <c r="C135" t="s">
        <v>206</v>
      </c>
      <c r="D135" t="s">
        <v>261</v>
      </c>
      <c r="E135" t="s">
        <v>207</v>
      </c>
      <c r="F135" t="s">
        <v>87</v>
      </c>
      <c r="G135" t="s">
        <v>183</v>
      </c>
      <c r="H135" t="s">
        <v>89</v>
      </c>
      <c r="I135">
        <v>1</v>
      </c>
      <c r="J135" s="2">
        <v>265.20999999999998</v>
      </c>
      <c r="K135" s="4">
        <v>0</v>
      </c>
      <c r="L135" t="s">
        <v>154</v>
      </c>
      <c r="M135">
        <v>8</v>
      </c>
      <c r="N135" t="s">
        <v>91</v>
      </c>
      <c r="O135" t="str">
        <f>SUBSTITUTE(PROPER(TRIM(RawSalesTable[[#This Row],[Channel_Raw]])), "Market Place", "Marketplace")</f>
        <v>Online</v>
      </c>
      <c r="P135" t="str">
        <f>TRIM(RawSalesTable[[#This Row],[Store_Raw]])</f>
        <v>Online Fulfillment</v>
      </c>
      <c r="Q135" t="str">
        <f>IF(TRIM(RawSalesTable[[#This Row],[Payment_Method_Raw]])="","Non renseigné",SUBSTITUTE(TRIM(RawSalesTable[[#This Row],[Payment_Method_Raw]]),"CC","Credit Card"))</f>
        <v>Gift Card</v>
      </c>
      <c r="R135" s="8" t="str">
        <f>UPPER(PROPER(RawSalesTable[[#This Row],[Customer_ID]]))</f>
        <v>C0061</v>
      </c>
      <c r="S135" s="8" t="str">
        <f>TRIM(LEFT(RawSalesTable[[#This Row],[Customer_Info]],FIND(",",RawSalesTable[[#This Row],[Customer_Info]]) -1))</f>
        <v>Zoe Hall</v>
      </c>
      <c r="T135" s="8" t="str">
        <f>TRIM(MID(RawSalesTable[[#This Row],[Customer_Info]],FIND(",",RawSalesTable[[#This Row],[Customer_Info]])+1,FIND(",",RawSalesTable[[#This Row],[Customer_Info]],FIND(",",RawSalesTable[[#This Row],[Customer_Info]])+1)-FIND(",",RawSalesTable[[#This Row],[Customer_Info]])-1))</f>
        <v>Vancouver</v>
      </c>
      <c r="U135" s="8" t="str">
        <f>TRIM(RIGHT(RawSalesTable[[#This Row],[Customer_Info]], LEN(RawSalesTable[[#This Row],[Customer_Info]])-FIND(",",RawSalesTable[[#This Row],[Customer_Info]],FIND(",",RawSalesTable[[#This Row],[Customer_Info]])+1)))</f>
        <v>Consumer</v>
      </c>
      <c r="V135" s="8" t="str">
        <f>VLOOKUP(RawSalesTable[[#This Row],[Product_ID]],ProductsTable[],2,FALSE)</f>
        <v>Dumbbell Set</v>
      </c>
      <c r="W135" s="8" t="str">
        <f>VLOOKUP(RawSalesTable[[#This Row],[Product_ID]],ProductsTable[],3,FALSE)</f>
        <v>Fitness</v>
      </c>
      <c r="X135" s="8">
        <f>VLOOKUP(RawSalesTable[[#This Row],[Product_ID]],ProductsTable[],5,FALSE)</f>
        <v>131.72999999999999</v>
      </c>
      <c r="Y135" s="8">
        <f>RawSalesTable[[#This Row],[Quantity]]*RawSalesTable[[#This Row],[Unit_Price]]</f>
        <v>265.20999999999998</v>
      </c>
      <c r="Z135" s="8">
        <f>RawSalesTable[[#This Row],[Gross_Sales]]*RawSalesTable[[#This Row],[Discount_Pct]]</f>
        <v>0</v>
      </c>
      <c r="AA135" s="8">
        <f>RawSalesTable[[#This Row],[Gross_Sales]]-RawSalesTable[[#This Row],[Discount_Amount]]</f>
        <v>265.20999999999998</v>
      </c>
      <c r="AB135" s="8">
        <f>RawSalesTable[[#This Row],[Unit_Cost]]*RawSalesTable[[#This Row],[Quantity]]</f>
        <v>131.72999999999999</v>
      </c>
      <c r="AC135" s="8">
        <f>RawSalesTable[[#This Row],[Net_Sales]]-RawSalesTable[[#This Row],[Total_Cost]]</f>
        <v>133.47999999999999</v>
      </c>
      <c r="AD135" s="9">
        <f>RawSalesTable[[#This Row],[Profit]]/RawSalesTable[[#This Row],[Net_Sales]]</f>
        <v>0.50329927227480109</v>
      </c>
      <c r="AE135" s="8">
        <f>IF(RawSalesTable[[#This Row],[Return_Status]]="Yes",1,0)</f>
        <v>0</v>
      </c>
      <c r="AF135" s="8">
        <f>YEAR(RawSalesTable[[#This Row],[Order_Date]])</f>
        <v>2025</v>
      </c>
      <c r="AG135" s="8">
        <f>MONTH(RawSalesTable[[#This Row],[Order_Date]])</f>
        <v>4</v>
      </c>
      <c r="AH135" s="8" t="str">
        <f>TEXT(RawSalesTable[[#This Row],[Order_Date]],"mmmm")</f>
        <v>avril</v>
      </c>
      <c r="AI135" s="8" t="str">
        <f>IF(RawSalesTable[[#This Row],[Month_Number]]&lt;=3,"Q1",IF(RawSalesTable[[#This Row],[Month_Number]]&lt;=6,"Q2",IF(RawSalesTable[[#This Row],[Month_Number]]&lt;=9,"Q3","Q4")))</f>
        <v>Q2</v>
      </c>
      <c r="AJ135" s="13">
        <f>DATE(YEAR(RawSalesTable[[#This Row],[Order_Date]]),MONTH(RawSalesTable[[#This Row],[Order_Date]]),1)</f>
        <v>45748</v>
      </c>
      <c r="AK135" s="8" t="str">
        <f>VLOOKUP(RawSalesTable[[#This Row],[Customer_ID_clean]],CustomersTable[],4,FALSE)</f>
        <v>British Columbia</v>
      </c>
    </row>
    <row r="136" spans="1:37">
      <c r="A136" t="s">
        <v>436</v>
      </c>
      <c r="B136" s="3">
        <v>45703</v>
      </c>
      <c r="C136" t="s">
        <v>283</v>
      </c>
      <c r="D136" t="s">
        <v>181</v>
      </c>
      <c r="E136" t="s">
        <v>284</v>
      </c>
      <c r="F136" t="s">
        <v>145</v>
      </c>
      <c r="G136" t="s">
        <v>104</v>
      </c>
      <c r="H136" t="s">
        <v>89</v>
      </c>
      <c r="I136">
        <v>2</v>
      </c>
      <c r="J136" s="2">
        <v>351.81</v>
      </c>
      <c r="K136" s="4">
        <v>0</v>
      </c>
      <c r="L136" t="s">
        <v>154</v>
      </c>
      <c r="M136">
        <v>2</v>
      </c>
      <c r="N136" t="s">
        <v>91</v>
      </c>
      <c r="O136" t="str">
        <f>SUBSTITUTE(PROPER(TRIM(RawSalesTable[[#This Row],[Channel_Raw]])), "Market Place", "Marketplace")</f>
        <v>Online</v>
      </c>
      <c r="P136" t="str">
        <f>TRIM(RawSalesTable[[#This Row],[Store_Raw]])</f>
        <v>Calgary North</v>
      </c>
      <c r="Q136" t="str">
        <f>IF(TRIM(RawSalesTable[[#This Row],[Payment_Method_Raw]])="","Non renseigné",SUBSTITUTE(TRIM(RawSalesTable[[#This Row],[Payment_Method_Raw]]),"CC","Credit Card"))</f>
        <v>Gift Card</v>
      </c>
      <c r="R136" s="8" t="str">
        <f>UPPER(PROPER(RawSalesTable[[#This Row],[Customer_ID]]))</f>
        <v>C0033</v>
      </c>
      <c r="S136" s="8" t="str">
        <f>TRIM(LEFT(RawSalesTable[[#This Row],[Customer_Info]],FIND(",",RawSalesTable[[#This Row],[Customer_Info]]) -1))</f>
        <v>Maya Hall</v>
      </c>
      <c r="T136" s="8" t="str">
        <f>TRIM(MID(RawSalesTable[[#This Row],[Customer_Info]],FIND(",",RawSalesTable[[#This Row],[Customer_Info]])+1,FIND(",",RawSalesTable[[#This Row],[Customer_Info]],FIND(",",RawSalesTable[[#This Row],[Customer_Info]])+1)-FIND(",",RawSalesTable[[#This Row],[Customer_Info]])-1))</f>
        <v>Winnipeg</v>
      </c>
      <c r="U136" s="8" t="str">
        <f>TRIM(RIGHT(RawSalesTable[[#This Row],[Customer_Info]], LEN(RawSalesTable[[#This Row],[Customer_Info]])-FIND(",",RawSalesTable[[#This Row],[Customer_Info]],FIND(",",RawSalesTable[[#This Row],[Customer_Info]])+1)))</f>
        <v>Consumer</v>
      </c>
      <c r="V136" s="8" t="str">
        <f>VLOOKUP(RawSalesTable[[#This Row],[Product_ID]],ProductsTable[],2,FALSE)</f>
        <v>Monitor</v>
      </c>
      <c r="W136" s="8" t="str">
        <f>VLOOKUP(RawSalesTable[[#This Row],[Product_ID]],ProductsTable[],3,FALSE)</f>
        <v>Electronics</v>
      </c>
      <c r="X136" s="8">
        <f>VLOOKUP(RawSalesTable[[#This Row],[Product_ID]],ProductsTable[],5,FALSE)</f>
        <v>224.47</v>
      </c>
      <c r="Y136" s="8">
        <f>RawSalesTable[[#This Row],[Quantity]]*RawSalesTable[[#This Row],[Unit_Price]]</f>
        <v>703.62</v>
      </c>
      <c r="Z136" s="8">
        <f>RawSalesTable[[#This Row],[Gross_Sales]]*RawSalesTable[[#This Row],[Discount_Pct]]</f>
        <v>0</v>
      </c>
      <c r="AA136" s="8">
        <f>RawSalesTable[[#This Row],[Gross_Sales]]-RawSalesTable[[#This Row],[Discount_Amount]]</f>
        <v>703.62</v>
      </c>
      <c r="AB136" s="8">
        <f>RawSalesTable[[#This Row],[Unit_Cost]]*RawSalesTable[[#This Row],[Quantity]]</f>
        <v>448.94</v>
      </c>
      <c r="AC136" s="8">
        <f>RawSalesTable[[#This Row],[Net_Sales]]-RawSalesTable[[#This Row],[Total_Cost]]</f>
        <v>254.68</v>
      </c>
      <c r="AD136" s="9">
        <f>RawSalesTable[[#This Row],[Profit]]/RawSalesTable[[#This Row],[Net_Sales]]</f>
        <v>0.36195673801199513</v>
      </c>
      <c r="AE136" s="8">
        <f>IF(RawSalesTable[[#This Row],[Return_Status]]="Yes",1,0)</f>
        <v>0</v>
      </c>
      <c r="AF136" s="8">
        <f>YEAR(RawSalesTable[[#This Row],[Order_Date]])</f>
        <v>2025</v>
      </c>
      <c r="AG136" s="8">
        <f>MONTH(RawSalesTable[[#This Row],[Order_Date]])</f>
        <v>2</v>
      </c>
      <c r="AH136" s="8" t="str">
        <f>TEXT(RawSalesTable[[#This Row],[Order_Date]],"mmmm")</f>
        <v>février</v>
      </c>
      <c r="AI136" s="8" t="str">
        <f>IF(RawSalesTable[[#This Row],[Month_Number]]&lt;=3,"Q1",IF(RawSalesTable[[#This Row],[Month_Number]]&lt;=6,"Q2",IF(RawSalesTable[[#This Row],[Month_Number]]&lt;=9,"Q3","Q4")))</f>
        <v>Q1</v>
      </c>
      <c r="AJ136" s="13">
        <f>DATE(YEAR(RawSalesTable[[#This Row],[Order_Date]]),MONTH(RawSalesTable[[#This Row],[Order_Date]]),1)</f>
        <v>45689</v>
      </c>
      <c r="AK136" s="8" t="str">
        <f>VLOOKUP(RawSalesTable[[#This Row],[Customer_ID_clean]],CustomersTable[],4,FALSE)</f>
        <v>Manitoba</v>
      </c>
    </row>
    <row r="137" spans="1:37">
      <c r="A137" t="s">
        <v>437</v>
      </c>
      <c r="B137" s="3">
        <v>45930</v>
      </c>
      <c r="C137" t="s">
        <v>438</v>
      </c>
      <c r="D137" t="s">
        <v>303</v>
      </c>
      <c r="E137" t="s">
        <v>439</v>
      </c>
      <c r="F137" t="s">
        <v>145</v>
      </c>
      <c r="G137" t="s">
        <v>183</v>
      </c>
      <c r="H137" t="s">
        <v>89</v>
      </c>
      <c r="I137">
        <v>5</v>
      </c>
      <c r="J137" s="2">
        <v>150.93</v>
      </c>
      <c r="K137" s="4">
        <v>0</v>
      </c>
      <c r="L137" t="s">
        <v>98</v>
      </c>
      <c r="M137">
        <v>5</v>
      </c>
      <c r="N137" t="s">
        <v>91</v>
      </c>
      <c r="O137" t="str">
        <f>SUBSTITUTE(PROPER(TRIM(RawSalesTable[[#This Row],[Channel_Raw]])), "Market Place", "Marketplace")</f>
        <v>Online</v>
      </c>
      <c r="P137" t="str">
        <f>TRIM(RawSalesTable[[#This Row],[Store_Raw]])</f>
        <v>Calgary North</v>
      </c>
      <c r="Q137" t="str">
        <f>IF(TRIM(RawSalesTable[[#This Row],[Payment_Method_Raw]])="","Non renseigné",SUBSTITUTE(TRIM(RawSalesTable[[#This Row],[Payment_Method_Raw]]),"CC","Credit Card"))</f>
        <v>Debit Card</v>
      </c>
      <c r="R137" s="8" t="str">
        <f>UPPER(PROPER(RawSalesTable[[#This Row],[Customer_ID]]))</f>
        <v>C0028</v>
      </c>
      <c r="S137" s="8" t="str">
        <f>TRIM(LEFT(RawSalesTable[[#This Row],[Customer_Info]],FIND(",",RawSalesTable[[#This Row],[Customer_Info]]) -1))</f>
        <v>Mia Clark</v>
      </c>
      <c r="T137" s="8" t="str">
        <f>TRIM(MID(RawSalesTable[[#This Row],[Customer_Info]],FIND(",",RawSalesTable[[#This Row],[Customer_Info]])+1,FIND(",",RawSalesTable[[#This Row],[Customer_Info]],FIND(",",RawSalesTable[[#This Row],[Customer_Info]])+1)-FIND(",",RawSalesTable[[#This Row],[Customer_Info]])-1))</f>
        <v>Victoria</v>
      </c>
      <c r="U137" s="8" t="str">
        <f>TRIM(RIGHT(RawSalesTable[[#This Row],[Customer_Info]], LEN(RawSalesTable[[#This Row],[Customer_Info]])-FIND(",",RawSalesTable[[#This Row],[Customer_Info]],FIND(",",RawSalesTable[[#This Row],[Customer_Info]])+1)))</f>
        <v>Consumer</v>
      </c>
      <c r="V137" s="8" t="str">
        <f>VLOOKUP(RawSalesTable[[#This Row],[Product_ID]],ProductsTable[],2,FALSE)</f>
        <v>Power Bank</v>
      </c>
      <c r="W137" s="8" t="str">
        <f>VLOOKUP(RawSalesTable[[#This Row],[Product_ID]],ProductsTable[],3,FALSE)</f>
        <v>Accessories</v>
      </c>
      <c r="X137" s="8">
        <f>VLOOKUP(RawSalesTable[[#This Row],[Product_ID]],ProductsTable[],5,FALSE)</f>
        <v>76.97</v>
      </c>
      <c r="Y137" s="8">
        <f>RawSalesTable[[#This Row],[Quantity]]*RawSalesTable[[#This Row],[Unit_Price]]</f>
        <v>754.65000000000009</v>
      </c>
      <c r="Z137" s="8">
        <f>RawSalesTable[[#This Row],[Gross_Sales]]*RawSalesTable[[#This Row],[Discount_Pct]]</f>
        <v>0</v>
      </c>
      <c r="AA137" s="8">
        <f>RawSalesTable[[#This Row],[Gross_Sales]]-RawSalesTable[[#This Row],[Discount_Amount]]</f>
        <v>754.65000000000009</v>
      </c>
      <c r="AB137" s="8">
        <f>RawSalesTable[[#This Row],[Unit_Cost]]*RawSalesTable[[#This Row],[Quantity]]</f>
        <v>384.85</v>
      </c>
      <c r="AC137" s="8">
        <f>RawSalesTable[[#This Row],[Net_Sales]]-RawSalesTable[[#This Row],[Total_Cost]]</f>
        <v>369.80000000000007</v>
      </c>
      <c r="AD137" s="9">
        <f>RawSalesTable[[#This Row],[Profit]]/RawSalesTable[[#This Row],[Net_Sales]]</f>
        <v>0.49002849002849008</v>
      </c>
      <c r="AE137" s="8">
        <f>IF(RawSalesTable[[#This Row],[Return_Status]]="Yes",1,0)</f>
        <v>0</v>
      </c>
      <c r="AF137" s="8">
        <f>YEAR(RawSalesTable[[#This Row],[Order_Date]])</f>
        <v>2025</v>
      </c>
      <c r="AG137" s="8">
        <f>MONTH(RawSalesTable[[#This Row],[Order_Date]])</f>
        <v>9</v>
      </c>
      <c r="AH137" s="8" t="str">
        <f>TEXT(RawSalesTable[[#This Row],[Order_Date]],"mmmm")</f>
        <v>septembre</v>
      </c>
      <c r="AI137" s="8" t="str">
        <f>IF(RawSalesTable[[#This Row],[Month_Number]]&lt;=3,"Q1",IF(RawSalesTable[[#This Row],[Month_Number]]&lt;=6,"Q2",IF(RawSalesTable[[#This Row],[Month_Number]]&lt;=9,"Q3","Q4")))</f>
        <v>Q3</v>
      </c>
      <c r="AJ137" s="13">
        <f>DATE(YEAR(RawSalesTable[[#This Row],[Order_Date]]),MONTH(RawSalesTable[[#This Row],[Order_Date]]),1)</f>
        <v>45901</v>
      </c>
      <c r="AK137" s="8" t="str">
        <f>VLOOKUP(RawSalesTable[[#This Row],[Customer_ID_clean]],CustomersTable[],4,FALSE)</f>
        <v>British Columbia</v>
      </c>
    </row>
    <row r="138" spans="1:37">
      <c r="A138" t="s">
        <v>440</v>
      </c>
      <c r="B138" s="3">
        <v>45678</v>
      </c>
      <c r="C138" t="s">
        <v>374</v>
      </c>
      <c r="D138" t="s">
        <v>165</v>
      </c>
      <c r="E138" t="s">
        <v>375</v>
      </c>
      <c r="F138" t="s">
        <v>87</v>
      </c>
      <c r="G138" t="s">
        <v>171</v>
      </c>
      <c r="H138" t="s">
        <v>89</v>
      </c>
      <c r="I138">
        <v>1</v>
      </c>
      <c r="J138" s="2">
        <v>106.24</v>
      </c>
      <c r="K138" s="4">
        <v>0</v>
      </c>
      <c r="L138" t="s">
        <v>441</v>
      </c>
      <c r="M138">
        <v>9</v>
      </c>
      <c r="N138" t="s">
        <v>91</v>
      </c>
      <c r="O138" t="str">
        <f>SUBSTITUTE(PROPER(TRIM(RawSalesTable[[#This Row],[Channel_Raw]])), "Market Place", "Marketplace")</f>
        <v>Online</v>
      </c>
      <c r="P138" t="str">
        <f>TRIM(RawSalesTable[[#This Row],[Store_Raw]])</f>
        <v>Online Fulfillment</v>
      </c>
      <c r="Q138" t="str">
        <f>IF(TRIM(RawSalesTable[[#This Row],[Payment_Method_Raw]])="","Non renseigné",SUBSTITUTE(TRIM(RawSalesTable[[#This Row],[Payment_Method_Raw]]),"CC","Credit Card"))</f>
        <v>credit card</v>
      </c>
      <c r="R138" s="8" t="str">
        <f>UPPER(PROPER(RawSalesTable[[#This Row],[Customer_ID]]))</f>
        <v>C0035</v>
      </c>
      <c r="S138" s="8" t="str">
        <f>TRIM(LEFT(RawSalesTable[[#This Row],[Customer_Info]],FIND(",",RawSalesTable[[#This Row],[Customer_Info]]) -1))</f>
        <v>Amelia Scott</v>
      </c>
      <c r="T138" s="8" t="str">
        <f>TRIM(MID(RawSalesTable[[#This Row],[Customer_Info]],FIND(",",RawSalesTable[[#This Row],[Customer_Info]])+1,FIND(",",RawSalesTable[[#This Row],[Customer_Info]],FIND(",",RawSalesTable[[#This Row],[Customer_Info]])+1)-FIND(",",RawSalesTable[[#This Row],[Customer_Info]])-1))</f>
        <v>Edmonton</v>
      </c>
      <c r="U138" s="8" t="str">
        <f>TRIM(RIGHT(RawSalesTable[[#This Row],[Customer_Info]], LEN(RawSalesTable[[#This Row],[Customer_Info]])-FIND(",",RawSalesTable[[#This Row],[Customer_Info]],FIND(",",RawSalesTable[[#This Row],[Customer_Info]])+1)))</f>
        <v>Small Business</v>
      </c>
      <c r="V138" s="8" t="str">
        <f>VLOOKUP(RawSalesTable[[#This Row],[Product_ID]],ProductsTable[],2,FALSE)</f>
        <v>Food Scale</v>
      </c>
      <c r="W138" s="8" t="str">
        <f>VLOOKUP(RawSalesTable[[#This Row],[Product_ID]],ProductsTable[],3,FALSE)</f>
        <v>Home</v>
      </c>
      <c r="X138" s="8">
        <f>VLOOKUP(RawSalesTable[[#This Row],[Product_ID]],ProductsTable[],5,FALSE)</f>
        <v>46.07</v>
      </c>
      <c r="Y138" s="8">
        <f>RawSalesTable[[#This Row],[Quantity]]*RawSalesTable[[#This Row],[Unit_Price]]</f>
        <v>106.24</v>
      </c>
      <c r="Z138" s="8">
        <f>RawSalesTable[[#This Row],[Gross_Sales]]*RawSalesTable[[#This Row],[Discount_Pct]]</f>
        <v>0</v>
      </c>
      <c r="AA138" s="8">
        <f>RawSalesTable[[#This Row],[Gross_Sales]]-RawSalesTable[[#This Row],[Discount_Amount]]</f>
        <v>106.24</v>
      </c>
      <c r="AB138" s="8">
        <f>RawSalesTable[[#This Row],[Unit_Cost]]*RawSalesTable[[#This Row],[Quantity]]</f>
        <v>46.07</v>
      </c>
      <c r="AC138" s="8">
        <f>RawSalesTable[[#This Row],[Net_Sales]]-RawSalesTable[[#This Row],[Total_Cost]]</f>
        <v>60.169999999999995</v>
      </c>
      <c r="AD138" s="9">
        <f>RawSalesTable[[#This Row],[Profit]]/RawSalesTable[[#This Row],[Net_Sales]]</f>
        <v>0.56635918674698793</v>
      </c>
      <c r="AE138" s="8">
        <f>IF(RawSalesTable[[#This Row],[Return_Status]]="Yes",1,0)</f>
        <v>0</v>
      </c>
      <c r="AF138" s="8">
        <f>YEAR(RawSalesTable[[#This Row],[Order_Date]])</f>
        <v>2025</v>
      </c>
      <c r="AG138" s="8">
        <f>MONTH(RawSalesTable[[#This Row],[Order_Date]])</f>
        <v>1</v>
      </c>
      <c r="AH138" s="8" t="str">
        <f>TEXT(RawSalesTable[[#This Row],[Order_Date]],"mmmm")</f>
        <v>janvier</v>
      </c>
      <c r="AI138" s="8" t="str">
        <f>IF(RawSalesTable[[#This Row],[Month_Number]]&lt;=3,"Q1",IF(RawSalesTable[[#This Row],[Month_Number]]&lt;=6,"Q2",IF(RawSalesTable[[#This Row],[Month_Number]]&lt;=9,"Q3","Q4")))</f>
        <v>Q1</v>
      </c>
      <c r="AJ138" s="13">
        <f>DATE(YEAR(RawSalesTable[[#This Row],[Order_Date]]),MONTH(RawSalesTable[[#This Row],[Order_Date]]),1)</f>
        <v>45658</v>
      </c>
      <c r="AK138" s="8" t="str">
        <f>VLOOKUP(RawSalesTable[[#This Row],[Customer_ID_clean]],CustomersTable[],4,FALSE)</f>
        <v>Alberta</v>
      </c>
    </row>
    <row r="139" spans="1:37">
      <c r="A139" t="s">
        <v>442</v>
      </c>
      <c r="B139" s="3">
        <v>45697</v>
      </c>
      <c r="C139" t="s">
        <v>160</v>
      </c>
      <c r="D139" t="s">
        <v>181</v>
      </c>
      <c r="E139" t="s">
        <v>161</v>
      </c>
      <c r="F139" t="s">
        <v>111</v>
      </c>
      <c r="G139" t="s">
        <v>171</v>
      </c>
      <c r="H139" t="s">
        <v>97</v>
      </c>
      <c r="I139">
        <v>1</v>
      </c>
      <c r="J139" s="2">
        <v>362.88</v>
      </c>
      <c r="K139" s="4">
        <v>0.15</v>
      </c>
      <c r="L139" t="s">
        <v>106</v>
      </c>
      <c r="M139">
        <v>2</v>
      </c>
      <c r="N139" t="s">
        <v>91</v>
      </c>
      <c r="O139" t="str">
        <f>SUBSTITUTE(PROPER(TRIM(RawSalesTable[[#This Row],[Channel_Raw]])), "Market Place", "Marketplace")</f>
        <v>Retail Store</v>
      </c>
      <c r="P139" t="str">
        <f>TRIM(RawSalesTable[[#This Row],[Store_Raw]])</f>
        <v>Montreal Central</v>
      </c>
      <c r="Q139" t="str">
        <f>IF(TRIM(RawSalesTable[[#This Row],[Payment_Method_Raw]])="","Non renseigné",SUBSTITUTE(TRIM(RawSalesTable[[#This Row],[Payment_Method_Raw]]),"CC","Credit Card"))</f>
        <v>Credit Card</v>
      </c>
      <c r="R139" s="8" t="str">
        <f>UPPER(PROPER(RawSalesTable[[#This Row],[Customer_ID]]))</f>
        <v>C0073</v>
      </c>
      <c r="S139" s="8" t="str">
        <f>TRIM(LEFT(RawSalesTable[[#This Row],[Customer_Info]],FIND(",",RawSalesTable[[#This Row],[Customer_Info]]) -1))</f>
        <v>Olivia Singh</v>
      </c>
      <c r="T139" s="8" t="str">
        <f>TRIM(MID(RawSalesTable[[#This Row],[Customer_Info]],FIND(",",RawSalesTable[[#This Row],[Customer_Info]])+1,FIND(",",RawSalesTable[[#This Row],[Customer_Info]],FIND(",",RawSalesTable[[#This Row],[Customer_Info]])+1)-FIND(",",RawSalesTable[[#This Row],[Customer_Info]])-1))</f>
        <v>Mississauga</v>
      </c>
      <c r="U139" s="8" t="str">
        <f>TRIM(RIGHT(RawSalesTable[[#This Row],[Customer_Info]], LEN(RawSalesTable[[#This Row],[Customer_Info]])-FIND(",",RawSalesTable[[#This Row],[Customer_Info]],FIND(",",RawSalesTable[[#This Row],[Customer_Info]])+1)))</f>
        <v>Consumer</v>
      </c>
      <c r="V139" s="8" t="str">
        <f>VLOOKUP(RawSalesTable[[#This Row],[Product_ID]],ProductsTable[],2,FALSE)</f>
        <v>Monitor</v>
      </c>
      <c r="W139" s="8" t="str">
        <f>VLOOKUP(RawSalesTable[[#This Row],[Product_ID]],ProductsTable[],3,FALSE)</f>
        <v>Electronics</v>
      </c>
      <c r="X139" s="8">
        <f>VLOOKUP(RawSalesTable[[#This Row],[Product_ID]],ProductsTable[],5,FALSE)</f>
        <v>224.47</v>
      </c>
      <c r="Y139" s="8">
        <f>RawSalesTable[[#This Row],[Quantity]]*RawSalesTable[[#This Row],[Unit_Price]]</f>
        <v>362.88</v>
      </c>
      <c r="Z139" s="8">
        <f>RawSalesTable[[#This Row],[Gross_Sales]]*RawSalesTable[[#This Row],[Discount_Pct]]</f>
        <v>54.431999999999995</v>
      </c>
      <c r="AA139" s="8">
        <f>RawSalesTable[[#This Row],[Gross_Sales]]-RawSalesTable[[#This Row],[Discount_Amount]]</f>
        <v>308.44799999999998</v>
      </c>
      <c r="AB139" s="8">
        <f>RawSalesTable[[#This Row],[Unit_Cost]]*RawSalesTable[[#This Row],[Quantity]]</f>
        <v>224.47</v>
      </c>
      <c r="AC139" s="8">
        <f>RawSalesTable[[#This Row],[Net_Sales]]-RawSalesTable[[#This Row],[Total_Cost]]</f>
        <v>83.97799999999998</v>
      </c>
      <c r="AD139" s="9">
        <f>RawSalesTable[[#This Row],[Profit]]/RawSalesTable[[#This Row],[Net_Sales]]</f>
        <v>0.27225982985786901</v>
      </c>
      <c r="AE139" s="8">
        <f>IF(RawSalesTable[[#This Row],[Return_Status]]="Yes",1,0)</f>
        <v>0</v>
      </c>
      <c r="AF139" s="8">
        <f>YEAR(RawSalesTable[[#This Row],[Order_Date]])</f>
        <v>2025</v>
      </c>
      <c r="AG139" s="8">
        <f>MONTH(RawSalesTable[[#This Row],[Order_Date]])</f>
        <v>2</v>
      </c>
      <c r="AH139" s="8" t="str">
        <f>TEXT(RawSalesTable[[#This Row],[Order_Date]],"mmmm")</f>
        <v>février</v>
      </c>
      <c r="AI139" s="8" t="str">
        <f>IF(RawSalesTable[[#This Row],[Month_Number]]&lt;=3,"Q1",IF(RawSalesTable[[#This Row],[Month_Number]]&lt;=6,"Q2",IF(RawSalesTable[[#This Row],[Month_Number]]&lt;=9,"Q3","Q4")))</f>
        <v>Q1</v>
      </c>
      <c r="AJ139" s="13">
        <f>DATE(YEAR(RawSalesTable[[#This Row],[Order_Date]]),MONTH(RawSalesTable[[#This Row],[Order_Date]]),1)</f>
        <v>45689</v>
      </c>
      <c r="AK139" s="8" t="str">
        <f>VLOOKUP(RawSalesTable[[#This Row],[Customer_ID_clean]],CustomersTable[],4,FALSE)</f>
        <v>Ontario</v>
      </c>
    </row>
    <row r="140" spans="1:37">
      <c r="A140" t="s">
        <v>443</v>
      </c>
      <c r="B140" s="3">
        <v>45975</v>
      </c>
      <c r="C140" t="s">
        <v>138</v>
      </c>
      <c r="D140" t="s">
        <v>136</v>
      </c>
      <c r="E140" t="s">
        <v>140</v>
      </c>
      <c r="F140" t="s">
        <v>103</v>
      </c>
      <c r="G140" t="s">
        <v>104</v>
      </c>
      <c r="H140" t="s">
        <v>97</v>
      </c>
      <c r="I140">
        <v>1</v>
      </c>
      <c r="J140" s="2">
        <v>154.51</v>
      </c>
      <c r="K140" s="4">
        <v>0.1</v>
      </c>
      <c r="L140" t="s">
        <v>106</v>
      </c>
      <c r="M140">
        <v>4</v>
      </c>
      <c r="N140" t="s">
        <v>91</v>
      </c>
      <c r="O140" t="str">
        <f>SUBSTITUTE(PROPER(TRIM(RawSalesTable[[#This Row],[Channel_Raw]])), "Market Place", "Marketplace")</f>
        <v>Retail Store</v>
      </c>
      <c r="P140" t="str">
        <f>TRIM(RawSalesTable[[#This Row],[Store_Raw]])</f>
        <v>Vancouver West</v>
      </c>
      <c r="Q140" t="str">
        <f>IF(TRIM(RawSalesTable[[#This Row],[Payment_Method_Raw]])="","Non renseigné",SUBSTITUTE(TRIM(RawSalesTable[[#This Row],[Payment_Method_Raw]]),"CC","Credit Card"))</f>
        <v>Credit Card</v>
      </c>
      <c r="R140" s="8" t="str">
        <f>UPPER(PROPER(RawSalesTable[[#This Row],[Customer_ID]]))</f>
        <v>C0106</v>
      </c>
      <c r="S140" s="8" t="str">
        <f>TRIM(LEFT(RawSalesTable[[#This Row],[Customer_Info]],FIND(",",RawSalesTable[[#This Row],[Customer_Info]]) -1))</f>
        <v>Liam Gagnon</v>
      </c>
      <c r="T140" s="8" t="str">
        <f>TRIM(MID(RawSalesTable[[#This Row],[Customer_Info]],FIND(",",RawSalesTable[[#This Row],[Customer_Info]])+1,FIND(",",RawSalesTable[[#This Row],[Customer_Info]],FIND(",",RawSalesTable[[#This Row],[Customer_Info]])+1)-FIND(",",RawSalesTable[[#This Row],[Customer_Info]])-1))</f>
        <v>Ottawa</v>
      </c>
      <c r="U140" s="8" t="str">
        <f>TRIM(RIGHT(RawSalesTable[[#This Row],[Customer_Info]], LEN(RawSalesTable[[#This Row],[Customer_Info]])-FIND(",",RawSalesTable[[#This Row],[Customer_Info]],FIND(",",RawSalesTable[[#This Row],[Customer_Info]])+1)))</f>
        <v>Small Business</v>
      </c>
      <c r="V140" s="8" t="str">
        <f>VLOOKUP(RawSalesTable[[#This Row],[Product_ID]],ProductsTable[],2,FALSE)</f>
        <v>Mouse</v>
      </c>
      <c r="W140" s="8" t="str">
        <f>VLOOKUP(RawSalesTable[[#This Row],[Product_ID]],ProductsTable[],3,FALSE)</f>
        <v>Electronics</v>
      </c>
      <c r="X140" s="8">
        <f>VLOOKUP(RawSalesTable[[#This Row],[Product_ID]],ProductsTable[],5,FALSE)</f>
        <v>106.4</v>
      </c>
      <c r="Y140" s="8">
        <f>RawSalesTable[[#This Row],[Quantity]]*RawSalesTable[[#This Row],[Unit_Price]]</f>
        <v>154.51</v>
      </c>
      <c r="Z140" s="8">
        <f>RawSalesTable[[#This Row],[Gross_Sales]]*RawSalesTable[[#This Row],[Discount_Pct]]</f>
        <v>15.451000000000001</v>
      </c>
      <c r="AA140" s="8">
        <f>RawSalesTable[[#This Row],[Gross_Sales]]-RawSalesTable[[#This Row],[Discount_Amount]]</f>
        <v>139.059</v>
      </c>
      <c r="AB140" s="8">
        <f>RawSalesTable[[#This Row],[Unit_Cost]]*RawSalesTable[[#This Row],[Quantity]]</f>
        <v>106.4</v>
      </c>
      <c r="AC140" s="8">
        <f>RawSalesTable[[#This Row],[Net_Sales]]-RawSalesTable[[#This Row],[Total_Cost]]</f>
        <v>32.658999999999992</v>
      </c>
      <c r="AD140" s="9">
        <f>RawSalesTable[[#This Row],[Profit]]/RawSalesTable[[#This Row],[Net_Sales]]</f>
        <v>0.23485714696639551</v>
      </c>
      <c r="AE140" s="8">
        <f>IF(RawSalesTable[[#This Row],[Return_Status]]="Yes",1,0)</f>
        <v>0</v>
      </c>
      <c r="AF140" s="8">
        <f>YEAR(RawSalesTable[[#This Row],[Order_Date]])</f>
        <v>2025</v>
      </c>
      <c r="AG140" s="8">
        <f>MONTH(RawSalesTable[[#This Row],[Order_Date]])</f>
        <v>11</v>
      </c>
      <c r="AH140" s="8" t="str">
        <f>TEXT(RawSalesTable[[#This Row],[Order_Date]],"mmmm")</f>
        <v>novembre</v>
      </c>
      <c r="AI140" s="8" t="str">
        <f>IF(RawSalesTable[[#This Row],[Month_Number]]&lt;=3,"Q1",IF(RawSalesTable[[#This Row],[Month_Number]]&lt;=6,"Q2",IF(RawSalesTable[[#This Row],[Month_Number]]&lt;=9,"Q3","Q4")))</f>
        <v>Q4</v>
      </c>
      <c r="AJ140" s="13">
        <f>DATE(YEAR(RawSalesTable[[#This Row],[Order_Date]]),MONTH(RawSalesTable[[#This Row],[Order_Date]]),1)</f>
        <v>45962</v>
      </c>
      <c r="AK140" s="8" t="str">
        <f>VLOOKUP(RawSalesTable[[#This Row],[Customer_ID_clean]],CustomersTable[],4,FALSE)</f>
        <v>Ontario</v>
      </c>
    </row>
    <row r="141" spans="1:37">
      <c r="A141" t="s">
        <v>444</v>
      </c>
      <c r="B141" s="3">
        <v>45889</v>
      </c>
      <c r="C141" t="s">
        <v>319</v>
      </c>
      <c r="D141" t="s">
        <v>181</v>
      </c>
      <c r="E141" t="s">
        <v>320</v>
      </c>
      <c r="F141" t="s">
        <v>103</v>
      </c>
      <c r="G141" t="s">
        <v>117</v>
      </c>
      <c r="H141" t="s">
        <v>105</v>
      </c>
      <c r="I141">
        <v>1</v>
      </c>
      <c r="J141" s="2">
        <v>339.47</v>
      </c>
      <c r="K141" s="4">
        <v>0</v>
      </c>
      <c r="L141" t="s">
        <v>106</v>
      </c>
      <c r="M141">
        <v>7</v>
      </c>
      <c r="N141" t="s">
        <v>91</v>
      </c>
      <c r="O141" t="str">
        <f>SUBSTITUTE(PROPER(TRIM(RawSalesTable[[#This Row],[Channel_Raw]])), "Market Place", "Marketplace")</f>
        <v>Marketplace</v>
      </c>
      <c r="P141" t="str">
        <f>TRIM(RawSalesTable[[#This Row],[Store_Raw]])</f>
        <v>Vancouver West</v>
      </c>
      <c r="Q141" t="str">
        <f>IF(TRIM(RawSalesTable[[#This Row],[Payment_Method_Raw]])="","Non renseigné",SUBSTITUTE(TRIM(RawSalesTable[[#This Row],[Payment_Method_Raw]]),"CC","Credit Card"))</f>
        <v>Credit Card</v>
      </c>
      <c r="R141" s="8" t="str">
        <f>UPPER(PROPER(RawSalesTable[[#This Row],[Customer_ID]]))</f>
        <v>C0013</v>
      </c>
      <c r="S141" s="8" t="str">
        <f>TRIM(LEFT(RawSalesTable[[#This Row],[Customer_Info]],FIND(",",RawSalesTable[[#This Row],[Customer_Info]]) -1))</f>
        <v>Amelia Martin</v>
      </c>
      <c r="T141" s="8" t="str">
        <f>TRIM(MID(RawSalesTable[[#This Row],[Customer_Info]],FIND(",",RawSalesTable[[#This Row],[Customer_Info]])+1,FIND(",",RawSalesTable[[#This Row],[Customer_Info]],FIND(",",RawSalesTable[[#This Row],[Customer_Info]])+1)-FIND(",",RawSalesTable[[#This Row],[Customer_Info]])-1))</f>
        <v>Quebec City</v>
      </c>
      <c r="U141" s="8" t="str">
        <f>TRIM(RIGHT(RawSalesTable[[#This Row],[Customer_Info]], LEN(RawSalesTable[[#This Row],[Customer_Info]])-FIND(",",RawSalesTable[[#This Row],[Customer_Info]],FIND(",",RawSalesTable[[#This Row],[Customer_Info]])+1)))</f>
        <v>Small Business</v>
      </c>
      <c r="V141" s="8" t="str">
        <f>VLOOKUP(RawSalesTable[[#This Row],[Product_ID]],ProductsTable[],2,FALSE)</f>
        <v>Monitor</v>
      </c>
      <c r="W141" s="8" t="str">
        <f>VLOOKUP(RawSalesTable[[#This Row],[Product_ID]],ProductsTable[],3,FALSE)</f>
        <v>Electronics</v>
      </c>
      <c r="X141" s="8">
        <f>VLOOKUP(RawSalesTable[[#This Row],[Product_ID]],ProductsTable[],5,FALSE)</f>
        <v>224.47</v>
      </c>
      <c r="Y141" s="8">
        <f>RawSalesTable[[#This Row],[Quantity]]*RawSalesTable[[#This Row],[Unit_Price]]</f>
        <v>339.47</v>
      </c>
      <c r="Z141" s="8">
        <f>RawSalesTable[[#This Row],[Gross_Sales]]*RawSalesTable[[#This Row],[Discount_Pct]]</f>
        <v>0</v>
      </c>
      <c r="AA141" s="8">
        <f>RawSalesTable[[#This Row],[Gross_Sales]]-RawSalesTable[[#This Row],[Discount_Amount]]</f>
        <v>339.47</v>
      </c>
      <c r="AB141" s="8">
        <f>RawSalesTable[[#This Row],[Unit_Cost]]*RawSalesTable[[#This Row],[Quantity]]</f>
        <v>224.47</v>
      </c>
      <c r="AC141" s="8">
        <f>RawSalesTable[[#This Row],[Net_Sales]]-RawSalesTable[[#This Row],[Total_Cost]]</f>
        <v>115.00000000000003</v>
      </c>
      <c r="AD141" s="9">
        <f>RawSalesTable[[#This Row],[Profit]]/RawSalesTable[[#This Row],[Net_Sales]]</f>
        <v>0.3387633664241318</v>
      </c>
      <c r="AE141" s="8">
        <f>IF(RawSalesTable[[#This Row],[Return_Status]]="Yes",1,0)</f>
        <v>0</v>
      </c>
      <c r="AF141" s="8">
        <f>YEAR(RawSalesTable[[#This Row],[Order_Date]])</f>
        <v>2025</v>
      </c>
      <c r="AG141" s="8">
        <f>MONTH(RawSalesTable[[#This Row],[Order_Date]])</f>
        <v>8</v>
      </c>
      <c r="AH141" s="8" t="str">
        <f>TEXT(RawSalesTable[[#This Row],[Order_Date]],"mmmm")</f>
        <v>août</v>
      </c>
      <c r="AI141" s="8" t="str">
        <f>IF(RawSalesTable[[#This Row],[Month_Number]]&lt;=3,"Q1",IF(RawSalesTable[[#This Row],[Month_Number]]&lt;=6,"Q2",IF(RawSalesTable[[#This Row],[Month_Number]]&lt;=9,"Q3","Q4")))</f>
        <v>Q3</v>
      </c>
      <c r="AJ141" s="13">
        <f>DATE(YEAR(RawSalesTable[[#This Row],[Order_Date]]),MONTH(RawSalesTable[[#This Row],[Order_Date]]),1)</f>
        <v>45870</v>
      </c>
      <c r="AK141" s="8" t="str">
        <f>VLOOKUP(RawSalesTable[[#This Row],[Customer_ID_clean]],CustomersTable[],4,FALSE)</f>
        <v>Quebec</v>
      </c>
    </row>
    <row r="142" spans="1:37">
      <c r="A142" t="s">
        <v>445</v>
      </c>
      <c r="B142" s="3">
        <v>45702</v>
      </c>
      <c r="C142" t="s">
        <v>108</v>
      </c>
      <c r="D142" t="s">
        <v>231</v>
      </c>
      <c r="E142" t="s">
        <v>110</v>
      </c>
      <c r="F142" t="s">
        <v>145</v>
      </c>
      <c r="G142" t="s">
        <v>130</v>
      </c>
      <c r="H142" t="s">
        <v>89</v>
      </c>
      <c r="I142">
        <v>3</v>
      </c>
      <c r="J142" s="2">
        <v>372.12</v>
      </c>
      <c r="K142" s="4">
        <v>0.05</v>
      </c>
      <c r="L142" t="s">
        <v>98</v>
      </c>
      <c r="M142">
        <v>2</v>
      </c>
      <c r="N142" t="s">
        <v>91</v>
      </c>
      <c r="O142" t="str">
        <f>SUBSTITUTE(PROPER(TRIM(RawSalesTable[[#This Row],[Channel_Raw]])), "Market Place", "Marketplace")</f>
        <v>Online</v>
      </c>
      <c r="P142" t="str">
        <f>TRIM(RawSalesTable[[#This Row],[Store_Raw]])</f>
        <v>Calgary North</v>
      </c>
      <c r="Q142" t="str">
        <f>IF(TRIM(RawSalesTable[[#This Row],[Payment_Method_Raw]])="","Non renseigné",SUBSTITUTE(TRIM(RawSalesTable[[#This Row],[Payment_Method_Raw]]),"CC","Credit Card"))</f>
        <v>Debit Card</v>
      </c>
      <c r="R142" s="8" t="str">
        <f>UPPER(PROPER(RawSalesTable[[#This Row],[Customer_ID]]))</f>
        <v>C0071</v>
      </c>
      <c r="S142" s="8" t="str">
        <f>TRIM(LEFT(RawSalesTable[[#This Row],[Customer_Info]],FIND(",",RawSalesTable[[#This Row],[Customer_Info]]) -1))</f>
        <v>Ethan Lee</v>
      </c>
      <c r="T142" s="8" t="str">
        <f>TRIM(MID(RawSalesTable[[#This Row],[Customer_Info]],FIND(",",RawSalesTable[[#This Row],[Customer_Info]])+1,FIND(",",RawSalesTable[[#This Row],[Customer_Info]],FIND(",",RawSalesTable[[#This Row],[Customer_Info]])+1)-FIND(",",RawSalesTable[[#This Row],[Customer_Info]])-1))</f>
        <v>Surrey</v>
      </c>
      <c r="U142" s="8" t="str">
        <f>TRIM(RIGHT(RawSalesTable[[#This Row],[Customer_Info]], LEN(RawSalesTable[[#This Row],[Customer_Info]])-FIND(",",RawSalesTable[[#This Row],[Customer_Info]],FIND(",",RawSalesTable[[#This Row],[Customer_Info]])+1)))</f>
        <v>Consumer</v>
      </c>
      <c r="V142" s="8" t="str">
        <f>VLOOKUP(RawSalesTable[[#This Row],[Product_ID]],ProductsTable[],2,FALSE)</f>
        <v>Cable Set</v>
      </c>
      <c r="W142" s="8" t="str">
        <f>VLOOKUP(RawSalesTable[[#This Row],[Product_ID]],ProductsTable[],3,FALSE)</f>
        <v>Accessories</v>
      </c>
      <c r="X142" s="8">
        <f>VLOOKUP(RawSalesTable[[#This Row],[Product_ID]],ProductsTable[],5,FALSE)</f>
        <v>200.16</v>
      </c>
      <c r="Y142" s="8">
        <f>RawSalesTable[[#This Row],[Quantity]]*RawSalesTable[[#This Row],[Unit_Price]]</f>
        <v>1116.3600000000001</v>
      </c>
      <c r="Z142" s="8">
        <f>RawSalesTable[[#This Row],[Gross_Sales]]*RawSalesTable[[#This Row],[Discount_Pct]]</f>
        <v>55.818000000000012</v>
      </c>
      <c r="AA142" s="8">
        <f>RawSalesTable[[#This Row],[Gross_Sales]]-RawSalesTable[[#This Row],[Discount_Amount]]</f>
        <v>1060.5420000000001</v>
      </c>
      <c r="AB142" s="8">
        <f>RawSalesTable[[#This Row],[Unit_Cost]]*RawSalesTable[[#This Row],[Quantity]]</f>
        <v>600.48</v>
      </c>
      <c r="AC142" s="8">
        <f>RawSalesTable[[#This Row],[Net_Sales]]-RawSalesTable[[#This Row],[Total_Cost]]</f>
        <v>460.06200000000013</v>
      </c>
      <c r="AD142" s="9">
        <f>RawSalesTable[[#This Row],[Profit]]/RawSalesTable[[#This Row],[Net_Sales]]</f>
        <v>0.43379894431337945</v>
      </c>
      <c r="AE142" s="8">
        <f>IF(RawSalesTable[[#This Row],[Return_Status]]="Yes",1,0)</f>
        <v>0</v>
      </c>
      <c r="AF142" s="8">
        <f>YEAR(RawSalesTable[[#This Row],[Order_Date]])</f>
        <v>2025</v>
      </c>
      <c r="AG142" s="8">
        <f>MONTH(RawSalesTable[[#This Row],[Order_Date]])</f>
        <v>2</v>
      </c>
      <c r="AH142" s="8" t="str">
        <f>TEXT(RawSalesTable[[#This Row],[Order_Date]],"mmmm")</f>
        <v>février</v>
      </c>
      <c r="AI142" s="8" t="str">
        <f>IF(RawSalesTable[[#This Row],[Month_Number]]&lt;=3,"Q1",IF(RawSalesTable[[#This Row],[Month_Number]]&lt;=6,"Q2",IF(RawSalesTable[[#This Row],[Month_Number]]&lt;=9,"Q3","Q4")))</f>
        <v>Q1</v>
      </c>
      <c r="AJ142" s="13">
        <f>DATE(YEAR(RawSalesTable[[#This Row],[Order_Date]]),MONTH(RawSalesTable[[#This Row],[Order_Date]]),1)</f>
        <v>45689</v>
      </c>
      <c r="AK142" s="8" t="str">
        <f>VLOOKUP(RawSalesTable[[#This Row],[Customer_ID_clean]],CustomersTable[],4,FALSE)</f>
        <v>British Columbia</v>
      </c>
    </row>
    <row r="143" spans="1:37">
      <c r="A143" t="s">
        <v>446</v>
      </c>
      <c r="B143" s="3">
        <v>45984</v>
      </c>
      <c r="C143" t="s">
        <v>406</v>
      </c>
      <c r="D143" t="s">
        <v>109</v>
      </c>
      <c r="E143" t="s">
        <v>407</v>
      </c>
      <c r="F143" t="s">
        <v>116</v>
      </c>
      <c r="G143" t="s">
        <v>117</v>
      </c>
      <c r="H143" t="s">
        <v>89</v>
      </c>
      <c r="I143">
        <v>4</v>
      </c>
      <c r="J143" s="2">
        <v>204.19</v>
      </c>
      <c r="K143" s="4">
        <v>0.1</v>
      </c>
      <c r="L143" t="s">
        <v>90</v>
      </c>
      <c r="M143">
        <v>6</v>
      </c>
      <c r="N143" t="s">
        <v>91</v>
      </c>
      <c r="O143" t="str">
        <f>SUBSTITUTE(PROPER(TRIM(RawSalesTable[[#This Row],[Channel_Raw]])), "Market Place", "Marketplace")</f>
        <v>Online</v>
      </c>
      <c r="P143" t="str">
        <f>TRIM(RawSalesTable[[#This Row],[Store_Raw]])</f>
        <v>Toronto Downtown</v>
      </c>
      <c r="Q143" t="str">
        <f>IF(TRIM(RawSalesTable[[#This Row],[Payment_Method_Raw]])="","Non renseigné",SUBSTITUTE(TRIM(RawSalesTable[[#This Row],[Payment_Method_Raw]]),"CC","Credit Card"))</f>
        <v>PayPal</v>
      </c>
      <c r="R143" s="8" t="str">
        <f>UPPER(PROPER(RawSalesTable[[#This Row],[Customer_ID]]))</f>
        <v>C0038</v>
      </c>
      <c r="S143" s="8" t="str">
        <f>TRIM(LEFT(RawSalesTable[[#This Row],[Customer_Info]],FIND(",",RawSalesTable[[#This Row],[Customer_Info]]) -1))</f>
        <v>Noah Brown</v>
      </c>
      <c r="T143" s="8" t="str">
        <f>TRIM(MID(RawSalesTable[[#This Row],[Customer_Info]],FIND(",",RawSalesTable[[#This Row],[Customer_Info]])+1,FIND(",",RawSalesTable[[#This Row],[Customer_Info]],FIND(",",RawSalesTable[[#This Row],[Customer_Info]])+1)-FIND(",",RawSalesTable[[#This Row],[Customer_Info]])-1))</f>
        <v>Montreal</v>
      </c>
      <c r="U143" s="8" t="str">
        <f>TRIM(RIGHT(RawSalesTable[[#This Row],[Customer_Info]], LEN(RawSalesTable[[#This Row],[Customer_Info]])-FIND(",",RawSalesTable[[#This Row],[Customer_Info]],FIND(",",RawSalesTable[[#This Row],[Customer_Info]])+1)))</f>
        <v>Consumer</v>
      </c>
      <c r="V143" s="8" t="str">
        <f>VLOOKUP(RawSalesTable[[#This Row],[Product_ID]],ProductsTable[],2,FALSE)</f>
        <v>Gym Bag</v>
      </c>
      <c r="W143" s="8" t="str">
        <f>VLOOKUP(RawSalesTable[[#This Row],[Product_ID]],ProductsTable[],3,FALSE)</f>
        <v>Fitness</v>
      </c>
      <c r="X143" s="8">
        <f>VLOOKUP(RawSalesTable[[#This Row],[Product_ID]],ProductsTable[],5,FALSE)</f>
        <v>132.72</v>
      </c>
      <c r="Y143" s="8">
        <f>RawSalesTable[[#This Row],[Quantity]]*RawSalesTable[[#This Row],[Unit_Price]]</f>
        <v>816.76</v>
      </c>
      <c r="Z143" s="8">
        <f>RawSalesTable[[#This Row],[Gross_Sales]]*RawSalesTable[[#This Row],[Discount_Pct]]</f>
        <v>81.676000000000002</v>
      </c>
      <c r="AA143" s="8">
        <f>RawSalesTable[[#This Row],[Gross_Sales]]-RawSalesTable[[#This Row],[Discount_Amount]]</f>
        <v>735.08399999999995</v>
      </c>
      <c r="AB143" s="8">
        <f>RawSalesTable[[#This Row],[Unit_Cost]]*RawSalesTable[[#This Row],[Quantity]]</f>
        <v>530.88</v>
      </c>
      <c r="AC143" s="8">
        <f>RawSalesTable[[#This Row],[Net_Sales]]-RawSalesTable[[#This Row],[Total_Cost]]</f>
        <v>204.20399999999995</v>
      </c>
      <c r="AD143" s="9">
        <f>RawSalesTable[[#This Row],[Profit]]/RawSalesTable[[#This Row],[Net_Sales]]</f>
        <v>0.27779682322020338</v>
      </c>
      <c r="AE143" s="8">
        <f>IF(RawSalesTable[[#This Row],[Return_Status]]="Yes",1,0)</f>
        <v>0</v>
      </c>
      <c r="AF143" s="8">
        <f>YEAR(RawSalesTable[[#This Row],[Order_Date]])</f>
        <v>2025</v>
      </c>
      <c r="AG143" s="8">
        <f>MONTH(RawSalesTable[[#This Row],[Order_Date]])</f>
        <v>11</v>
      </c>
      <c r="AH143" s="8" t="str">
        <f>TEXT(RawSalesTable[[#This Row],[Order_Date]],"mmmm")</f>
        <v>novembre</v>
      </c>
      <c r="AI143" s="8" t="str">
        <f>IF(RawSalesTable[[#This Row],[Month_Number]]&lt;=3,"Q1",IF(RawSalesTable[[#This Row],[Month_Number]]&lt;=6,"Q2",IF(RawSalesTable[[#This Row],[Month_Number]]&lt;=9,"Q3","Q4")))</f>
        <v>Q4</v>
      </c>
      <c r="AJ143" s="13">
        <f>DATE(YEAR(RawSalesTable[[#This Row],[Order_Date]]),MONTH(RawSalesTable[[#This Row],[Order_Date]]),1)</f>
        <v>45962</v>
      </c>
      <c r="AK143" s="8" t="str">
        <f>VLOOKUP(RawSalesTable[[#This Row],[Customer_ID_clean]],CustomersTable[],4,FALSE)</f>
        <v>Quebec</v>
      </c>
    </row>
    <row r="144" spans="1:37">
      <c r="A144" t="s">
        <v>447</v>
      </c>
      <c r="B144" s="3">
        <v>45767</v>
      </c>
      <c r="C144" t="s">
        <v>448</v>
      </c>
      <c r="D144" t="s">
        <v>323</v>
      </c>
      <c r="E144" t="s">
        <v>449</v>
      </c>
      <c r="F144" t="s">
        <v>111</v>
      </c>
      <c r="G144" t="s">
        <v>104</v>
      </c>
      <c r="H144" t="s">
        <v>97</v>
      </c>
      <c r="I144">
        <v>1</v>
      </c>
      <c r="J144" s="2">
        <v>333.66</v>
      </c>
      <c r="K144" s="4">
        <v>0.05</v>
      </c>
      <c r="L144" t="s">
        <v>106</v>
      </c>
      <c r="M144">
        <v>1</v>
      </c>
      <c r="N144" t="s">
        <v>91</v>
      </c>
      <c r="O144" t="str">
        <f>SUBSTITUTE(PROPER(TRIM(RawSalesTable[[#This Row],[Channel_Raw]])), "Market Place", "Marketplace")</f>
        <v>Retail Store</v>
      </c>
      <c r="P144" t="str">
        <f>TRIM(RawSalesTable[[#This Row],[Store_Raw]])</f>
        <v>Montreal Central</v>
      </c>
      <c r="Q144" t="str">
        <f>IF(TRIM(RawSalesTable[[#This Row],[Payment_Method_Raw]])="","Non renseigné",SUBSTITUTE(TRIM(RawSalesTable[[#This Row],[Payment_Method_Raw]]),"CC","Credit Card"))</f>
        <v>Credit Card</v>
      </c>
      <c r="R144" s="8" t="str">
        <f>UPPER(PROPER(RawSalesTable[[#This Row],[Customer_ID]]))</f>
        <v>C0074</v>
      </c>
      <c r="S144" s="8" t="str">
        <f>TRIM(LEFT(RawSalesTable[[#This Row],[Customer_Info]],FIND(",",RawSalesTable[[#This Row],[Customer_Info]]) -1))</f>
        <v>Sophia Chen</v>
      </c>
      <c r="T144" s="8" t="str">
        <f>TRIM(MID(RawSalesTable[[#This Row],[Customer_Info]],FIND(",",RawSalesTable[[#This Row],[Customer_Info]])+1,FIND(",",RawSalesTable[[#This Row],[Customer_Info]],FIND(",",RawSalesTable[[#This Row],[Customer_Info]])+1)-FIND(",",RawSalesTable[[#This Row],[Customer_Info]])-1))</f>
        <v>Vancouver</v>
      </c>
      <c r="U144" s="8" t="str">
        <f>TRIM(RIGHT(RawSalesTable[[#This Row],[Customer_Info]], LEN(RawSalesTable[[#This Row],[Customer_Info]])-FIND(",",RawSalesTable[[#This Row],[Customer_Info]],FIND(",",RawSalesTable[[#This Row],[Customer_Info]])+1)))</f>
        <v>Corporate</v>
      </c>
      <c r="V144" s="8" t="str">
        <f>VLOOKUP(RawSalesTable[[#This Row],[Product_ID]],ProductsTable[],2,FALSE)</f>
        <v>Toaster</v>
      </c>
      <c r="W144" s="8" t="str">
        <f>VLOOKUP(RawSalesTable[[#This Row],[Product_ID]],ProductsTable[],3,FALSE)</f>
        <v>Home</v>
      </c>
      <c r="X144" s="8">
        <f>VLOOKUP(RawSalesTable[[#This Row],[Product_ID]],ProductsTable[],5,FALSE)</f>
        <v>152.88</v>
      </c>
      <c r="Y144" s="8">
        <f>RawSalesTable[[#This Row],[Quantity]]*RawSalesTable[[#This Row],[Unit_Price]]</f>
        <v>333.66</v>
      </c>
      <c r="Z144" s="8">
        <f>RawSalesTable[[#This Row],[Gross_Sales]]*RawSalesTable[[#This Row],[Discount_Pct]]</f>
        <v>16.683000000000003</v>
      </c>
      <c r="AA144" s="8">
        <f>RawSalesTable[[#This Row],[Gross_Sales]]-RawSalesTable[[#This Row],[Discount_Amount]]</f>
        <v>316.97700000000003</v>
      </c>
      <c r="AB144" s="8">
        <f>RawSalesTable[[#This Row],[Unit_Cost]]*RawSalesTable[[#This Row],[Quantity]]</f>
        <v>152.88</v>
      </c>
      <c r="AC144" s="8">
        <f>RawSalesTable[[#This Row],[Net_Sales]]-RawSalesTable[[#This Row],[Total_Cost]]</f>
        <v>164.09700000000004</v>
      </c>
      <c r="AD144" s="9">
        <f>RawSalesTable[[#This Row],[Profit]]/RawSalesTable[[#This Row],[Net_Sales]]</f>
        <v>0.51769371279304188</v>
      </c>
      <c r="AE144" s="8">
        <f>IF(RawSalesTable[[#This Row],[Return_Status]]="Yes",1,0)</f>
        <v>0</v>
      </c>
      <c r="AF144" s="8">
        <f>YEAR(RawSalesTable[[#This Row],[Order_Date]])</f>
        <v>2025</v>
      </c>
      <c r="AG144" s="8">
        <f>MONTH(RawSalesTable[[#This Row],[Order_Date]])</f>
        <v>4</v>
      </c>
      <c r="AH144" s="8" t="str">
        <f>TEXT(RawSalesTable[[#This Row],[Order_Date]],"mmmm")</f>
        <v>avril</v>
      </c>
      <c r="AI144" s="8" t="str">
        <f>IF(RawSalesTable[[#This Row],[Month_Number]]&lt;=3,"Q1",IF(RawSalesTable[[#This Row],[Month_Number]]&lt;=6,"Q2",IF(RawSalesTable[[#This Row],[Month_Number]]&lt;=9,"Q3","Q4")))</f>
        <v>Q2</v>
      </c>
      <c r="AJ144" s="13">
        <f>DATE(YEAR(RawSalesTable[[#This Row],[Order_Date]]),MONTH(RawSalesTable[[#This Row],[Order_Date]]),1)</f>
        <v>45748</v>
      </c>
      <c r="AK144" s="8" t="str">
        <f>VLOOKUP(RawSalesTable[[#This Row],[Customer_ID_clean]],CustomersTable[],4,FALSE)</f>
        <v>British Columbia</v>
      </c>
    </row>
    <row r="145" spans="1:37">
      <c r="A145" t="s">
        <v>450</v>
      </c>
      <c r="B145" s="3">
        <v>45963</v>
      </c>
      <c r="C145" t="s">
        <v>359</v>
      </c>
      <c r="D145" t="s">
        <v>249</v>
      </c>
      <c r="E145" t="s">
        <v>361</v>
      </c>
      <c r="F145" t="s">
        <v>145</v>
      </c>
      <c r="G145" t="s">
        <v>130</v>
      </c>
      <c r="H145" t="s">
        <v>97</v>
      </c>
      <c r="I145">
        <v>1</v>
      </c>
      <c r="J145" s="2">
        <v>433.79</v>
      </c>
      <c r="K145" s="4">
        <v>0.05</v>
      </c>
      <c r="L145" t="s">
        <v>106</v>
      </c>
      <c r="M145">
        <v>3</v>
      </c>
      <c r="N145" t="s">
        <v>91</v>
      </c>
      <c r="O145" t="str">
        <f>SUBSTITUTE(PROPER(TRIM(RawSalesTable[[#This Row],[Channel_Raw]])), "Market Place", "Marketplace")</f>
        <v>Retail Store</v>
      </c>
      <c r="P145" t="str">
        <f>TRIM(RawSalesTable[[#This Row],[Store_Raw]])</f>
        <v>Calgary North</v>
      </c>
      <c r="Q145" t="str">
        <f>IF(TRIM(RawSalesTable[[#This Row],[Payment_Method_Raw]])="","Non renseigné",SUBSTITUTE(TRIM(RawSalesTable[[#This Row],[Payment_Method_Raw]]),"CC","Credit Card"))</f>
        <v>Credit Card</v>
      </c>
      <c r="R145" s="8" t="str">
        <f>UPPER(PROPER(RawSalesTable[[#This Row],[Customer_ID]]))</f>
        <v>C0044</v>
      </c>
      <c r="S145" s="8" t="str">
        <f>TRIM(LEFT(RawSalesTable[[#This Row],[Customer_Info]],FIND(",",RawSalesTable[[#This Row],[Customer_Info]]) -1))</f>
        <v>Nora Young</v>
      </c>
      <c r="T145" s="8" t="str">
        <f>TRIM(MID(RawSalesTable[[#This Row],[Customer_Info]],FIND(",",RawSalesTable[[#This Row],[Customer_Info]])+1,FIND(",",RawSalesTable[[#This Row],[Customer_Info]],FIND(",",RawSalesTable[[#This Row],[Customer_Info]])+1)-FIND(",",RawSalesTable[[#This Row],[Customer_Info]])-1))</f>
        <v>Vancouver</v>
      </c>
      <c r="U145" s="8" t="str">
        <f>TRIM(RIGHT(RawSalesTable[[#This Row],[Customer_Info]], LEN(RawSalesTable[[#This Row],[Customer_Info]])-FIND(",",RawSalesTable[[#This Row],[Customer_Info]],FIND(",",RawSalesTable[[#This Row],[Customer_Info]])+1)))</f>
        <v>Corporate</v>
      </c>
      <c r="V145" s="8" t="str">
        <f>VLOOKUP(RawSalesTable[[#This Row],[Product_ID]],ProductsTable[],2,FALSE)</f>
        <v>Humidifier</v>
      </c>
      <c r="W145" s="8" t="str">
        <f>VLOOKUP(RawSalesTable[[#This Row],[Product_ID]],ProductsTable[],3,FALSE)</f>
        <v>Home</v>
      </c>
      <c r="X145" s="8">
        <f>VLOOKUP(RawSalesTable[[#This Row],[Product_ID]],ProductsTable[],5,FALSE)</f>
        <v>239.67</v>
      </c>
      <c r="Y145" s="8">
        <f>RawSalesTable[[#This Row],[Quantity]]*RawSalesTable[[#This Row],[Unit_Price]]</f>
        <v>433.79</v>
      </c>
      <c r="Z145" s="8">
        <f>RawSalesTable[[#This Row],[Gross_Sales]]*RawSalesTable[[#This Row],[Discount_Pct]]</f>
        <v>21.689500000000002</v>
      </c>
      <c r="AA145" s="8">
        <f>RawSalesTable[[#This Row],[Gross_Sales]]-RawSalesTable[[#This Row],[Discount_Amount]]</f>
        <v>412.10050000000001</v>
      </c>
      <c r="AB145" s="8">
        <f>RawSalesTable[[#This Row],[Unit_Cost]]*RawSalesTable[[#This Row],[Quantity]]</f>
        <v>239.67</v>
      </c>
      <c r="AC145" s="8">
        <f>RawSalesTable[[#This Row],[Net_Sales]]-RawSalesTable[[#This Row],[Total_Cost]]</f>
        <v>172.43050000000002</v>
      </c>
      <c r="AD145" s="9">
        <f>RawSalesTable[[#This Row],[Profit]]/RawSalesTable[[#This Row],[Net_Sales]]</f>
        <v>0.41841856537422306</v>
      </c>
      <c r="AE145" s="8">
        <f>IF(RawSalesTable[[#This Row],[Return_Status]]="Yes",1,0)</f>
        <v>0</v>
      </c>
      <c r="AF145" s="8">
        <f>YEAR(RawSalesTable[[#This Row],[Order_Date]])</f>
        <v>2025</v>
      </c>
      <c r="AG145" s="8">
        <f>MONTH(RawSalesTable[[#This Row],[Order_Date]])</f>
        <v>11</v>
      </c>
      <c r="AH145" s="8" t="str">
        <f>TEXT(RawSalesTable[[#This Row],[Order_Date]],"mmmm")</f>
        <v>novembre</v>
      </c>
      <c r="AI145" s="8" t="str">
        <f>IF(RawSalesTable[[#This Row],[Month_Number]]&lt;=3,"Q1",IF(RawSalesTable[[#This Row],[Month_Number]]&lt;=6,"Q2",IF(RawSalesTable[[#This Row],[Month_Number]]&lt;=9,"Q3","Q4")))</f>
        <v>Q4</v>
      </c>
      <c r="AJ145" s="13">
        <f>DATE(YEAR(RawSalesTable[[#This Row],[Order_Date]]),MONTH(RawSalesTable[[#This Row],[Order_Date]]),1)</f>
        <v>45962</v>
      </c>
      <c r="AK145" s="8" t="str">
        <f>VLOOKUP(RawSalesTable[[#This Row],[Customer_ID_clean]],CustomersTable[],4,FALSE)</f>
        <v>British Columbia</v>
      </c>
    </row>
    <row r="146" spans="1:37">
      <c r="A146" t="s">
        <v>451</v>
      </c>
      <c r="B146" s="3">
        <v>45981</v>
      </c>
      <c r="C146" t="s">
        <v>230</v>
      </c>
      <c r="D146" t="s">
        <v>221</v>
      </c>
      <c r="E146" t="s">
        <v>232</v>
      </c>
      <c r="F146" t="s">
        <v>103</v>
      </c>
      <c r="G146" t="s">
        <v>96</v>
      </c>
      <c r="H146" t="s">
        <v>89</v>
      </c>
      <c r="I146">
        <v>3</v>
      </c>
      <c r="J146" s="2">
        <v>31.68</v>
      </c>
      <c r="K146" s="4">
        <v>0.05</v>
      </c>
      <c r="L146" t="s">
        <v>106</v>
      </c>
      <c r="M146">
        <v>4</v>
      </c>
      <c r="N146" t="s">
        <v>91</v>
      </c>
      <c r="O146" t="str">
        <f>SUBSTITUTE(PROPER(TRIM(RawSalesTable[[#This Row],[Channel_Raw]])), "Market Place", "Marketplace")</f>
        <v>Online</v>
      </c>
      <c r="P146" t="str">
        <f>TRIM(RawSalesTable[[#This Row],[Store_Raw]])</f>
        <v>Vancouver West</v>
      </c>
      <c r="Q146" t="str">
        <f>IF(TRIM(RawSalesTable[[#This Row],[Payment_Method_Raw]])="","Non renseigné",SUBSTITUTE(TRIM(RawSalesTable[[#This Row],[Payment_Method_Raw]]),"CC","Credit Card"))</f>
        <v>Credit Card</v>
      </c>
      <c r="R146" s="8" t="str">
        <f>UPPER(PROPER(RawSalesTable[[#This Row],[Customer_ID]]))</f>
        <v>C0063</v>
      </c>
      <c r="S146" s="8" t="str">
        <f>TRIM(LEFT(RawSalesTable[[#This Row],[Customer_Info]],FIND(",",RawSalesTable[[#This Row],[Customer_Info]]) -1))</f>
        <v>Adam Singh</v>
      </c>
      <c r="T146" s="8" t="str">
        <f>TRIM(MID(RawSalesTable[[#This Row],[Customer_Info]],FIND(",",RawSalesTable[[#This Row],[Customer_Info]])+1,FIND(",",RawSalesTable[[#This Row],[Customer_Info]],FIND(",",RawSalesTable[[#This Row],[Customer_Info]])+1)-FIND(",",RawSalesTable[[#This Row],[Customer_Info]])-1))</f>
        <v>Laval</v>
      </c>
      <c r="U146" s="8" t="str">
        <f>TRIM(RIGHT(RawSalesTable[[#This Row],[Customer_Info]], LEN(RawSalesTable[[#This Row],[Customer_Info]])-FIND(",",RawSalesTable[[#This Row],[Customer_Info]],FIND(",",RawSalesTable[[#This Row],[Customer_Info]])+1)))</f>
        <v>Small Business</v>
      </c>
      <c r="V146" s="8" t="str">
        <f>VLOOKUP(RawSalesTable[[#This Row],[Product_ID]],ProductsTable[],2,FALSE)</f>
        <v>Air Fryer</v>
      </c>
      <c r="W146" s="8" t="str">
        <f>VLOOKUP(RawSalesTable[[#This Row],[Product_ID]],ProductsTable[],3,FALSE)</f>
        <v>Home</v>
      </c>
      <c r="X146" s="8">
        <f>VLOOKUP(RawSalesTable[[#This Row],[Product_ID]],ProductsTable[],5,FALSE)</f>
        <v>14.58</v>
      </c>
      <c r="Y146" s="8">
        <f>RawSalesTable[[#This Row],[Quantity]]*RawSalesTable[[#This Row],[Unit_Price]]</f>
        <v>95.039999999999992</v>
      </c>
      <c r="Z146" s="8">
        <f>RawSalesTable[[#This Row],[Gross_Sales]]*RawSalesTable[[#This Row],[Discount_Pct]]</f>
        <v>4.7519999999999998</v>
      </c>
      <c r="AA146" s="8">
        <f>RawSalesTable[[#This Row],[Gross_Sales]]-RawSalesTable[[#This Row],[Discount_Amount]]</f>
        <v>90.287999999999997</v>
      </c>
      <c r="AB146" s="8">
        <f>RawSalesTable[[#This Row],[Unit_Cost]]*RawSalesTable[[#This Row],[Quantity]]</f>
        <v>43.74</v>
      </c>
      <c r="AC146" s="8">
        <f>RawSalesTable[[#This Row],[Net_Sales]]-RawSalesTable[[#This Row],[Total_Cost]]</f>
        <v>46.547999999999995</v>
      </c>
      <c r="AD146" s="9">
        <f>RawSalesTable[[#This Row],[Profit]]/RawSalesTable[[#This Row],[Net_Sales]]</f>
        <v>0.51555023923444976</v>
      </c>
      <c r="AE146" s="8">
        <f>IF(RawSalesTable[[#This Row],[Return_Status]]="Yes",1,0)</f>
        <v>0</v>
      </c>
      <c r="AF146" s="8">
        <f>YEAR(RawSalesTable[[#This Row],[Order_Date]])</f>
        <v>2025</v>
      </c>
      <c r="AG146" s="8">
        <f>MONTH(RawSalesTable[[#This Row],[Order_Date]])</f>
        <v>11</v>
      </c>
      <c r="AH146" s="8" t="str">
        <f>TEXT(RawSalesTable[[#This Row],[Order_Date]],"mmmm")</f>
        <v>novembre</v>
      </c>
      <c r="AI146" s="8" t="str">
        <f>IF(RawSalesTable[[#This Row],[Month_Number]]&lt;=3,"Q1",IF(RawSalesTable[[#This Row],[Month_Number]]&lt;=6,"Q2",IF(RawSalesTable[[#This Row],[Month_Number]]&lt;=9,"Q3","Q4")))</f>
        <v>Q4</v>
      </c>
      <c r="AJ146" s="13">
        <f>DATE(YEAR(RawSalesTable[[#This Row],[Order_Date]]),MONTH(RawSalesTable[[#This Row],[Order_Date]]),1)</f>
        <v>45962</v>
      </c>
      <c r="AK146" s="8" t="str">
        <f>VLOOKUP(RawSalesTable[[#This Row],[Customer_ID_clean]],CustomersTable[],4,FALSE)</f>
        <v>Quebec</v>
      </c>
    </row>
    <row r="147" spans="1:37">
      <c r="A147" t="s">
        <v>452</v>
      </c>
      <c r="B147" s="3">
        <v>45680</v>
      </c>
      <c r="C147" t="s">
        <v>453</v>
      </c>
      <c r="D147" t="s">
        <v>114</v>
      </c>
      <c r="E147" t="s">
        <v>454</v>
      </c>
      <c r="F147" t="s">
        <v>145</v>
      </c>
      <c r="G147" t="s">
        <v>117</v>
      </c>
      <c r="H147" t="s">
        <v>97</v>
      </c>
      <c r="I147">
        <v>1</v>
      </c>
      <c r="J147" s="2">
        <v>143.79</v>
      </c>
      <c r="K147" s="4">
        <v>0.05</v>
      </c>
      <c r="L147" t="s">
        <v>98</v>
      </c>
      <c r="M147">
        <v>3</v>
      </c>
      <c r="N147" t="s">
        <v>91</v>
      </c>
      <c r="O147" t="str">
        <f>SUBSTITUTE(PROPER(TRIM(RawSalesTable[[#This Row],[Channel_Raw]])), "Market Place", "Marketplace")</f>
        <v>Retail Store</v>
      </c>
      <c r="P147" t="str">
        <f>TRIM(RawSalesTable[[#This Row],[Store_Raw]])</f>
        <v>Calgary North</v>
      </c>
      <c r="Q147" t="str">
        <f>IF(TRIM(RawSalesTable[[#This Row],[Payment_Method_Raw]])="","Non renseigné",SUBSTITUTE(TRIM(RawSalesTable[[#This Row],[Payment_Method_Raw]]),"CC","Credit Card"))</f>
        <v>Debit Card</v>
      </c>
      <c r="R147" s="8" t="str">
        <f>UPPER(PROPER(RawSalesTable[[#This Row],[Customer_ID]]))</f>
        <v>C0070</v>
      </c>
      <c r="S147" s="8" t="str">
        <f>TRIM(LEFT(RawSalesTable[[#This Row],[Customer_Info]],FIND(",",RawSalesTable[[#This Row],[Customer_Info]]) -1))</f>
        <v>Sophia Young</v>
      </c>
      <c r="T147" s="8" t="str">
        <f>TRIM(MID(RawSalesTable[[#This Row],[Customer_Info]],FIND(",",RawSalesTable[[#This Row],[Customer_Info]])+1,FIND(",",RawSalesTable[[#This Row],[Customer_Info]],FIND(",",RawSalesTable[[#This Row],[Customer_Info]])+1)-FIND(",",RawSalesTable[[#This Row],[Customer_Info]])-1))</f>
        <v>Halifax</v>
      </c>
      <c r="U147" s="8" t="str">
        <f>TRIM(RIGHT(RawSalesTable[[#This Row],[Customer_Info]], LEN(RawSalesTable[[#This Row],[Customer_Info]])-FIND(",",RawSalesTable[[#This Row],[Customer_Info]],FIND(",",RawSalesTable[[#This Row],[Customer_Info]])+1)))</f>
        <v>Corporate</v>
      </c>
      <c r="V147" s="8" t="str">
        <f>VLOOKUP(RawSalesTable[[#This Row],[Product_ID]],ProductsTable[],2,FALSE)</f>
        <v>Laptop Sleeve</v>
      </c>
      <c r="W147" s="8" t="str">
        <f>VLOOKUP(RawSalesTable[[#This Row],[Product_ID]],ProductsTable[],3,FALSE)</f>
        <v>Accessories</v>
      </c>
      <c r="X147" s="8">
        <f>VLOOKUP(RawSalesTable[[#This Row],[Product_ID]],ProductsTable[],5,FALSE)</f>
        <v>78.95</v>
      </c>
      <c r="Y147" s="8">
        <f>RawSalesTable[[#This Row],[Quantity]]*RawSalesTable[[#This Row],[Unit_Price]]</f>
        <v>143.79</v>
      </c>
      <c r="Z147" s="8">
        <f>RawSalesTable[[#This Row],[Gross_Sales]]*RawSalesTable[[#This Row],[Discount_Pct]]</f>
        <v>7.1894999999999998</v>
      </c>
      <c r="AA147" s="8">
        <f>RawSalesTable[[#This Row],[Gross_Sales]]-RawSalesTable[[#This Row],[Discount_Amount]]</f>
        <v>136.60049999999998</v>
      </c>
      <c r="AB147" s="8">
        <f>RawSalesTable[[#This Row],[Unit_Cost]]*RawSalesTable[[#This Row],[Quantity]]</f>
        <v>78.95</v>
      </c>
      <c r="AC147" s="8">
        <f>RawSalesTable[[#This Row],[Net_Sales]]-RawSalesTable[[#This Row],[Total_Cost]]</f>
        <v>57.65049999999998</v>
      </c>
      <c r="AD147" s="9">
        <f>RawSalesTable[[#This Row],[Profit]]/RawSalesTable[[#This Row],[Net_Sales]]</f>
        <v>0.42203725462205471</v>
      </c>
      <c r="AE147" s="8">
        <f>IF(RawSalesTable[[#This Row],[Return_Status]]="Yes",1,0)</f>
        <v>0</v>
      </c>
      <c r="AF147" s="8">
        <f>YEAR(RawSalesTable[[#This Row],[Order_Date]])</f>
        <v>2025</v>
      </c>
      <c r="AG147" s="8">
        <f>MONTH(RawSalesTable[[#This Row],[Order_Date]])</f>
        <v>1</v>
      </c>
      <c r="AH147" s="8" t="str">
        <f>TEXT(RawSalesTable[[#This Row],[Order_Date]],"mmmm")</f>
        <v>janvier</v>
      </c>
      <c r="AI147" s="8" t="str">
        <f>IF(RawSalesTable[[#This Row],[Month_Number]]&lt;=3,"Q1",IF(RawSalesTable[[#This Row],[Month_Number]]&lt;=6,"Q2",IF(RawSalesTable[[#This Row],[Month_Number]]&lt;=9,"Q3","Q4")))</f>
        <v>Q1</v>
      </c>
      <c r="AJ147" s="13">
        <f>DATE(YEAR(RawSalesTable[[#This Row],[Order_Date]]),MONTH(RawSalesTable[[#This Row],[Order_Date]]),1)</f>
        <v>45658</v>
      </c>
      <c r="AK147" s="8" t="str">
        <f>VLOOKUP(RawSalesTable[[#This Row],[Customer_ID_clean]],CustomersTable[],4,FALSE)</f>
        <v>Nova Scotia</v>
      </c>
    </row>
    <row r="148" spans="1:37">
      <c r="A148" t="s">
        <v>455</v>
      </c>
      <c r="B148" s="3">
        <v>45777</v>
      </c>
      <c r="C148" t="s">
        <v>151</v>
      </c>
      <c r="D148" t="s">
        <v>114</v>
      </c>
      <c r="E148" t="s">
        <v>153</v>
      </c>
      <c r="F148" t="s">
        <v>145</v>
      </c>
      <c r="G148" t="s">
        <v>122</v>
      </c>
      <c r="H148" t="s">
        <v>97</v>
      </c>
      <c r="I148">
        <v>1</v>
      </c>
      <c r="J148" s="2">
        <v>149.97</v>
      </c>
      <c r="K148" s="4">
        <v>0.1</v>
      </c>
      <c r="L148" t="s">
        <v>106</v>
      </c>
      <c r="M148">
        <v>0</v>
      </c>
      <c r="N148" t="s">
        <v>91</v>
      </c>
      <c r="O148" t="str">
        <f>SUBSTITUTE(PROPER(TRIM(RawSalesTable[[#This Row],[Channel_Raw]])), "Market Place", "Marketplace")</f>
        <v>Retail Store</v>
      </c>
      <c r="P148" t="str">
        <f>TRIM(RawSalesTable[[#This Row],[Store_Raw]])</f>
        <v>Calgary North</v>
      </c>
      <c r="Q148" t="str">
        <f>IF(TRIM(RawSalesTable[[#This Row],[Payment_Method_Raw]])="","Non renseigné",SUBSTITUTE(TRIM(RawSalesTable[[#This Row],[Payment_Method_Raw]]),"CC","Credit Card"))</f>
        <v>Credit Card</v>
      </c>
      <c r="R148" s="8" t="str">
        <f>UPPER(PROPER(RawSalesTable[[#This Row],[Customer_ID]]))</f>
        <v>C0014</v>
      </c>
      <c r="S148" s="8" t="str">
        <f>TRIM(LEFT(RawSalesTable[[#This Row],[Customer_Info]],FIND(",",RawSalesTable[[#This Row],[Customer_Info]]) -1))</f>
        <v>Zoe Scott</v>
      </c>
      <c r="T148" s="8" t="str">
        <f>TRIM(MID(RawSalesTable[[#This Row],[Customer_Info]],FIND(",",RawSalesTable[[#This Row],[Customer_Info]])+1,FIND(",",RawSalesTable[[#This Row],[Customer_Info]],FIND(",",RawSalesTable[[#This Row],[Customer_Info]])+1)-FIND(",",RawSalesTable[[#This Row],[Customer_Info]])-1))</f>
        <v>Montreal</v>
      </c>
      <c r="U148" s="8" t="str">
        <f>TRIM(RIGHT(RawSalesTable[[#This Row],[Customer_Info]], LEN(RawSalesTable[[#This Row],[Customer_Info]])-FIND(",",RawSalesTable[[#This Row],[Customer_Info]],FIND(",",RawSalesTable[[#This Row],[Customer_Info]])+1)))</f>
        <v>Small Business</v>
      </c>
      <c r="V148" s="8" t="str">
        <f>VLOOKUP(RawSalesTable[[#This Row],[Product_ID]],ProductsTable[],2,FALSE)</f>
        <v>Laptop Sleeve</v>
      </c>
      <c r="W148" s="8" t="str">
        <f>VLOOKUP(RawSalesTable[[#This Row],[Product_ID]],ProductsTable[],3,FALSE)</f>
        <v>Accessories</v>
      </c>
      <c r="X148" s="8">
        <f>VLOOKUP(RawSalesTable[[#This Row],[Product_ID]],ProductsTable[],5,FALSE)</f>
        <v>78.95</v>
      </c>
      <c r="Y148" s="8">
        <f>RawSalesTable[[#This Row],[Quantity]]*RawSalesTable[[#This Row],[Unit_Price]]</f>
        <v>149.97</v>
      </c>
      <c r="Z148" s="8">
        <f>RawSalesTable[[#This Row],[Gross_Sales]]*RawSalesTable[[#This Row],[Discount_Pct]]</f>
        <v>14.997</v>
      </c>
      <c r="AA148" s="8">
        <f>RawSalesTable[[#This Row],[Gross_Sales]]-RawSalesTable[[#This Row],[Discount_Amount]]</f>
        <v>134.97300000000001</v>
      </c>
      <c r="AB148" s="8">
        <f>RawSalesTable[[#This Row],[Unit_Cost]]*RawSalesTable[[#This Row],[Quantity]]</f>
        <v>78.95</v>
      </c>
      <c r="AC148" s="8">
        <f>RawSalesTable[[#This Row],[Net_Sales]]-RawSalesTable[[#This Row],[Total_Cost]]</f>
        <v>56.02300000000001</v>
      </c>
      <c r="AD148" s="9">
        <f>RawSalesTable[[#This Row],[Profit]]/RawSalesTable[[#This Row],[Net_Sales]]</f>
        <v>0.41506819882495022</v>
      </c>
      <c r="AE148" s="8">
        <f>IF(RawSalesTable[[#This Row],[Return_Status]]="Yes",1,0)</f>
        <v>0</v>
      </c>
      <c r="AF148" s="8">
        <f>YEAR(RawSalesTable[[#This Row],[Order_Date]])</f>
        <v>2025</v>
      </c>
      <c r="AG148" s="8">
        <f>MONTH(RawSalesTable[[#This Row],[Order_Date]])</f>
        <v>4</v>
      </c>
      <c r="AH148" s="8" t="str">
        <f>TEXT(RawSalesTable[[#This Row],[Order_Date]],"mmmm")</f>
        <v>avril</v>
      </c>
      <c r="AI148" s="8" t="str">
        <f>IF(RawSalesTable[[#This Row],[Month_Number]]&lt;=3,"Q1",IF(RawSalesTable[[#This Row],[Month_Number]]&lt;=6,"Q2",IF(RawSalesTable[[#This Row],[Month_Number]]&lt;=9,"Q3","Q4")))</f>
        <v>Q2</v>
      </c>
      <c r="AJ148" s="13">
        <f>DATE(YEAR(RawSalesTable[[#This Row],[Order_Date]]),MONTH(RawSalesTable[[#This Row],[Order_Date]]),1)</f>
        <v>45748</v>
      </c>
      <c r="AK148" s="8" t="str">
        <f>VLOOKUP(RawSalesTable[[#This Row],[Customer_ID_clean]],CustomersTable[],4,FALSE)</f>
        <v>Quebec</v>
      </c>
    </row>
    <row r="149" spans="1:37">
      <c r="A149" t="s">
        <v>456</v>
      </c>
      <c r="B149" s="3">
        <v>45743</v>
      </c>
      <c r="C149" t="s">
        <v>189</v>
      </c>
      <c r="D149" t="s">
        <v>136</v>
      </c>
      <c r="E149" t="s">
        <v>457</v>
      </c>
      <c r="F149" t="s">
        <v>145</v>
      </c>
      <c r="G149" t="s">
        <v>183</v>
      </c>
      <c r="H149" t="s">
        <v>89</v>
      </c>
      <c r="I149">
        <v>4</v>
      </c>
      <c r="J149" s="2">
        <v>156.56</v>
      </c>
      <c r="K149" s="4">
        <v>0.2</v>
      </c>
      <c r="L149" t="s">
        <v>106</v>
      </c>
      <c r="M149">
        <v>9</v>
      </c>
      <c r="N149" t="s">
        <v>91</v>
      </c>
      <c r="O149" t="str">
        <f>SUBSTITUTE(PROPER(TRIM(RawSalesTable[[#This Row],[Channel_Raw]])), "Market Place", "Marketplace")</f>
        <v>Online</v>
      </c>
      <c r="P149" t="str">
        <f>TRIM(RawSalesTable[[#This Row],[Store_Raw]])</f>
        <v>Calgary North</v>
      </c>
      <c r="Q149" t="str">
        <f>IF(TRIM(RawSalesTable[[#This Row],[Payment_Method_Raw]])="","Non renseigné",SUBSTITUTE(TRIM(RawSalesTable[[#This Row],[Payment_Method_Raw]]),"CC","Credit Card"))</f>
        <v>Credit Card</v>
      </c>
      <c r="R149" s="8" t="str">
        <f>UPPER(PROPER(RawSalesTable[[#This Row],[Customer_ID]]))</f>
        <v>C0054</v>
      </c>
      <c r="S149" s="8" t="str">
        <f>TRIM(LEFT(RawSalesTable[[#This Row],[Customer_Info]],FIND(",",RawSalesTable[[#This Row],[Customer_Info]]) -1))</f>
        <v>Maya Hall</v>
      </c>
      <c r="T149" s="8" t="str">
        <f>TRIM(MID(RawSalesTable[[#This Row],[Customer_Info]],FIND(",",RawSalesTable[[#This Row],[Customer_Info]])+1,FIND(",",RawSalesTable[[#This Row],[Customer_Info]],FIND(",",RawSalesTable[[#This Row],[Customer_Info]])+1)-FIND(",",RawSalesTable[[#This Row],[Customer_Info]])-1))</f>
        <v>Surrey</v>
      </c>
      <c r="U149" s="8" t="str">
        <f>TRIM(RIGHT(RawSalesTable[[#This Row],[Customer_Info]], LEN(RawSalesTable[[#This Row],[Customer_Info]])-FIND(",",RawSalesTable[[#This Row],[Customer_Info]],FIND(",",RawSalesTable[[#This Row],[Customer_Info]])+1)))</f>
        <v>Small Business</v>
      </c>
      <c r="V149" s="8" t="str">
        <f>VLOOKUP(RawSalesTable[[#This Row],[Product_ID]],ProductsTable[],2,FALSE)</f>
        <v>Mouse</v>
      </c>
      <c r="W149" s="8" t="str">
        <f>VLOOKUP(RawSalesTable[[#This Row],[Product_ID]],ProductsTable[],3,FALSE)</f>
        <v>Electronics</v>
      </c>
      <c r="X149" s="8">
        <f>VLOOKUP(RawSalesTable[[#This Row],[Product_ID]],ProductsTable[],5,FALSE)</f>
        <v>106.4</v>
      </c>
      <c r="Y149" s="8">
        <f>RawSalesTable[[#This Row],[Quantity]]*RawSalesTable[[#This Row],[Unit_Price]]</f>
        <v>626.24</v>
      </c>
      <c r="Z149" s="8">
        <f>RawSalesTable[[#This Row],[Gross_Sales]]*RawSalesTable[[#This Row],[Discount_Pct]]</f>
        <v>125.248</v>
      </c>
      <c r="AA149" s="8">
        <f>RawSalesTable[[#This Row],[Gross_Sales]]-RawSalesTable[[#This Row],[Discount_Amount]]</f>
        <v>500.99200000000002</v>
      </c>
      <c r="AB149" s="8">
        <f>RawSalesTable[[#This Row],[Unit_Cost]]*RawSalesTable[[#This Row],[Quantity]]</f>
        <v>425.6</v>
      </c>
      <c r="AC149" s="8">
        <f>RawSalesTable[[#This Row],[Net_Sales]]-RawSalesTable[[#This Row],[Total_Cost]]</f>
        <v>75.391999999999996</v>
      </c>
      <c r="AD149" s="9">
        <f>RawSalesTable[[#This Row],[Profit]]/RawSalesTable[[#This Row],[Net_Sales]]</f>
        <v>0.15048543689320387</v>
      </c>
      <c r="AE149" s="8">
        <f>IF(RawSalesTable[[#This Row],[Return_Status]]="Yes",1,0)</f>
        <v>0</v>
      </c>
      <c r="AF149" s="8">
        <f>YEAR(RawSalesTable[[#This Row],[Order_Date]])</f>
        <v>2025</v>
      </c>
      <c r="AG149" s="8">
        <f>MONTH(RawSalesTable[[#This Row],[Order_Date]])</f>
        <v>3</v>
      </c>
      <c r="AH149" s="8" t="str">
        <f>TEXT(RawSalesTable[[#This Row],[Order_Date]],"mmmm")</f>
        <v>mars</v>
      </c>
      <c r="AI149" s="8" t="str">
        <f>IF(RawSalesTable[[#This Row],[Month_Number]]&lt;=3,"Q1",IF(RawSalesTable[[#This Row],[Month_Number]]&lt;=6,"Q2",IF(RawSalesTable[[#This Row],[Month_Number]]&lt;=9,"Q3","Q4")))</f>
        <v>Q1</v>
      </c>
      <c r="AJ149" s="13">
        <f>DATE(YEAR(RawSalesTable[[#This Row],[Order_Date]]),MONTH(RawSalesTable[[#This Row],[Order_Date]]),1)</f>
        <v>45717</v>
      </c>
      <c r="AK149" s="8" t="str">
        <f>VLOOKUP(RawSalesTable[[#This Row],[Customer_ID_clean]],CustomersTable[],4,FALSE)</f>
        <v>British Columbia</v>
      </c>
    </row>
    <row r="150" spans="1:37">
      <c r="A150" t="s">
        <v>458</v>
      </c>
      <c r="B150" s="3">
        <v>45783</v>
      </c>
      <c r="C150" t="s">
        <v>216</v>
      </c>
      <c r="D150" t="s">
        <v>190</v>
      </c>
      <c r="E150" t="s">
        <v>218</v>
      </c>
      <c r="F150" t="s">
        <v>111</v>
      </c>
      <c r="G150" t="s">
        <v>104</v>
      </c>
      <c r="H150" t="s">
        <v>105</v>
      </c>
      <c r="I150">
        <v>3</v>
      </c>
      <c r="J150" s="2">
        <v>287.23</v>
      </c>
      <c r="K150" s="4">
        <v>0.05</v>
      </c>
      <c r="L150" t="s">
        <v>90</v>
      </c>
      <c r="M150">
        <v>8</v>
      </c>
      <c r="N150" t="s">
        <v>91</v>
      </c>
      <c r="O150" t="str">
        <f>SUBSTITUTE(PROPER(TRIM(RawSalesTable[[#This Row],[Channel_Raw]])), "Market Place", "Marketplace")</f>
        <v>Marketplace</v>
      </c>
      <c r="P150" t="str">
        <f>TRIM(RawSalesTable[[#This Row],[Store_Raw]])</f>
        <v>Montreal Central</v>
      </c>
      <c r="Q150" t="str">
        <f>IF(TRIM(RawSalesTable[[#This Row],[Payment_Method_Raw]])="","Non renseigné",SUBSTITUTE(TRIM(RawSalesTable[[#This Row],[Payment_Method_Raw]]),"CC","Credit Card"))</f>
        <v>PayPal</v>
      </c>
      <c r="R150" s="8" t="str">
        <f>UPPER(PROPER(RawSalesTable[[#This Row],[Customer_ID]]))</f>
        <v>C0065</v>
      </c>
      <c r="S150" s="8" t="str">
        <f>TRIM(LEFT(RawSalesTable[[#This Row],[Customer_Info]],FIND(",",RawSalesTable[[#This Row],[Customer_Info]]) -1))</f>
        <v>Mia Wilson</v>
      </c>
      <c r="T150" s="8" t="str">
        <f>TRIM(MID(RawSalesTable[[#This Row],[Customer_Info]],FIND(",",RawSalesTable[[#This Row],[Customer_Info]])+1,FIND(",",RawSalesTable[[#This Row],[Customer_Info]],FIND(",",RawSalesTable[[#This Row],[Customer_Info]])+1)-FIND(",",RawSalesTable[[#This Row],[Customer_Info]])-1))</f>
        <v>Quebec City</v>
      </c>
      <c r="U150" s="8" t="str">
        <f>TRIM(RIGHT(RawSalesTable[[#This Row],[Customer_Info]], LEN(RawSalesTable[[#This Row],[Customer_Info]])-FIND(",",RawSalesTable[[#This Row],[Customer_Info]],FIND(",",RawSalesTable[[#This Row],[Customer_Info]])+1)))</f>
        <v>Consumer</v>
      </c>
      <c r="V150" s="8" t="str">
        <f>VLOOKUP(RawSalesTable[[#This Row],[Product_ID]],ProductsTable[],2,FALSE)</f>
        <v>Webcam</v>
      </c>
      <c r="W150" s="8" t="str">
        <f>VLOOKUP(RawSalesTable[[#This Row],[Product_ID]],ProductsTable[],3,FALSE)</f>
        <v>Electronics</v>
      </c>
      <c r="X150" s="8">
        <f>VLOOKUP(RawSalesTable[[#This Row],[Product_ID]],ProductsTable[],5,FALSE)</f>
        <v>154.72999999999999</v>
      </c>
      <c r="Y150" s="8">
        <f>RawSalesTable[[#This Row],[Quantity]]*RawSalesTable[[#This Row],[Unit_Price]]</f>
        <v>861.69</v>
      </c>
      <c r="Z150" s="8">
        <f>RawSalesTable[[#This Row],[Gross_Sales]]*RawSalesTable[[#This Row],[Discount_Pct]]</f>
        <v>43.084500000000006</v>
      </c>
      <c r="AA150" s="8">
        <f>RawSalesTable[[#This Row],[Gross_Sales]]-RawSalesTable[[#This Row],[Discount_Amount]]</f>
        <v>818.60550000000001</v>
      </c>
      <c r="AB150" s="8">
        <f>RawSalesTable[[#This Row],[Unit_Cost]]*RawSalesTable[[#This Row],[Quantity]]</f>
        <v>464.18999999999994</v>
      </c>
      <c r="AC150" s="8">
        <f>RawSalesTable[[#This Row],[Net_Sales]]-RawSalesTable[[#This Row],[Total_Cost]]</f>
        <v>354.41550000000007</v>
      </c>
      <c r="AD150" s="9">
        <f>RawSalesTable[[#This Row],[Profit]]/RawSalesTable[[#This Row],[Net_Sales]]</f>
        <v>0.43295030390096334</v>
      </c>
      <c r="AE150" s="8">
        <f>IF(RawSalesTable[[#This Row],[Return_Status]]="Yes",1,0)</f>
        <v>0</v>
      </c>
      <c r="AF150" s="8">
        <f>YEAR(RawSalesTable[[#This Row],[Order_Date]])</f>
        <v>2025</v>
      </c>
      <c r="AG150" s="8">
        <f>MONTH(RawSalesTable[[#This Row],[Order_Date]])</f>
        <v>5</v>
      </c>
      <c r="AH150" s="8" t="str">
        <f>TEXT(RawSalesTable[[#This Row],[Order_Date]],"mmmm")</f>
        <v>mai</v>
      </c>
      <c r="AI150" s="8" t="str">
        <f>IF(RawSalesTable[[#This Row],[Month_Number]]&lt;=3,"Q1",IF(RawSalesTable[[#This Row],[Month_Number]]&lt;=6,"Q2",IF(RawSalesTable[[#This Row],[Month_Number]]&lt;=9,"Q3","Q4")))</f>
        <v>Q2</v>
      </c>
      <c r="AJ150" s="13">
        <f>DATE(YEAR(RawSalesTable[[#This Row],[Order_Date]]),MONTH(RawSalesTable[[#This Row],[Order_Date]]),1)</f>
        <v>45778</v>
      </c>
      <c r="AK150" s="8" t="str">
        <f>VLOOKUP(RawSalesTable[[#This Row],[Customer_ID_clean]],CustomersTable[],4,FALSE)</f>
        <v>Quebec</v>
      </c>
    </row>
    <row r="151" spans="1:37">
      <c r="A151" t="s">
        <v>459</v>
      </c>
      <c r="B151" s="3">
        <v>45856</v>
      </c>
      <c r="C151" t="s">
        <v>363</v>
      </c>
      <c r="D151" t="s">
        <v>85</v>
      </c>
      <c r="E151" t="s">
        <v>364</v>
      </c>
      <c r="F151" t="s">
        <v>111</v>
      </c>
      <c r="G151" t="s">
        <v>130</v>
      </c>
      <c r="H151" t="s">
        <v>89</v>
      </c>
      <c r="I151">
        <v>4</v>
      </c>
      <c r="J151" s="2">
        <v>299.45</v>
      </c>
      <c r="K151" s="4">
        <v>0</v>
      </c>
      <c r="L151" t="s">
        <v>353</v>
      </c>
      <c r="M151">
        <v>4</v>
      </c>
      <c r="N151" t="s">
        <v>91</v>
      </c>
      <c r="O151" t="str">
        <f>SUBSTITUTE(PROPER(TRIM(RawSalesTable[[#This Row],[Channel_Raw]])), "Market Place", "Marketplace")</f>
        <v>Online</v>
      </c>
      <c r="P151" t="str">
        <f>TRIM(RawSalesTable[[#This Row],[Store_Raw]])</f>
        <v>Montreal Central</v>
      </c>
      <c r="Q151" t="str">
        <f>IF(TRIM(RawSalesTable[[#This Row],[Payment_Method_Raw]])="","Non renseigné",SUBSTITUTE(TRIM(RawSalesTable[[#This Row],[Payment_Method_Raw]]),"CC","Credit Card"))</f>
        <v>Credit Card</v>
      </c>
      <c r="R151" s="8" t="str">
        <f>UPPER(PROPER(RawSalesTable[[#This Row],[Customer_ID]]))</f>
        <v>C0025</v>
      </c>
      <c r="S151" s="8" t="str">
        <f>TRIM(LEFT(RawSalesTable[[#This Row],[Customer_Info]],FIND(",",RawSalesTable[[#This Row],[Customer_Info]]) -1))</f>
        <v>Emma Gagnon</v>
      </c>
      <c r="T151" s="8" t="str">
        <f>TRIM(MID(RawSalesTable[[#This Row],[Customer_Info]],FIND(",",RawSalesTable[[#This Row],[Customer_Info]])+1,FIND(",",RawSalesTable[[#This Row],[Customer_Info]],FIND(",",RawSalesTable[[#This Row],[Customer_Info]])+1)-FIND(",",RawSalesTable[[#This Row],[Customer_Info]])-1))</f>
        <v>Surrey</v>
      </c>
      <c r="U151" s="8" t="str">
        <f>TRIM(RIGHT(RawSalesTable[[#This Row],[Customer_Info]], LEN(RawSalesTable[[#This Row],[Customer_Info]])-FIND(",",RawSalesTable[[#This Row],[Customer_Info]],FIND(",",RawSalesTable[[#This Row],[Customer_Info]])+1)))</f>
        <v>Corporate</v>
      </c>
      <c r="V151" s="8" t="str">
        <f>VLOOKUP(RawSalesTable[[#This Row],[Product_ID]],ProductsTable[],2,FALSE)</f>
        <v>Yoga Mat</v>
      </c>
      <c r="W151" s="8" t="str">
        <f>VLOOKUP(RawSalesTable[[#This Row],[Product_ID]],ProductsTable[],3,FALSE)</f>
        <v>Fitness</v>
      </c>
      <c r="X151" s="8">
        <f>VLOOKUP(RawSalesTable[[#This Row],[Product_ID]],ProductsTable[],5,FALSE)</f>
        <v>197.33</v>
      </c>
      <c r="Y151" s="8">
        <f>RawSalesTable[[#This Row],[Quantity]]*RawSalesTable[[#This Row],[Unit_Price]]</f>
        <v>1197.8</v>
      </c>
      <c r="Z151" s="8">
        <f>RawSalesTable[[#This Row],[Gross_Sales]]*RawSalesTable[[#This Row],[Discount_Pct]]</f>
        <v>0</v>
      </c>
      <c r="AA151" s="8">
        <f>RawSalesTable[[#This Row],[Gross_Sales]]-RawSalesTable[[#This Row],[Discount_Amount]]</f>
        <v>1197.8</v>
      </c>
      <c r="AB151" s="8">
        <f>RawSalesTable[[#This Row],[Unit_Cost]]*RawSalesTable[[#This Row],[Quantity]]</f>
        <v>789.32</v>
      </c>
      <c r="AC151" s="8">
        <f>RawSalesTable[[#This Row],[Net_Sales]]-RawSalesTable[[#This Row],[Total_Cost]]</f>
        <v>408.4799999999999</v>
      </c>
      <c r="AD151" s="9">
        <f>RawSalesTable[[#This Row],[Profit]]/RawSalesTable[[#This Row],[Net_Sales]]</f>
        <v>0.3410252128902988</v>
      </c>
      <c r="AE151" s="8">
        <f>IF(RawSalesTable[[#This Row],[Return_Status]]="Yes",1,0)</f>
        <v>0</v>
      </c>
      <c r="AF151" s="8">
        <f>YEAR(RawSalesTable[[#This Row],[Order_Date]])</f>
        <v>2025</v>
      </c>
      <c r="AG151" s="8">
        <f>MONTH(RawSalesTable[[#This Row],[Order_Date]])</f>
        <v>7</v>
      </c>
      <c r="AH151" s="8" t="str">
        <f>TEXT(RawSalesTable[[#This Row],[Order_Date]],"mmmm")</f>
        <v>juillet</v>
      </c>
      <c r="AI151" s="8" t="str">
        <f>IF(RawSalesTable[[#This Row],[Month_Number]]&lt;=3,"Q1",IF(RawSalesTable[[#This Row],[Month_Number]]&lt;=6,"Q2",IF(RawSalesTable[[#This Row],[Month_Number]]&lt;=9,"Q3","Q4")))</f>
        <v>Q3</v>
      </c>
      <c r="AJ151" s="13">
        <f>DATE(YEAR(RawSalesTable[[#This Row],[Order_Date]]),MONTH(RawSalesTable[[#This Row],[Order_Date]]),1)</f>
        <v>45839</v>
      </c>
      <c r="AK151" s="8" t="str">
        <f>VLOOKUP(RawSalesTable[[#This Row],[Customer_ID_clean]],CustomersTable[],4,FALSE)</f>
        <v>British Columbia</v>
      </c>
    </row>
    <row r="152" spans="1:37">
      <c r="A152" t="s">
        <v>460</v>
      </c>
      <c r="B152" s="3">
        <v>45661</v>
      </c>
      <c r="C152" t="s">
        <v>293</v>
      </c>
      <c r="D152" t="s">
        <v>303</v>
      </c>
      <c r="E152" t="s">
        <v>394</v>
      </c>
      <c r="F152" t="s">
        <v>87</v>
      </c>
      <c r="G152" t="s">
        <v>183</v>
      </c>
      <c r="H152" t="s">
        <v>89</v>
      </c>
      <c r="I152">
        <v>2</v>
      </c>
      <c r="J152" s="2">
        <v>158.65</v>
      </c>
      <c r="K152" s="4">
        <v>0</v>
      </c>
      <c r="L152" t="s">
        <v>98</v>
      </c>
      <c r="M152">
        <v>9</v>
      </c>
      <c r="N152" t="s">
        <v>91</v>
      </c>
      <c r="O152" t="str">
        <f>SUBSTITUTE(PROPER(TRIM(RawSalesTable[[#This Row],[Channel_Raw]])), "Market Place", "Marketplace")</f>
        <v>Online</v>
      </c>
      <c r="P152" t="str">
        <f>TRIM(RawSalesTable[[#This Row],[Store_Raw]])</f>
        <v>Online Fulfillment</v>
      </c>
      <c r="Q152" t="str">
        <f>IF(TRIM(RawSalesTable[[#This Row],[Payment_Method_Raw]])="","Non renseigné",SUBSTITUTE(TRIM(RawSalesTable[[#This Row],[Payment_Method_Raw]]),"CC","Credit Card"))</f>
        <v>Debit Card</v>
      </c>
      <c r="R152" s="8" t="str">
        <f>UPPER(PROPER(RawSalesTable[[#This Row],[Customer_ID]]))</f>
        <v>C0007</v>
      </c>
      <c r="S152" s="8" t="str">
        <f>TRIM(LEFT(RawSalesTable[[#This Row],[Customer_Info]],FIND(",",RawSalesTable[[#This Row],[Customer_Info]]) -1))</f>
        <v>Lucas Wilson</v>
      </c>
      <c r="T152" s="8" t="str">
        <f>TRIM(MID(RawSalesTable[[#This Row],[Customer_Info]],FIND(",",RawSalesTable[[#This Row],[Customer_Info]])+1,FIND(",",RawSalesTable[[#This Row],[Customer_Info]],FIND(",",RawSalesTable[[#This Row],[Customer_Info]])+1)-FIND(",",RawSalesTable[[#This Row],[Customer_Info]])-1))</f>
        <v>Ottawa</v>
      </c>
      <c r="U152" s="8" t="str">
        <f>TRIM(RIGHT(RawSalesTable[[#This Row],[Customer_Info]], LEN(RawSalesTable[[#This Row],[Customer_Info]])-FIND(",",RawSalesTable[[#This Row],[Customer_Info]],FIND(",",RawSalesTable[[#This Row],[Customer_Info]])+1)))</f>
        <v>Consumer</v>
      </c>
      <c r="V152" s="8" t="str">
        <f>VLOOKUP(RawSalesTable[[#This Row],[Product_ID]],ProductsTable[],2,FALSE)</f>
        <v>Power Bank</v>
      </c>
      <c r="W152" s="8" t="str">
        <f>VLOOKUP(RawSalesTable[[#This Row],[Product_ID]],ProductsTable[],3,FALSE)</f>
        <v>Accessories</v>
      </c>
      <c r="X152" s="8">
        <f>VLOOKUP(RawSalesTable[[#This Row],[Product_ID]],ProductsTable[],5,FALSE)</f>
        <v>76.97</v>
      </c>
      <c r="Y152" s="8">
        <f>RawSalesTable[[#This Row],[Quantity]]*RawSalesTable[[#This Row],[Unit_Price]]</f>
        <v>317.3</v>
      </c>
      <c r="Z152" s="8">
        <f>RawSalesTable[[#This Row],[Gross_Sales]]*RawSalesTable[[#This Row],[Discount_Pct]]</f>
        <v>0</v>
      </c>
      <c r="AA152" s="8">
        <f>RawSalesTable[[#This Row],[Gross_Sales]]-RawSalesTable[[#This Row],[Discount_Amount]]</f>
        <v>317.3</v>
      </c>
      <c r="AB152" s="8">
        <f>RawSalesTable[[#This Row],[Unit_Cost]]*RawSalesTable[[#This Row],[Quantity]]</f>
        <v>153.94</v>
      </c>
      <c r="AC152" s="8">
        <f>RawSalesTable[[#This Row],[Net_Sales]]-RawSalesTable[[#This Row],[Total_Cost]]</f>
        <v>163.36000000000001</v>
      </c>
      <c r="AD152" s="9">
        <f>RawSalesTable[[#This Row],[Profit]]/RawSalesTable[[#This Row],[Net_Sales]]</f>
        <v>0.51484399621809018</v>
      </c>
      <c r="AE152" s="8">
        <f>IF(RawSalesTable[[#This Row],[Return_Status]]="Yes",1,0)</f>
        <v>0</v>
      </c>
      <c r="AF152" s="8">
        <f>YEAR(RawSalesTable[[#This Row],[Order_Date]])</f>
        <v>2025</v>
      </c>
      <c r="AG152" s="8">
        <f>MONTH(RawSalesTable[[#This Row],[Order_Date]])</f>
        <v>1</v>
      </c>
      <c r="AH152" s="8" t="str">
        <f>TEXT(RawSalesTable[[#This Row],[Order_Date]],"mmmm")</f>
        <v>janvier</v>
      </c>
      <c r="AI152" s="8" t="str">
        <f>IF(RawSalesTable[[#This Row],[Month_Number]]&lt;=3,"Q1",IF(RawSalesTable[[#This Row],[Month_Number]]&lt;=6,"Q2",IF(RawSalesTable[[#This Row],[Month_Number]]&lt;=9,"Q3","Q4")))</f>
        <v>Q1</v>
      </c>
      <c r="AJ152" s="13">
        <f>DATE(YEAR(RawSalesTable[[#This Row],[Order_Date]]),MONTH(RawSalesTable[[#This Row],[Order_Date]]),1)</f>
        <v>45658</v>
      </c>
      <c r="AK152" s="8" t="str">
        <f>VLOOKUP(RawSalesTable[[#This Row],[Customer_ID_clean]],CustomersTable[],4,FALSE)</f>
        <v>Ontario</v>
      </c>
    </row>
    <row r="153" spans="1:37">
      <c r="A153" t="s">
        <v>461</v>
      </c>
      <c r="B153" s="3">
        <v>45981</v>
      </c>
      <c r="C153" t="s">
        <v>313</v>
      </c>
      <c r="D153" t="s">
        <v>114</v>
      </c>
      <c r="E153" t="s">
        <v>314</v>
      </c>
      <c r="F153" t="s">
        <v>87</v>
      </c>
      <c r="G153" t="s">
        <v>88</v>
      </c>
      <c r="H153" t="s">
        <v>89</v>
      </c>
      <c r="I153">
        <v>1</v>
      </c>
      <c r="J153" s="2">
        <v>150.18</v>
      </c>
      <c r="K153" s="4">
        <v>0</v>
      </c>
      <c r="L153" t="s">
        <v>98</v>
      </c>
      <c r="M153">
        <v>8</v>
      </c>
      <c r="N153" t="s">
        <v>91</v>
      </c>
      <c r="O153" t="str">
        <f>SUBSTITUTE(PROPER(TRIM(RawSalesTable[[#This Row],[Channel_Raw]])), "Market Place", "Marketplace")</f>
        <v>Online</v>
      </c>
      <c r="P153" t="str">
        <f>TRIM(RawSalesTable[[#This Row],[Store_Raw]])</f>
        <v>Online Fulfillment</v>
      </c>
      <c r="Q153" t="str">
        <f>IF(TRIM(RawSalesTable[[#This Row],[Payment_Method_Raw]])="","Non renseigné",SUBSTITUTE(TRIM(RawSalesTable[[#This Row],[Payment_Method_Raw]]),"CC","Credit Card"))</f>
        <v>Debit Card</v>
      </c>
      <c r="R153" s="8" t="str">
        <f>UPPER(PROPER(RawSalesTable[[#This Row],[Customer_ID]]))</f>
        <v>C0080</v>
      </c>
      <c r="S153" s="8" t="str">
        <f>TRIM(LEFT(RawSalesTable[[#This Row],[Customer_Info]],FIND(",",RawSalesTable[[#This Row],[Customer_Info]]) -1))</f>
        <v>Sarah Smith</v>
      </c>
      <c r="T153" s="8" t="str">
        <f>TRIM(MID(RawSalesTable[[#This Row],[Customer_Info]],FIND(",",RawSalesTable[[#This Row],[Customer_Info]])+1,FIND(",",RawSalesTable[[#This Row],[Customer_Info]],FIND(",",RawSalesTable[[#This Row],[Customer_Info]])+1)-FIND(",",RawSalesTable[[#This Row],[Customer_Info]])-1))</f>
        <v>Mississauga</v>
      </c>
      <c r="U153" s="8" t="str">
        <f>TRIM(RIGHT(RawSalesTable[[#This Row],[Customer_Info]], LEN(RawSalesTable[[#This Row],[Customer_Info]])-FIND(",",RawSalesTable[[#This Row],[Customer_Info]],FIND(",",RawSalesTable[[#This Row],[Customer_Info]])+1)))</f>
        <v>Corporate</v>
      </c>
      <c r="V153" s="8" t="str">
        <f>VLOOKUP(RawSalesTable[[#This Row],[Product_ID]],ProductsTable[],2,FALSE)</f>
        <v>Laptop Sleeve</v>
      </c>
      <c r="W153" s="8" t="str">
        <f>VLOOKUP(RawSalesTable[[#This Row],[Product_ID]],ProductsTable[],3,FALSE)</f>
        <v>Accessories</v>
      </c>
      <c r="X153" s="8">
        <f>VLOOKUP(RawSalesTable[[#This Row],[Product_ID]],ProductsTable[],5,FALSE)</f>
        <v>78.95</v>
      </c>
      <c r="Y153" s="8">
        <f>RawSalesTable[[#This Row],[Quantity]]*RawSalesTable[[#This Row],[Unit_Price]]</f>
        <v>150.18</v>
      </c>
      <c r="Z153" s="8">
        <f>RawSalesTable[[#This Row],[Gross_Sales]]*RawSalesTable[[#This Row],[Discount_Pct]]</f>
        <v>0</v>
      </c>
      <c r="AA153" s="8">
        <f>RawSalesTable[[#This Row],[Gross_Sales]]-RawSalesTable[[#This Row],[Discount_Amount]]</f>
        <v>150.18</v>
      </c>
      <c r="AB153" s="8">
        <f>RawSalesTable[[#This Row],[Unit_Cost]]*RawSalesTable[[#This Row],[Quantity]]</f>
        <v>78.95</v>
      </c>
      <c r="AC153" s="8">
        <f>RawSalesTable[[#This Row],[Net_Sales]]-RawSalesTable[[#This Row],[Total_Cost]]</f>
        <v>71.23</v>
      </c>
      <c r="AD153" s="9">
        <f>RawSalesTable[[#This Row],[Profit]]/RawSalesTable[[#This Row],[Net_Sales]]</f>
        <v>0.47429750965508055</v>
      </c>
      <c r="AE153" s="8">
        <f>IF(RawSalesTable[[#This Row],[Return_Status]]="Yes",1,0)</f>
        <v>0</v>
      </c>
      <c r="AF153" s="8">
        <f>YEAR(RawSalesTable[[#This Row],[Order_Date]])</f>
        <v>2025</v>
      </c>
      <c r="AG153" s="8">
        <f>MONTH(RawSalesTable[[#This Row],[Order_Date]])</f>
        <v>11</v>
      </c>
      <c r="AH153" s="8" t="str">
        <f>TEXT(RawSalesTable[[#This Row],[Order_Date]],"mmmm")</f>
        <v>novembre</v>
      </c>
      <c r="AI153" s="8" t="str">
        <f>IF(RawSalesTable[[#This Row],[Month_Number]]&lt;=3,"Q1",IF(RawSalesTable[[#This Row],[Month_Number]]&lt;=6,"Q2",IF(RawSalesTable[[#This Row],[Month_Number]]&lt;=9,"Q3","Q4")))</f>
        <v>Q4</v>
      </c>
      <c r="AJ153" s="13">
        <f>DATE(YEAR(RawSalesTable[[#This Row],[Order_Date]]),MONTH(RawSalesTable[[#This Row],[Order_Date]]),1)</f>
        <v>45962</v>
      </c>
      <c r="AK153" s="8" t="str">
        <f>VLOOKUP(RawSalesTable[[#This Row],[Customer_ID_clean]],CustomersTable[],4,FALSE)</f>
        <v>Ontario</v>
      </c>
    </row>
    <row r="154" spans="1:37">
      <c r="A154" t="s">
        <v>462</v>
      </c>
      <c r="B154" s="3">
        <v>45852</v>
      </c>
      <c r="C154" t="s">
        <v>463</v>
      </c>
      <c r="D154" t="s">
        <v>181</v>
      </c>
      <c r="E154" t="s">
        <v>464</v>
      </c>
      <c r="F154" t="s">
        <v>87</v>
      </c>
      <c r="G154" t="s">
        <v>96</v>
      </c>
      <c r="H154" t="s">
        <v>89</v>
      </c>
      <c r="I154">
        <v>2</v>
      </c>
      <c r="J154" s="2">
        <v>335.37</v>
      </c>
      <c r="K154" s="4">
        <v>0</v>
      </c>
      <c r="L154" t="s">
        <v>90</v>
      </c>
      <c r="M154">
        <v>2</v>
      </c>
      <c r="N154" t="s">
        <v>91</v>
      </c>
      <c r="O154" t="str">
        <f>SUBSTITUTE(PROPER(TRIM(RawSalesTable[[#This Row],[Channel_Raw]])), "Market Place", "Marketplace")</f>
        <v>Online</v>
      </c>
      <c r="P154" t="str">
        <f>TRIM(RawSalesTable[[#This Row],[Store_Raw]])</f>
        <v>Online Fulfillment</v>
      </c>
      <c r="Q154" t="str">
        <f>IF(TRIM(RawSalesTable[[#This Row],[Payment_Method_Raw]])="","Non renseigné",SUBSTITUTE(TRIM(RawSalesTable[[#This Row],[Payment_Method_Raw]]),"CC","Credit Card"))</f>
        <v>PayPal</v>
      </c>
      <c r="R154" s="8" t="str">
        <f>UPPER(PROPER(RawSalesTable[[#This Row],[Customer_ID]]))</f>
        <v>C0030</v>
      </c>
      <c r="S154" s="8" t="str">
        <f>TRIM(LEFT(RawSalesTable[[#This Row],[Customer_Info]],FIND(",",RawSalesTable[[#This Row],[Customer_Info]]) -1))</f>
        <v>Emma Lee</v>
      </c>
      <c r="T154" s="8" t="str">
        <f>TRIM(MID(RawSalesTable[[#This Row],[Customer_Info]],FIND(",",RawSalesTable[[#This Row],[Customer_Info]])+1,FIND(",",RawSalesTable[[#This Row],[Customer_Info]],FIND(",",RawSalesTable[[#This Row],[Customer_Info]])+1)-FIND(",",RawSalesTable[[#This Row],[Customer_Info]])-1))</f>
        <v>Calgary</v>
      </c>
      <c r="U154" s="8" t="str">
        <f>TRIM(RIGHT(RawSalesTable[[#This Row],[Customer_Info]], LEN(RawSalesTable[[#This Row],[Customer_Info]])-FIND(",",RawSalesTable[[#This Row],[Customer_Info]],FIND(",",RawSalesTable[[#This Row],[Customer_Info]])+1)))</f>
        <v>Corporate</v>
      </c>
      <c r="V154" s="8" t="str">
        <f>VLOOKUP(RawSalesTable[[#This Row],[Product_ID]],ProductsTable[],2,FALSE)</f>
        <v>Monitor</v>
      </c>
      <c r="W154" s="8" t="str">
        <f>VLOOKUP(RawSalesTable[[#This Row],[Product_ID]],ProductsTable[],3,FALSE)</f>
        <v>Electronics</v>
      </c>
      <c r="X154" s="8">
        <f>VLOOKUP(RawSalesTable[[#This Row],[Product_ID]],ProductsTable[],5,FALSE)</f>
        <v>224.47</v>
      </c>
      <c r="Y154" s="8">
        <f>RawSalesTable[[#This Row],[Quantity]]*RawSalesTable[[#This Row],[Unit_Price]]</f>
        <v>670.74</v>
      </c>
      <c r="Z154" s="8">
        <f>RawSalesTable[[#This Row],[Gross_Sales]]*RawSalesTable[[#This Row],[Discount_Pct]]</f>
        <v>0</v>
      </c>
      <c r="AA154" s="8">
        <f>RawSalesTable[[#This Row],[Gross_Sales]]-RawSalesTable[[#This Row],[Discount_Amount]]</f>
        <v>670.74</v>
      </c>
      <c r="AB154" s="8">
        <f>RawSalesTable[[#This Row],[Unit_Cost]]*RawSalesTable[[#This Row],[Quantity]]</f>
        <v>448.94</v>
      </c>
      <c r="AC154" s="8">
        <f>RawSalesTable[[#This Row],[Net_Sales]]-RawSalesTable[[#This Row],[Total_Cost]]</f>
        <v>221.8</v>
      </c>
      <c r="AD154" s="9">
        <f>RawSalesTable[[#This Row],[Profit]]/RawSalesTable[[#This Row],[Net_Sales]]</f>
        <v>0.33067954796195248</v>
      </c>
      <c r="AE154" s="8">
        <f>IF(RawSalesTable[[#This Row],[Return_Status]]="Yes",1,0)</f>
        <v>0</v>
      </c>
      <c r="AF154" s="8">
        <f>YEAR(RawSalesTable[[#This Row],[Order_Date]])</f>
        <v>2025</v>
      </c>
      <c r="AG154" s="8">
        <f>MONTH(RawSalesTable[[#This Row],[Order_Date]])</f>
        <v>7</v>
      </c>
      <c r="AH154" s="8" t="str">
        <f>TEXT(RawSalesTable[[#This Row],[Order_Date]],"mmmm")</f>
        <v>juillet</v>
      </c>
      <c r="AI154" s="8" t="str">
        <f>IF(RawSalesTable[[#This Row],[Month_Number]]&lt;=3,"Q1",IF(RawSalesTable[[#This Row],[Month_Number]]&lt;=6,"Q2",IF(RawSalesTable[[#This Row],[Month_Number]]&lt;=9,"Q3","Q4")))</f>
        <v>Q3</v>
      </c>
      <c r="AJ154" s="13">
        <f>DATE(YEAR(RawSalesTable[[#This Row],[Order_Date]]),MONTH(RawSalesTable[[#This Row],[Order_Date]]),1)</f>
        <v>45839</v>
      </c>
      <c r="AK154" s="8" t="str">
        <f>VLOOKUP(RawSalesTable[[#This Row],[Customer_ID_clean]],CustomersTable[],4,FALSE)</f>
        <v>Alberta</v>
      </c>
    </row>
    <row r="155" spans="1:37">
      <c r="A155" t="s">
        <v>465</v>
      </c>
      <c r="B155" s="3">
        <v>46021</v>
      </c>
      <c r="C155" t="s">
        <v>466</v>
      </c>
      <c r="D155" t="s">
        <v>303</v>
      </c>
      <c r="E155" t="s">
        <v>467</v>
      </c>
      <c r="F155" t="s">
        <v>111</v>
      </c>
      <c r="G155" t="s">
        <v>88</v>
      </c>
      <c r="H155" t="s">
        <v>89</v>
      </c>
      <c r="I155">
        <v>2</v>
      </c>
      <c r="J155" s="2">
        <v>157.43</v>
      </c>
      <c r="K155" s="4">
        <v>0</v>
      </c>
      <c r="L155" t="s">
        <v>90</v>
      </c>
      <c r="M155">
        <v>4</v>
      </c>
      <c r="N155" t="s">
        <v>91</v>
      </c>
      <c r="O155" t="str">
        <f>SUBSTITUTE(PROPER(TRIM(RawSalesTable[[#This Row],[Channel_Raw]])), "Market Place", "Marketplace")</f>
        <v>Online</v>
      </c>
      <c r="P155" t="str">
        <f>TRIM(RawSalesTable[[#This Row],[Store_Raw]])</f>
        <v>Montreal Central</v>
      </c>
      <c r="Q155" t="str">
        <f>IF(TRIM(RawSalesTable[[#This Row],[Payment_Method_Raw]])="","Non renseigné",SUBSTITUTE(TRIM(RawSalesTable[[#This Row],[Payment_Method_Raw]]),"CC","Credit Card"))</f>
        <v>PayPal</v>
      </c>
      <c r="R155" s="8" t="str">
        <f>UPPER(PROPER(RawSalesTable[[#This Row],[Customer_ID]]))</f>
        <v>C0096</v>
      </c>
      <c r="S155" s="8" t="str">
        <f>TRIM(LEFT(RawSalesTable[[#This Row],[Customer_Info]],FIND(",",RawSalesTable[[#This Row],[Customer_Info]]) -1))</f>
        <v>Ryan Roy</v>
      </c>
      <c r="T155" s="8" t="str">
        <f>TRIM(MID(RawSalesTable[[#This Row],[Customer_Info]],FIND(",",RawSalesTable[[#This Row],[Customer_Info]])+1,FIND(",",RawSalesTable[[#This Row],[Customer_Info]],FIND(",",RawSalesTable[[#This Row],[Customer_Info]])+1)-FIND(",",RawSalesTable[[#This Row],[Customer_Info]])-1))</f>
        <v>Laval</v>
      </c>
      <c r="U155" s="8" t="str">
        <f>TRIM(RIGHT(RawSalesTable[[#This Row],[Customer_Info]], LEN(RawSalesTable[[#This Row],[Customer_Info]])-FIND(",",RawSalesTable[[#This Row],[Customer_Info]],FIND(",",RawSalesTable[[#This Row],[Customer_Info]])+1)))</f>
        <v>Corporate</v>
      </c>
      <c r="V155" s="8" t="str">
        <f>VLOOKUP(RawSalesTable[[#This Row],[Product_ID]],ProductsTable[],2,FALSE)</f>
        <v>Power Bank</v>
      </c>
      <c r="W155" s="8" t="str">
        <f>VLOOKUP(RawSalesTable[[#This Row],[Product_ID]],ProductsTable[],3,FALSE)</f>
        <v>Accessories</v>
      </c>
      <c r="X155" s="8">
        <f>VLOOKUP(RawSalesTable[[#This Row],[Product_ID]],ProductsTable[],5,FALSE)</f>
        <v>76.97</v>
      </c>
      <c r="Y155" s="8">
        <f>RawSalesTable[[#This Row],[Quantity]]*RawSalesTable[[#This Row],[Unit_Price]]</f>
        <v>314.86</v>
      </c>
      <c r="Z155" s="8">
        <f>RawSalesTable[[#This Row],[Gross_Sales]]*RawSalesTable[[#This Row],[Discount_Pct]]</f>
        <v>0</v>
      </c>
      <c r="AA155" s="8">
        <f>RawSalesTable[[#This Row],[Gross_Sales]]-RawSalesTable[[#This Row],[Discount_Amount]]</f>
        <v>314.86</v>
      </c>
      <c r="AB155" s="8">
        <f>RawSalesTable[[#This Row],[Unit_Cost]]*RawSalesTable[[#This Row],[Quantity]]</f>
        <v>153.94</v>
      </c>
      <c r="AC155" s="8">
        <f>RawSalesTable[[#This Row],[Net_Sales]]-RawSalesTable[[#This Row],[Total_Cost]]</f>
        <v>160.92000000000002</v>
      </c>
      <c r="AD155" s="9">
        <f>RawSalesTable[[#This Row],[Profit]]/RawSalesTable[[#This Row],[Net_Sales]]</f>
        <v>0.51108429143111223</v>
      </c>
      <c r="AE155" s="8">
        <f>IF(RawSalesTable[[#This Row],[Return_Status]]="Yes",1,0)</f>
        <v>0</v>
      </c>
      <c r="AF155" s="8">
        <f>YEAR(RawSalesTable[[#This Row],[Order_Date]])</f>
        <v>2025</v>
      </c>
      <c r="AG155" s="8">
        <f>MONTH(RawSalesTable[[#This Row],[Order_Date]])</f>
        <v>12</v>
      </c>
      <c r="AH155" s="8" t="str">
        <f>TEXT(RawSalesTable[[#This Row],[Order_Date]],"mmmm")</f>
        <v>décembre</v>
      </c>
      <c r="AI155" s="8" t="str">
        <f>IF(RawSalesTable[[#This Row],[Month_Number]]&lt;=3,"Q1",IF(RawSalesTable[[#This Row],[Month_Number]]&lt;=6,"Q2",IF(RawSalesTable[[#This Row],[Month_Number]]&lt;=9,"Q3","Q4")))</f>
        <v>Q4</v>
      </c>
      <c r="AJ155" s="13">
        <f>DATE(YEAR(RawSalesTable[[#This Row],[Order_Date]]),MONTH(RawSalesTable[[#This Row],[Order_Date]]),1)</f>
        <v>45992</v>
      </c>
      <c r="AK155" s="8" t="str">
        <f>VLOOKUP(RawSalesTable[[#This Row],[Customer_ID_clean]],CustomersTable[],4,FALSE)</f>
        <v>Quebec</v>
      </c>
    </row>
    <row r="156" spans="1:37">
      <c r="A156" t="s">
        <v>468</v>
      </c>
      <c r="B156" s="3">
        <v>45714</v>
      </c>
      <c r="C156" t="s">
        <v>322</v>
      </c>
      <c r="D156" t="s">
        <v>469</v>
      </c>
      <c r="E156" t="s">
        <v>470</v>
      </c>
      <c r="F156" t="s">
        <v>145</v>
      </c>
      <c r="G156" t="s">
        <v>171</v>
      </c>
      <c r="H156" t="s">
        <v>89</v>
      </c>
      <c r="I156">
        <v>1</v>
      </c>
      <c r="J156" s="2">
        <v>90.42</v>
      </c>
      <c r="K156" s="4">
        <v>0.05</v>
      </c>
      <c r="L156" t="s">
        <v>106</v>
      </c>
      <c r="M156">
        <v>1</v>
      </c>
      <c r="N156" t="s">
        <v>91</v>
      </c>
      <c r="O156" t="str">
        <f>SUBSTITUTE(PROPER(TRIM(RawSalesTable[[#This Row],[Channel_Raw]])), "Market Place", "Marketplace")</f>
        <v>Online</v>
      </c>
      <c r="P156" t="str">
        <f>TRIM(RawSalesTable[[#This Row],[Store_Raw]])</f>
        <v>Calgary North</v>
      </c>
      <c r="Q156" t="str">
        <f>IF(TRIM(RawSalesTable[[#This Row],[Payment_Method_Raw]])="","Non renseigné",SUBSTITUTE(TRIM(RawSalesTable[[#This Row],[Payment_Method_Raw]]),"CC","Credit Card"))</f>
        <v>Credit Card</v>
      </c>
      <c r="R156" s="8" t="str">
        <f>UPPER(PROPER(RawSalesTable[[#This Row],[Customer_ID]]))</f>
        <v>C0119</v>
      </c>
      <c r="S156" s="8" t="str">
        <f>TRIM(LEFT(RawSalesTable[[#This Row],[Customer_Info]],FIND(",",RawSalesTable[[#This Row],[Customer_Info]]) -1))</f>
        <v>Liam Chen</v>
      </c>
      <c r="T156" s="8" t="str">
        <f>TRIM(MID(RawSalesTable[[#This Row],[Customer_Info]],FIND(",",RawSalesTable[[#This Row],[Customer_Info]])+1,FIND(",",RawSalesTable[[#This Row],[Customer_Info]],FIND(",",RawSalesTable[[#This Row],[Customer_Info]])+1)-FIND(",",RawSalesTable[[#This Row],[Customer_Info]])-1))</f>
        <v>Winnipeg</v>
      </c>
      <c r="U156" s="8" t="str">
        <f>TRIM(RIGHT(RawSalesTable[[#This Row],[Customer_Info]], LEN(RawSalesTable[[#This Row],[Customer_Info]])-FIND(",",RawSalesTable[[#This Row],[Customer_Info]],FIND(",",RawSalesTable[[#This Row],[Customer_Info]])+1)))</f>
        <v>Consumer</v>
      </c>
      <c r="V156" s="8" t="str">
        <f>VLOOKUP(RawSalesTable[[#This Row],[Product_ID]],ProductsTable[],2,FALSE)</f>
        <v>Phone Stand</v>
      </c>
      <c r="W156" s="8" t="str">
        <f>VLOOKUP(RawSalesTable[[#This Row],[Product_ID]],ProductsTable[],3,FALSE)</f>
        <v>Accessories</v>
      </c>
      <c r="X156" s="8">
        <f>VLOOKUP(RawSalesTable[[#This Row],[Product_ID]],ProductsTable[],5,FALSE)</f>
        <v>59.85</v>
      </c>
      <c r="Y156" s="8">
        <f>RawSalesTable[[#This Row],[Quantity]]*RawSalesTable[[#This Row],[Unit_Price]]</f>
        <v>90.42</v>
      </c>
      <c r="Z156" s="8">
        <f>RawSalesTable[[#This Row],[Gross_Sales]]*RawSalesTable[[#This Row],[Discount_Pct]]</f>
        <v>4.5209999999999999</v>
      </c>
      <c r="AA156" s="8">
        <f>RawSalesTable[[#This Row],[Gross_Sales]]-RawSalesTable[[#This Row],[Discount_Amount]]</f>
        <v>85.899000000000001</v>
      </c>
      <c r="AB156" s="8">
        <f>RawSalesTable[[#This Row],[Unit_Cost]]*RawSalesTable[[#This Row],[Quantity]]</f>
        <v>59.85</v>
      </c>
      <c r="AC156" s="8">
        <f>RawSalesTable[[#This Row],[Net_Sales]]-RawSalesTable[[#This Row],[Total_Cost]]</f>
        <v>26.048999999999999</v>
      </c>
      <c r="AD156" s="9">
        <f>RawSalesTable[[#This Row],[Profit]]/RawSalesTable[[#This Row],[Net_Sales]]</f>
        <v>0.30325149303251492</v>
      </c>
      <c r="AE156" s="8">
        <f>IF(RawSalesTable[[#This Row],[Return_Status]]="Yes",1,0)</f>
        <v>0</v>
      </c>
      <c r="AF156" s="8">
        <f>YEAR(RawSalesTable[[#This Row],[Order_Date]])</f>
        <v>2025</v>
      </c>
      <c r="AG156" s="8">
        <f>MONTH(RawSalesTable[[#This Row],[Order_Date]])</f>
        <v>2</v>
      </c>
      <c r="AH156" s="8" t="str">
        <f>TEXT(RawSalesTable[[#This Row],[Order_Date]],"mmmm")</f>
        <v>février</v>
      </c>
      <c r="AI156" s="8" t="str">
        <f>IF(RawSalesTable[[#This Row],[Month_Number]]&lt;=3,"Q1",IF(RawSalesTable[[#This Row],[Month_Number]]&lt;=6,"Q2",IF(RawSalesTable[[#This Row],[Month_Number]]&lt;=9,"Q3","Q4")))</f>
        <v>Q1</v>
      </c>
      <c r="AJ156" s="13">
        <f>DATE(YEAR(RawSalesTable[[#This Row],[Order_Date]]),MONTH(RawSalesTable[[#This Row],[Order_Date]]),1)</f>
        <v>45689</v>
      </c>
      <c r="AK156" s="8" t="str">
        <f>VLOOKUP(RawSalesTable[[#This Row],[Customer_ID_clean]],CustomersTable[],4,FALSE)</f>
        <v>Manitoba</v>
      </c>
    </row>
    <row r="157" spans="1:37">
      <c r="A157" t="s">
        <v>471</v>
      </c>
      <c r="B157" s="3">
        <v>45824</v>
      </c>
      <c r="C157" t="s">
        <v>472</v>
      </c>
      <c r="D157" t="s">
        <v>261</v>
      </c>
      <c r="E157" t="s">
        <v>473</v>
      </c>
      <c r="F157" t="s">
        <v>111</v>
      </c>
      <c r="G157" t="s">
        <v>96</v>
      </c>
      <c r="H157" t="s">
        <v>89</v>
      </c>
      <c r="I157">
        <v>1</v>
      </c>
      <c r="J157" s="2">
        <v>237.95</v>
      </c>
      <c r="K157" s="4">
        <v>0.1</v>
      </c>
      <c r="L157" t="s">
        <v>106</v>
      </c>
      <c r="M157">
        <v>4</v>
      </c>
      <c r="N157" t="s">
        <v>91</v>
      </c>
      <c r="O157" t="str">
        <f>SUBSTITUTE(PROPER(TRIM(RawSalesTable[[#This Row],[Channel_Raw]])), "Market Place", "Marketplace")</f>
        <v>Online</v>
      </c>
      <c r="P157" t="str">
        <f>TRIM(RawSalesTable[[#This Row],[Store_Raw]])</f>
        <v>Montreal Central</v>
      </c>
      <c r="Q157" t="str">
        <f>IF(TRIM(RawSalesTable[[#This Row],[Payment_Method_Raw]])="","Non renseigné",SUBSTITUTE(TRIM(RawSalesTable[[#This Row],[Payment_Method_Raw]]),"CC","Credit Card"))</f>
        <v>Credit Card</v>
      </c>
      <c r="R157" s="8" t="str">
        <f>UPPER(PROPER(RawSalesTable[[#This Row],[Customer_ID]]))</f>
        <v>C0018</v>
      </c>
      <c r="S157" s="8" t="str">
        <f>TRIM(LEFT(RawSalesTable[[#This Row],[Customer_Info]],FIND(",",RawSalesTable[[#This Row],[Customer_Info]]) -1))</f>
        <v>Sophia Tremblay</v>
      </c>
      <c r="T157" s="8" t="str">
        <f>TRIM(MID(RawSalesTable[[#This Row],[Customer_Info]],FIND(",",RawSalesTable[[#This Row],[Customer_Info]])+1,FIND(",",RawSalesTable[[#This Row],[Customer_Info]],FIND(",",RawSalesTable[[#This Row],[Customer_Info]])+1)-FIND(",",RawSalesTable[[#This Row],[Customer_Info]])-1))</f>
        <v>Laval</v>
      </c>
      <c r="U157" s="8" t="str">
        <f>TRIM(RIGHT(RawSalesTable[[#This Row],[Customer_Info]], LEN(RawSalesTable[[#This Row],[Customer_Info]])-FIND(",",RawSalesTable[[#This Row],[Customer_Info]],FIND(",",RawSalesTable[[#This Row],[Customer_Info]])+1)))</f>
        <v>Small Business</v>
      </c>
      <c r="V157" s="8" t="str">
        <f>VLOOKUP(RawSalesTable[[#This Row],[Product_ID]],ProductsTable[],2,FALSE)</f>
        <v>Dumbbell Set</v>
      </c>
      <c r="W157" s="8" t="str">
        <f>VLOOKUP(RawSalesTable[[#This Row],[Product_ID]],ProductsTable[],3,FALSE)</f>
        <v>Fitness</v>
      </c>
      <c r="X157" s="8">
        <f>VLOOKUP(RawSalesTable[[#This Row],[Product_ID]],ProductsTable[],5,FALSE)</f>
        <v>131.72999999999999</v>
      </c>
      <c r="Y157" s="8">
        <f>RawSalesTable[[#This Row],[Quantity]]*RawSalesTable[[#This Row],[Unit_Price]]</f>
        <v>237.95</v>
      </c>
      <c r="Z157" s="8">
        <f>RawSalesTable[[#This Row],[Gross_Sales]]*RawSalesTable[[#This Row],[Discount_Pct]]</f>
        <v>23.795000000000002</v>
      </c>
      <c r="AA157" s="8">
        <f>RawSalesTable[[#This Row],[Gross_Sales]]-RawSalesTable[[#This Row],[Discount_Amount]]</f>
        <v>214.15499999999997</v>
      </c>
      <c r="AB157" s="8">
        <f>RawSalesTable[[#This Row],[Unit_Cost]]*RawSalesTable[[#This Row],[Quantity]]</f>
        <v>131.72999999999999</v>
      </c>
      <c r="AC157" s="8">
        <f>RawSalesTable[[#This Row],[Net_Sales]]-RawSalesTable[[#This Row],[Total_Cost]]</f>
        <v>82.424999999999983</v>
      </c>
      <c r="AD157" s="9">
        <f>RawSalesTable[[#This Row],[Profit]]/RawSalesTable[[#This Row],[Net_Sales]]</f>
        <v>0.38488477971562651</v>
      </c>
      <c r="AE157" s="8">
        <f>IF(RawSalesTable[[#This Row],[Return_Status]]="Yes",1,0)</f>
        <v>0</v>
      </c>
      <c r="AF157" s="8">
        <f>YEAR(RawSalesTable[[#This Row],[Order_Date]])</f>
        <v>2025</v>
      </c>
      <c r="AG157" s="8">
        <f>MONTH(RawSalesTable[[#This Row],[Order_Date]])</f>
        <v>6</v>
      </c>
      <c r="AH157" s="8" t="str">
        <f>TEXT(RawSalesTable[[#This Row],[Order_Date]],"mmmm")</f>
        <v>juin</v>
      </c>
      <c r="AI157" s="8" t="str">
        <f>IF(RawSalesTable[[#This Row],[Month_Number]]&lt;=3,"Q1",IF(RawSalesTable[[#This Row],[Month_Number]]&lt;=6,"Q2",IF(RawSalesTable[[#This Row],[Month_Number]]&lt;=9,"Q3","Q4")))</f>
        <v>Q2</v>
      </c>
      <c r="AJ157" s="13">
        <f>DATE(YEAR(RawSalesTable[[#This Row],[Order_Date]]),MONTH(RawSalesTable[[#This Row],[Order_Date]]),1)</f>
        <v>45809</v>
      </c>
      <c r="AK157" s="8" t="str">
        <f>VLOOKUP(RawSalesTable[[#This Row],[Customer_ID_clean]],CustomersTable[],4,FALSE)</f>
        <v>Quebec</v>
      </c>
    </row>
    <row r="158" spans="1:37">
      <c r="A158" t="s">
        <v>474</v>
      </c>
      <c r="B158" s="3">
        <v>45968</v>
      </c>
      <c r="C158" t="s">
        <v>128</v>
      </c>
      <c r="D158" t="s">
        <v>231</v>
      </c>
      <c r="E158" t="s">
        <v>129</v>
      </c>
      <c r="F158" t="s">
        <v>116</v>
      </c>
      <c r="G158" t="s">
        <v>183</v>
      </c>
      <c r="H158" t="s">
        <v>97</v>
      </c>
      <c r="I158">
        <v>1</v>
      </c>
      <c r="J158" s="2">
        <v>353.49</v>
      </c>
      <c r="K158" s="4">
        <v>0.1</v>
      </c>
      <c r="L158" t="s">
        <v>98</v>
      </c>
      <c r="M158">
        <v>2</v>
      </c>
      <c r="N158" t="s">
        <v>91</v>
      </c>
      <c r="O158" t="str">
        <f>SUBSTITUTE(PROPER(TRIM(RawSalesTable[[#This Row],[Channel_Raw]])), "Market Place", "Marketplace")</f>
        <v>Retail Store</v>
      </c>
      <c r="P158" t="str">
        <f>TRIM(RawSalesTable[[#This Row],[Store_Raw]])</f>
        <v>Toronto Downtown</v>
      </c>
      <c r="Q158" t="str">
        <f>IF(TRIM(RawSalesTable[[#This Row],[Payment_Method_Raw]])="","Non renseigné",SUBSTITUTE(TRIM(RawSalesTable[[#This Row],[Payment_Method_Raw]]),"CC","Credit Card"))</f>
        <v>Debit Card</v>
      </c>
      <c r="R158" s="8" t="str">
        <f>UPPER(PROPER(RawSalesTable[[#This Row],[Customer_ID]]))</f>
        <v>C0015</v>
      </c>
      <c r="S158" s="8" t="str">
        <f>TRIM(LEFT(RawSalesTable[[#This Row],[Customer_Info]],FIND(",",RawSalesTable[[#This Row],[Customer_Info]]) -1))</f>
        <v>Zoe Singh</v>
      </c>
      <c r="T158" s="8" t="str">
        <f>TRIM(MID(RawSalesTable[[#This Row],[Customer_Info]],FIND(",",RawSalesTable[[#This Row],[Customer_Info]])+1,FIND(",",RawSalesTable[[#This Row],[Customer_Info]],FIND(",",RawSalesTable[[#This Row],[Customer_Info]])+1)-FIND(",",RawSalesTable[[#This Row],[Customer_Info]])-1))</f>
        <v>Halifax</v>
      </c>
      <c r="U158" s="8" t="str">
        <f>TRIM(RIGHT(RawSalesTable[[#This Row],[Customer_Info]], LEN(RawSalesTable[[#This Row],[Customer_Info]])-FIND(",",RawSalesTable[[#This Row],[Customer_Info]],FIND(",",RawSalesTable[[#This Row],[Customer_Info]])+1)))</f>
        <v>Consumer</v>
      </c>
      <c r="V158" s="8" t="str">
        <f>VLOOKUP(RawSalesTable[[#This Row],[Product_ID]],ProductsTable[],2,FALSE)</f>
        <v>Cable Set</v>
      </c>
      <c r="W158" s="8" t="str">
        <f>VLOOKUP(RawSalesTable[[#This Row],[Product_ID]],ProductsTable[],3,FALSE)</f>
        <v>Accessories</v>
      </c>
      <c r="X158" s="8">
        <f>VLOOKUP(RawSalesTable[[#This Row],[Product_ID]],ProductsTable[],5,FALSE)</f>
        <v>200.16</v>
      </c>
      <c r="Y158" s="8">
        <f>RawSalesTable[[#This Row],[Quantity]]*RawSalesTable[[#This Row],[Unit_Price]]</f>
        <v>353.49</v>
      </c>
      <c r="Z158" s="8">
        <f>RawSalesTable[[#This Row],[Gross_Sales]]*RawSalesTable[[#This Row],[Discount_Pct]]</f>
        <v>35.349000000000004</v>
      </c>
      <c r="AA158" s="8">
        <f>RawSalesTable[[#This Row],[Gross_Sales]]-RawSalesTable[[#This Row],[Discount_Amount]]</f>
        <v>318.14100000000002</v>
      </c>
      <c r="AB158" s="8">
        <f>RawSalesTable[[#This Row],[Unit_Cost]]*RawSalesTable[[#This Row],[Quantity]]</f>
        <v>200.16</v>
      </c>
      <c r="AC158" s="8">
        <f>RawSalesTable[[#This Row],[Net_Sales]]-RawSalesTable[[#This Row],[Total_Cost]]</f>
        <v>117.98100000000002</v>
      </c>
      <c r="AD158" s="9">
        <f>RawSalesTable[[#This Row],[Profit]]/RawSalesTable[[#This Row],[Net_Sales]]</f>
        <v>0.37084500268748766</v>
      </c>
      <c r="AE158" s="8">
        <f>IF(RawSalesTable[[#This Row],[Return_Status]]="Yes",1,0)</f>
        <v>0</v>
      </c>
      <c r="AF158" s="8">
        <f>YEAR(RawSalesTable[[#This Row],[Order_Date]])</f>
        <v>2025</v>
      </c>
      <c r="AG158" s="8">
        <f>MONTH(RawSalesTable[[#This Row],[Order_Date]])</f>
        <v>11</v>
      </c>
      <c r="AH158" s="8" t="str">
        <f>TEXT(RawSalesTable[[#This Row],[Order_Date]],"mmmm")</f>
        <v>novembre</v>
      </c>
      <c r="AI158" s="8" t="str">
        <f>IF(RawSalesTable[[#This Row],[Month_Number]]&lt;=3,"Q1",IF(RawSalesTable[[#This Row],[Month_Number]]&lt;=6,"Q2",IF(RawSalesTable[[#This Row],[Month_Number]]&lt;=9,"Q3","Q4")))</f>
        <v>Q4</v>
      </c>
      <c r="AJ158" s="13">
        <f>DATE(YEAR(RawSalesTable[[#This Row],[Order_Date]]),MONTH(RawSalesTable[[#This Row],[Order_Date]]),1)</f>
        <v>45962</v>
      </c>
      <c r="AK158" s="8" t="str">
        <f>VLOOKUP(RawSalesTable[[#This Row],[Customer_ID_clean]],CustomersTable[],4,FALSE)</f>
        <v>Nova Scotia</v>
      </c>
    </row>
    <row r="159" spans="1:37">
      <c r="A159" t="s">
        <v>475</v>
      </c>
      <c r="B159" s="3">
        <v>45935</v>
      </c>
      <c r="C159" t="s">
        <v>410</v>
      </c>
      <c r="D159" t="s">
        <v>244</v>
      </c>
      <c r="E159" t="s">
        <v>411</v>
      </c>
      <c r="F159" t="s">
        <v>116</v>
      </c>
      <c r="G159" t="s">
        <v>122</v>
      </c>
      <c r="H159" t="s">
        <v>97</v>
      </c>
      <c r="I159">
        <v>1</v>
      </c>
      <c r="J159" s="2">
        <v>226.32</v>
      </c>
      <c r="K159" s="4">
        <v>0.05</v>
      </c>
      <c r="L159" t="s">
        <v>106</v>
      </c>
      <c r="M159">
        <v>4</v>
      </c>
      <c r="N159" t="s">
        <v>91</v>
      </c>
      <c r="O159" t="str">
        <f>SUBSTITUTE(PROPER(TRIM(RawSalesTable[[#This Row],[Channel_Raw]])), "Market Place", "Marketplace")</f>
        <v>Retail Store</v>
      </c>
      <c r="P159" t="str">
        <f>TRIM(RawSalesTable[[#This Row],[Store_Raw]])</f>
        <v>Toronto Downtown</v>
      </c>
      <c r="Q159" t="str">
        <f>IF(TRIM(RawSalesTable[[#This Row],[Payment_Method_Raw]])="","Non renseigné",SUBSTITUTE(TRIM(RawSalesTable[[#This Row],[Payment_Method_Raw]]),"CC","Credit Card"))</f>
        <v>Credit Card</v>
      </c>
      <c r="R159" s="8" t="str">
        <f>UPPER(PROPER(RawSalesTable[[#This Row],[Customer_ID]]))</f>
        <v>C0093</v>
      </c>
      <c r="S159" s="8" t="str">
        <f>TRIM(LEFT(RawSalesTable[[#This Row],[Customer_Info]],FIND(",",RawSalesTable[[#This Row],[Customer_Info]]) -1))</f>
        <v>Ethan Roy</v>
      </c>
      <c r="T159" s="8" t="str">
        <f>TRIM(MID(RawSalesTable[[#This Row],[Customer_Info]],FIND(",",RawSalesTable[[#This Row],[Customer_Info]])+1,FIND(",",RawSalesTable[[#This Row],[Customer_Info]],FIND(",",RawSalesTable[[#This Row],[Customer_Info]])+1)-FIND(",",RawSalesTable[[#This Row],[Customer_Info]])-1))</f>
        <v>Winnipeg</v>
      </c>
      <c r="U159" s="8" t="str">
        <f>TRIM(RIGHT(RawSalesTable[[#This Row],[Customer_Info]], LEN(RawSalesTable[[#This Row],[Customer_Info]])-FIND(",",RawSalesTable[[#This Row],[Customer_Info]],FIND(",",RawSalesTable[[#This Row],[Customer_Info]])+1)))</f>
        <v>Consumer</v>
      </c>
      <c r="V159" s="8" t="str">
        <f>VLOOKUP(RawSalesTable[[#This Row],[Product_ID]],ProductsTable[],2,FALSE)</f>
        <v>Portable SSD</v>
      </c>
      <c r="W159" s="8" t="str">
        <f>VLOOKUP(RawSalesTable[[#This Row],[Product_ID]],ProductsTable[],3,FALSE)</f>
        <v>Electronics</v>
      </c>
      <c r="X159" s="8">
        <f>VLOOKUP(RawSalesTable[[#This Row],[Product_ID]],ProductsTable[],5,FALSE)</f>
        <v>131.19</v>
      </c>
      <c r="Y159" s="8">
        <f>RawSalesTable[[#This Row],[Quantity]]*RawSalesTable[[#This Row],[Unit_Price]]</f>
        <v>226.32</v>
      </c>
      <c r="Z159" s="8">
        <f>RawSalesTable[[#This Row],[Gross_Sales]]*RawSalesTable[[#This Row],[Discount_Pct]]</f>
        <v>11.316000000000001</v>
      </c>
      <c r="AA159" s="8">
        <f>RawSalesTable[[#This Row],[Gross_Sales]]-RawSalesTable[[#This Row],[Discount_Amount]]</f>
        <v>215.00399999999999</v>
      </c>
      <c r="AB159" s="8">
        <f>RawSalesTable[[#This Row],[Unit_Cost]]*RawSalesTable[[#This Row],[Quantity]]</f>
        <v>131.19</v>
      </c>
      <c r="AC159" s="8">
        <f>RawSalesTable[[#This Row],[Net_Sales]]-RawSalesTable[[#This Row],[Total_Cost]]</f>
        <v>83.813999999999993</v>
      </c>
      <c r="AD159" s="9">
        <f>RawSalesTable[[#This Row],[Profit]]/RawSalesTable[[#This Row],[Net_Sales]]</f>
        <v>0.38982530557571021</v>
      </c>
      <c r="AE159" s="8">
        <f>IF(RawSalesTable[[#This Row],[Return_Status]]="Yes",1,0)</f>
        <v>0</v>
      </c>
      <c r="AF159" s="8">
        <f>YEAR(RawSalesTable[[#This Row],[Order_Date]])</f>
        <v>2025</v>
      </c>
      <c r="AG159" s="8">
        <f>MONTH(RawSalesTable[[#This Row],[Order_Date]])</f>
        <v>10</v>
      </c>
      <c r="AH159" s="8" t="str">
        <f>TEXT(RawSalesTable[[#This Row],[Order_Date]],"mmmm")</f>
        <v>octobre</v>
      </c>
      <c r="AI159" s="8" t="str">
        <f>IF(RawSalesTable[[#This Row],[Month_Number]]&lt;=3,"Q1",IF(RawSalesTable[[#This Row],[Month_Number]]&lt;=6,"Q2",IF(RawSalesTable[[#This Row],[Month_Number]]&lt;=9,"Q3","Q4")))</f>
        <v>Q4</v>
      </c>
      <c r="AJ159" s="13">
        <f>DATE(YEAR(RawSalesTable[[#This Row],[Order_Date]]),MONTH(RawSalesTable[[#This Row],[Order_Date]]),1)</f>
        <v>45931</v>
      </c>
      <c r="AK159" s="8" t="str">
        <f>VLOOKUP(RawSalesTable[[#This Row],[Customer_ID_clean]],CustomersTable[],4,FALSE)</f>
        <v>Manitoba</v>
      </c>
    </row>
    <row r="160" spans="1:37">
      <c r="A160" t="s">
        <v>476</v>
      </c>
      <c r="B160" s="3">
        <v>45883</v>
      </c>
      <c r="C160" t="s">
        <v>305</v>
      </c>
      <c r="D160" t="s">
        <v>136</v>
      </c>
      <c r="E160" t="s">
        <v>306</v>
      </c>
      <c r="F160" t="s">
        <v>111</v>
      </c>
      <c r="G160" t="s">
        <v>130</v>
      </c>
      <c r="H160" t="s">
        <v>89</v>
      </c>
      <c r="I160">
        <v>1</v>
      </c>
      <c r="J160" s="2">
        <v>157.91999999999999</v>
      </c>
      <c r="K160" s="4">
        <v>0</v>
      </c>
      <c r="L160" t="s">
        <v>98</v>
      </c>
      <c r="M160">
        <v>1</v>
      </c>
      <c r="N160" t="s">
        <v>91</v>
      </c>
      <c r="O160" t="str">
        <f>SUBSTITUTE(PROPER(TRIM(RawSalesTable[[#This Row],[Channel_Raw]])), "Market Place", "Marketplace")</f>
        <v>Online</v>
      </c>
      <c r="P160" t="str">
        <f>TRIM(RawSalesTable[[#This Row],[Store_Raw]])</f>
        <v>Montreal Central</v>
      </c>
      <c r="Q160" t="str">
        <f>IF(TRIM(RawSalesTable[[#This Row],[Payment_Method_Raw]])="","Non renseigné",SUBSTITUTE(TRIM(RawSalesTable[[#This Row],[Payment_Method_Raw]]),"CC","Credit Card"))</f>
        <v>Debit Card</v>
      </c>
      <c r="R160" s="8" t="str">
        <f>UPPER(PROPER(RawSalesTable[[#This Row],[Customer_ID]]))</f>
        <v>C0055</v>
      </c>
      <c r="S160" s="8" t="str">
        <f>TRIM(LEFT(RawSalesTable[[#This Row],[Customer_Info]],FIND(",",RawSalesTable[[#This Row],[Customer_Info]]) -1))</f>
        <v>Sarah Scott</v>
      </c>
      <c r="T160" s="8" t="str">
        <f>TRIM(MID(RawSalesTable[[#This Row],[Customer_Info]],FIND(",",RawSalesTable[[#This Row],[Customer_Info]])+1,FIND(",",RawSalesTable[[#This Row],[Customer_Info]],FIND(",",RawSalesTable[[#This Row],[Customer_Info]])+1)-FIND(",",RawSalesTable[[#This Row],[Customer_Info]])-1))</f>
        <v>Surrey</v>
      </c>
      <c r="U160" s="8" t="str">
        <f>TRIM(RIGHT(RawSalesTable[[#This Row],[Customer_Info]], LEN(RawSalesTable[[#This Row],[Customer_Info]])-FIND(",",RawSalesTable[[#This Row],[Customer_Info]],FIND(",",RawSalesTable[[#This Row],[Customer_Info]])+1)))</f>
        <v>Consumer</v>
      </c>
      <c r="V160" s="8" t="str">
        <f>VLOOKUP(RawSalesTable[[#This Row],[Product_ID]],ProductsTable[],2,FALSE)</f>
        <v>Mouse</v>
      </c>
      <c r="W160" s="8" t="str">
        <f>VLOOKUP(RawSalesTable[[#This Row],[Product_ID]],ProductsTable[],3,FALSE)</f>
        <v>Electronics</v>
      </c>
      <c r="X160" s="8">
        <f>VLOOKUP(RawSalesTable[[#This Row],[Product_ID]],ProductsTable[],5,FALSE)</f>
        <v>106.4</v>
      </c>
      <c r="Y160" s="8">
        <f>RawSalesTable[[#This Row],[Quantity]]*RawSalesTable[[#This Row],[Unit_Price]]</f>
        <v>157.91999999999999</v>
      </c>
      <c r="Z160" s="8">
        <f>RawSalesTable[[#This Row],[Gross_Sales]]*RawSalesTable[[#This Row],[Discount_Pct]]</f>
        <v>0</v>
      </c>
      <c r="AA160" s="8">
        <f>RawSalesTable[[#This Row],[Gross_Sales]]-RawSalesTable[[#This Row],[Discount_Amount]]</f>
        <v>157.91999999999999</v>
      </c>
      <c r="AB160" s="8">
        <f>RawSalesTable[[#This Row],[Unit_Cost]]*RawSalesTable[[#This Row],[Quantity]]</f>
        <v>106.4</v>
      </c>
      <c r="AC160" s="8">
        <f>RawSalesTable[[#This Row],[Net_Sales]]-RawSalesTable[[#This Row],[Total_Cost]]</f>
        <v>51.519999999999982</v>
      </c>
      <c r="AD160" s="9">
        <f>RawSalesTable[[#This Row],[Profit]]/RawSalesTable[[#This Row],[Net_Sales]]</f>
        <v>0.32624113475177297</v>
      </c>
      <c r="AE160" s="8">
        <f>IF(RawSalesTable[[#This Row],[Return_Status]]="Yes",1,0)</f>
        <v>0</v>
      </c>
      <c r="AF160" s="8">
        <f>YEAR(RawSalesTable[[#This Row],[Order_Date]])</f>
        <v>2025</v>
      </c>
      <c r="AG160" s="8">
        <f>MONTH(RawSalesTable[[#This Row],[Order_Date]])</f>
        <v>8</v>
      </c>
      <c r="AH160" s="8" t="str">
        <f>TEXT(RawSalesTable[[#This Row],[Order_Date]],"mmmm")</f>
        <v>août</v>
      </c>
      <c r="AI160" s="8" t="str">
        <f>IF(RawSalesTable[[#This Row],[Month_Number]]&lt;=3,"Q1",IF(RawSalesTable[[#This Row],[Month_Number]]&lt;=6,"Q2",IF(RawSalesTable[[#This Row],[Month_Number]]&lt;=9,"Q3","Q4")))</f>
        <v>Q3</v>
      </c>
      <c r="AJ160" s="13">
        <f>DATE(YEAR(RawSalesTable[[#This Row],[Order_Date]]),MONTH(RawSalesTable[[#This Row],[Order_Date]]),1)</f>
        <v>45870</v>
      </c>
      <c r="AK160" s="8" t="str">
        <f>VLOOKUP(RawSalesTable[[#This Row],[Customer_ID_clean]],CustomersTable[],4,FALSE)</f>
        <v>British Columbia</v>
      </c>
    </row>
    <row r="161" spans="1:37">
      <c r="A161" t="s">
        <v>477</v>
      </c>
      <c r="B161" s="3">
        <v>45909</v>
      </c>
      <c r="C161" t="s">
        <v>319</v>
      </c>
      <c r="D161" t="s">
        <v>109</v>
      </c>
      <c r="E161" t="s">
        <v>320</v>
      </c>
      <c r="F161" t="s">
        <v>145</v>
      </c>
      <c r="G161" t="s">
        <v>96</v>
      </c>
      <c r="H161" t="s">
        <v>478</v>
      </c>
      <c r="I161">
        <v>1</v>
      </c>
      <c r="J161" s="2">
        <v>204.49</v>
      </c>
      <c r="K161" s="4">
        <v>0.1</v>
      </c>
      <c r="L161" t="s">
        <v>106</v>
      </c>
      <c r="M161">
        <v>6</v>
      </c>
      <c r="N161" t="s">
        <v>91</v>
      </c>
      <c r="O161" t="str">
        <f>SUBSTITUTE(PROPER(TRIM(RawSalesTable[[#This Row],[Channel_Raw]])), "Market Place", "Marketplace")</f>
        <v>Marketplace</v>
      </c>
      <c r="P161" t="str">
        <f>TRIM(RawSalesTable[[#This Row],[Store_Raw]])</f>
        <v>Calgary North</v>
      </c>
      <c r="Q161" t="str">
        <f>IF(TRIM(RawSalesTable[[#This Row],[Payment_Method_Raw]])="","Non renseigné",SUBSTITUTE(TRIM(RawSalesTable[[#This Row],[Payment_Method_Raw]]),"CC","Credit Card"))</f>
        <v>Credit Card</v>
      </c>
      <c r="R161" s="8" t="str">
        <f>UPPER(PROPER(RawSalesTable[[#This Row],[Customer_ID]]))</f>
        <v>C0013</v>
      </c>
      <c r="S161" s="8" t="str">
        <f>TRIM(LEFT(RawSalesTable[[#This Row],[Customer_Info]],FIND(",",RawSalesTable[[#This Row],[Customer_Info]]) -1))</f>
        <v>Amelia Martin</v>
      </c>
      <c r="T161" s="8" t="str">
        <f>TRIM(MID(RawSalesTable[[#This Row],[Customer_Info]],FIND(",",RawSalesTable[[#This Row],[Customer_Info]])+1,FIND(",",RawSalesTable[[#This Row],[Customer_Info]],FIND(",",RawSalesTable[[#This Row],[Customer_Info]])+1)-FIND(",",RawSalesTable[[#This Row],[Customer_Info]])-1))</f>
        <v>Quebec City</v>
      </c>
      <c r="U161" s="8" t="str">
        <f>TRIM(RIGHT(RawSalesTable[[#This Row],[Customer_Info]], LEN(RawSalesTable[[#This Row],[Customer_Info]])-FIND(",",RawSalesTable[[#This Row],[Customer_Info]],FIND(",",RawSalesTable[[#This Row],[Customer_Info]])+1)))</f>
        <v>Small Business</v>
      </c>
      <c r="V161" s="8" t="str">
        <f>VLOOKUP(RawSalesTable[[#This Row],[Product_ID]],ProductsTable[],2,FALSE)</f>
        <v>Gym Bag</v>
      </c>
      <c r="W161" s="8" t="str">
        <f>VLOOKUP(RawSalesTable[[#This Row],[Product_ID]],ProductsTable[],3,FALSE)</f>
        <v>Fitness</v>
      </c>
      <c r="X161" s="8">
        <f>VLOOKUP(RawSalesTable[[#This Row],[Product_ID]],ProductsTable[],5,FALSE)</f>
        <v>132.72</v>
      </c>
      <c r="Y161" s="8">
        <f>RawSalesTable[[#This Row],[Quantity]]*RawSalesTable[[#This Row],[Unit_Price]]</f>
        <v>204.49</v>
      </c>
      <c r="Z161" s="8">
        <f>RawSalesTable[[#This Row],[Gross_Sales]]*RawSalesTable[[#This Row],[Discount_Pct]]</f>
        <v>20.449000000000002</v>
      </c>
      <c r="AA161" s="8">
        <f>RawSalesTable[[#This Row],[Gross_Sales]]-RawSalesTable[[#This Row],[Discount_Amount]]</f>
        <v>184.041</v>
      </c>
      <c r="AB161" s="8">
        <f>RawSalesTable[[#This Row],[Unit_Cost]]*RawSalesTable[[#This Row],[Quantity]]</f>
        <v>132.72</v>
      </c>
      <c r="AC161" s="8">
        <f>RawSalesTable[[#This Row],[Net_Sales]]-RawSalesTable[[#This Row],[Total_Cost]]</f>
        <v>51.320999999999998</v>
      </c>
      <c r="AD161" s="9">
        <f>RawSalesTable[[#This Row],[Profit]]/RawSalesTable[[#This Row],[Net_Sales]]</f>
        <v>0.27885634179340474</v>
      </c>
      <c r="AE161" s="8">
        <f>IF(RawSalesTable[[#This Row],[Return_Status]]="Yes",1,0)</f>
        <v>0</v>
      </c>
      <c r="AF161" s="8">
        <f>YEAR(RawSalesTable[[#This Row],[Order_Date]])</f>
        <v>2025</v>
      </c>
      <c r="AG161" s="8">
        <f>MONTH(RawSalesTable[[#This Row],[Order_Date]])</f>
        <v>9</v>
      </c>
      <c r="AH161" s="8" t="str">
        <f>TEXT(RawSalesTable[[#This Row],[Order_Date]],"mmmm")</f>
        <v>septembre</v>
      </c>
      <c r="AI161" s="8" t="str">
        <f>IF(RawSalesTable[[#This Row],[Month_Number]]&lt;=3,"Q1",IF(RawSalesTable[[#This Row],[Month_Number]]&lt;=6,"Q2",IF(RawSalesTable[[#This Row],[Month_Number]]&lt;=9,"Q3","Q4")))</f>
        <v>Q3</v>
      </c>
      <c r="AJ161" s="13">
        <f>DATE(YEAR(RawSalesTable[[#This Row],[Order_Date]]),MONTH(RawSalesTable[[#This Row],[Order_Date]]),1)</f>
        <v>45901</v>
      </c>
      <c r="AK161" s="8" t="str">
        <f>VLOOKUP(RawSalesTable[[#This Row],[Customer_ID_clean]],CustomersTable[],4,FALSE)</f>
        <v>Quebec</v>
      </c>
    </row>
    <row r="162" spans="1:37">
      <c r="A162" t="s">
        <v>479</v>
      </c>
      <c r="B162" s="3">
        <v>45985</v>
      </c>
      <c r="C162" t="s">
        <v>480</v>
      </c>
      <c r="D162" t="s">
        <v>85</v>
      </c>
      <c r="E162" t="s">
        <v>481</v>
      </c>
      <c r="F162" t="s">
        <v>111</v>
      </c>
      <c r="G162" t="s">
        <v>130</v>
      </c>
      <c r="H162" t="s">
        <v>246</v>
      </c>
      <c r="I162">
        <v>1</v>
      </c>
      <c r="J162" s="2">
        <v>299.81</v>
      </c>
      <c r="K162" s="4">
        <v>0.2</v>
      </c>
      <c r="L162" t="s">
        <v>106</v>
      </c>
      <c r="M162">
        <v>4</v>
      </c>
      <c r="N162" t="s">
        <v>91</v>
      </c>
      <c r="O162" t="str">
        <f>SUBSTITUTE(PROPER(TRIM(RawSalesTable[[#This Row],[Channel_Raw]])), "Market Place", "Marketplace")</f>
        <v>Retail Store</v>
      </c>
      <c r="P162" t="str">
        <f>TRIM(RawSalesTable[[#This Row],[Store_Raw]])</f>
        <v>Montreal Central</v>
      </c>
      <c r="Q162" t="str">
        <f>IF(TRIM(RawSalesTable[[#This Row],[Payment_Method_Raw]])="","Non renseigné",SUBSTITUTE(TRIM(RawSalesTable[[#This Row],[Payment_Method_Raw]]),"CC","Credit Card"))</f>
        <v>Credit Card</v>
      </c>
      <c r="R162" s="8" t="str">
        <f>UPPER(PROPER(RawSalesTable[[#This Row],[Customer_ID]]))</f>
        <v>C0053</v>
      </c>
      <c r="S162" s="8" t="str">
        <f>TRIM(LEFT(RawSalesTable[[#This Row],[Customer_Info]],FIND(",",RawSalesTable[[#This Row],[Customer_Info]]) -1))</f>
        <v>Ryan Lee</v>
      </c>
      <c r="T162" s="8" t="str">
        <f>TRIM(MID(RawSalesTable[[#This Row],[Customer_Info]],FIND(",",RawSalesTable[[#This Row],[Customer_Info]])+1,FIND(",",RawSalesTable[[#This Row],[Customer_Info]],FIND(",",RawSalesTable[[#This Row],[Customer_Info]])+1)-FIND(",",RawSalesTable[[#This Row],[Customer_Info]])-1))</f>
        <v>Laval</v>
      </c>
      <c r="U162" s="8" t="str">
        <f>TRIM(RIGHT(RawSalesTable[[#This Row],[Customer_Info]], LEN(RawSalesTable[[#This Row],[Customer_Info]])-FIND(",",RawSalesTable[[#This Row],[Customer_Info]],FIND(",",RawSalesTable[[#This Row],[Customer_Info]])+1)))</f>
        <v>Consumer</v>
      </c>
      <c r="V162" s="8" t="str">
        <f>VLOOKUP(RawSalesTable[[#This Row],[Product_ID]],ProductsTable[],2,FALSE)</f>
        <v>Yoga Mat</v>
      </c>
      <c r="W162" s="8" t="str">
        <f>VLOOKUP(RawSalesTable[[#This Row],[Product_ID]],ProductsTable[],3,FALSE)</f>
        <v>Fitness</v>
      </c>
      <c r="X162" s="8">
        <f>VLOOKUP(RawSalesTable[[#This Row],[Product_ID]],ProductsTable[],5,FALSE)</f>
        <v>197.33</v>
      </c>
      <c r="Y162" s="8">
        <f>RawSalesTable[[#This Row],[Quantity]]*RawSalesTable[[#This Row],[Unit_Price]]</f>
        <v>299.81</v>
      </c>
      <c r="Z162" s="8">
        <f>RawSalesTable[[#This Row],[Gross_Sales]]*RawSalesTable[[#This Row],[Discount_Pct]]</f>
        <v>59.962000000000003</v>
      </c>
      <c r="AA162" s="8">
        <f>RawSalesTable[[#This Row],[Gross_Sales]]-RawSalesTable[[#This Row],[Discount_Amount]]</f>
        <v>239.84800000000001</v>
      </c>
      <c r="AB162" s="8">
        <f>RawSalesTable[[#This Row],[Unit_Cost]]*RawSalesTable[[#This Row],[Quantity]]</f>
        <v>197.33</v>
      </c>
      <c r="AC162" s="8">
        <f>RawSalesTable[[#This Row],[Net_Sales]]-RawSalesTable[[#This Row],[Total_Cost]]</f>
        <v>42.518000000000001</v>
      </c>
      <c r="AD162" s="9">
        <f>RawSalesTable[[#This Row],[Profit]]/RawSalesTable[[#This Row],[Net_Sales]]</f>
        <v>0.17727060471632033</v>
      </c>
      <c r="AE162" s="8">
        <f>IF(RawSalesTable[[#This Row],[Return_Status]]="Yes",1,0)</f>
        <v>0</v>
      </c>
      <c r="AF162" s="8">
        <f>YEAR(RawSalesTable[[#This Row],[Order_Date]])</f>
        <v>2025</v>
      </c>
      <c r="AG162" s="8">
        <f>MONTH(RawSalesTable[[#This Row],[Order_Date]])</f>
        <v>11</v>
      </c>
      <c r="AH162" s="8" t="str">
        <f>TEXT(RawSalesTable[[#This Row],[Order_Date]],"mmmm")</f>
        <v>novembre</v>
      </c>
      <c r="AI162" s="8" t="str">
        <f>IF(RawSalesTable[[#This Row],[Month_Number]]&lt;=3,"Q1",IF(RawSalesTable[[#This Row],[Month_Number]]&lt;=6,"Q2",IF(RawSalesTable[[#This Row],[Month_Number]]&lt;=9,"Q3","Q4")))</f>
        <v>Q4</v>
      </c>
      <c r="AJ162" s="13">
        <f>DATE(YEAR(RawSalesTable[[#This Row],[Order_Date]]),MONTH(RawSalesTable[[#This Row],[Order_Date]]),1)</f>
        <v>45962</v>
      </c>
      <c r="AK162" s="8" t="str">
        <f>VLOOKUP(RawSalesTable[[#This Row],[Customer_ID_clean]],CustomersTable[],4,FALSE)</f>
        <v>Quebec</v>
      </c>
    </row>
    <row r="163" spans="1:37">
      <c r="A163" t="s">
        <v>482</v>
      </c>
      <c r="B163" s="3">
        <v>45864</v>
      </c>
      <c r="C163" t="s">
        <v>322</v>
      </c>
      <c r="D163" t="s">
        <v>165</v>
      </c>
      <c r="E163" t="s">
        <v>470</v>
      </c>
      <c r="F163" t="s">
        <v>87</v>
      </c>
      <c r="G163" t="s">
        <v>104</v>
      </c>
      <c r="H163" t="s">
        <v>89</v>
      </c>
      <c r="I163">
        <v>1</v>
      </c>
      <c r="J163" s="2">
        <v>99.03</v>
      </c>
      <c r="K163" s="4">
        <v>0.15</v>
      </c>
      <c r="L163" t="s">
        <v>106</v>
      </c>
      <c r="M163">
        <v>6</v>
      </c>
      <c r="N163" t="s">
        <v>91</v>
      </c>
      <c r="O163" t="str">
        <f>SUBSTITUTE(PROPER(TRIM(RawSalesTable[[#This Row],[Channel_Raw]])), "Market Place", "Marketplace")</f>
        <v>Online</v>
      </c>
      <c r="P163" t="str">
        <f>TRIM(RawSalesTable[[#This Row],[Store_Raw]])</f>
        <v>Online Fulfillment</v>
      </c>
      <c r="Q163" t="str">
        <f>IF(TRIM(RawSalesTable[[#This Row],[Payment_Method_Raw]])="","Non renseigné",SUBSTITUTE(TRIM(RawSalesTable[[#This Row],[Payment_Method_Raw]]),"CC","Credit Card"))</f>
        <v>Credit Card</v>
      </c>
      <c r="R163" s="8" t="str">
        <f>UPPER(PROPER(RawSalesTable[[#This Row],[Customer_ID]]))</f>
        <v>C0119</v>
      </c>
      <c r="S163" s="8" t="str">
        <f>TRIM(LEFT(RawSalesTable[[#This Row],[Customer_Info]],FIND(",",RawSalesTable[[#This Row],[Customer_Info]]) -1))</f>
        <v>Liam Chen</v>
      </c>
      <c r="T163" s="8" t="str">
        <f>TRIM(MID(RawSalesTable[[#This Row],[Customer_Info]],FIND(",",RawSalesTable[[#This Row],[Customer_Info]])+1,FIND(",",RawSalesTable[[#This Row],[Customer_Info]],FIND(",",RawSalesTable[[#This Row],[Customer_Info]])+1)-FIND(",",RawSalesTable[[#This Row],[Customer_Info]])-1))</f>
        <v>Winnipeg</v>
      </c>
      <c r="U163" s="8" t="str">
        <f>TRIM(RIGHT(RawSalesTable[[#This Row],[Customer_Info]], LEN(RawSalesTable[[#This Row],[Customer_Info]])-FIND(",",RawSalesTable[[#This Row],[Customer_Info]],FIND(",",RawSalesTable[[#This Row],[Customer_Info]])+1)))</f>
        <v>Consumer</v>
      </c>
      <c r="V163" s="8" t="str">
        <f>VLOOKUP(RawSalesTable[[#This Row],[Product_ID]],ProductsTable[],2,FALSE)</f>
        <v>Food Scale</v>
      </c>
      <c r="W163" s="8" t="str">
        <f>VLOOKUP(RawSalesTable[[#This Row],[Product_ID]],ProductsTable[],3,FALSE)</f>
        <v>Home</v>
      </c>
      <c r="X163" s="8">
        <f>VLOOKUP(RawSalesTable[[#This Row],[Product_ID]],ProductsTable[],5,FALSE)</f>
        <v>46.07</v>
      </c>
      <c r="Y163" s="8">
        <f>RawSalesTable[[#This Row],[Quantity]]*RawSalesTable[[#This Row],[Unit_Price]]</f>
        <v>99.03</v>
      </c>
      <c r="Z163" s="8">
        <f>RawSalesTable[[#This Row],[Gross_Sales]]*RawSalesTable[[#This Row],[Discount_Pct]]</f>
        <v>14.8545</v>
      </c>
      <c r="AA163" s="8">
        <f>RawSalesTable[[#This Row],[Gross_Sales]]-RawSalesTable[[#This Row],[Discount_Amount]]</f>
        <v>84.1755</v>
      </c>
      <c r="AB163" s="8">
        <f>RawSalesTable[[#This Row],[Unit_Cost]]*RawSalesTable[[#This Row],[Quantity]]</f>
        <v>46.07</v>
      </c>
      <c r="AC163" s="8">
        <f>RawSalesTable[[#This Row],[Net_Sales]]-RawSalesTable[[#This Row],[Total_Cost]]</f>
        <v>38.105499999999999</v>
      </c>
      <c r="AD163" s="9">
        <f>RawSalesTable[[#This Row],[Profit]]/RawSalesTable[[#This Row],[Net_Sales]]</f>
        <v>0.45269110370594767</v>
      </c>
      <c r="AE163" s="8">
        <f>IF(RawSalesTable[[#This Row],[Return_Status]]="Yes",1,0)</f>
        <v>0</v>
      </c>
      <c r="AF163" s="8">
        <f>YEAR(RawSalesTable[[#This Row],[Order_Date]])</f>
        <v>2025</v>
      </c>
      <c r="AG163" s="8">
        <f>MONTH(RawSalesTable[[#This Row],[Order_Date]])</f>
        <v>7</v>
      </c>
      <c r="AH163" s="8" t="str">
        <f>TEXT(RawSalesTable[[#This Row],[Order_Date]],"mmmm")</f>
        <v>juillet</v>
      </c>
      <c r="AI163" s="8" t="str">
        <f>IF(RawSalesTable[[#This Row],[Month_Number]]&lt;=3,"Q1",IF(RawSalesTable[[#This Row],[Month_Number]]&lt;=6,"Q2",IF(RawSalesTable[[#This Row],[Month_Number]]&lt;=9,"Q3","Q4")))</f>
        <v>Q3</v>
      </c>
      <c r="AJ163" s="13">
        <f>DATE(YEAR(RawSalesTable[[#This Row],[Order_Date]]),MONTH(RawSalesTable[[#This Row],[Order_Date]]),1)</f>
        <v>45839</v>
      </c>
      <c r="AK163" s="8" t="str">
        <f>VLOOKUP(RawSalesTable[[#This Row],[Customer_ID_clean]],CustomersTable[],4,FALSE)</f>
        <v>Manitoba</v>
      </c>
    </row>
    <row r="164" spans="1:37">
      <c r="A164" t="s">
        <v>483</v>
      </c>
      <c r="B164" s="3">
        <v>45768</v>
      </c>
      <c r="C164" t="s">
        <v>330</v>
      </c>
      <c r="D164" t="s">
        <v>255</v>
      </c>
      <c r="E164" t="s">
        <v>424</v>
      </c>
      <c r="F164" t="s">
        <v>111</v>
      </c>
      <c r="G164" t="s">
        <v>88</v>
      </c>
      <c r="H164" t="s">
        <v>89</v>
      </c>
      <c r="I164">
        <v>2</v>
      </c>
      <c r="J164" s="2">
        <v>233.12</v>
      </c>
      <c r="K164" s="4">
        <v>0</v>
      </c>
      <c r="L164" t="s">
        <v>90</v>
      </c>
      <c r="M164">
        <v>3</v>
      </c>
      <c r="N164" t="s">
        <v>147</v>
      </c>
      <c r="O164" t="str">
        <f>SUBSTITUTE(PROPER(TRIM(RawSalesTable[[#This Row],[Channel_Raw]])), "Market Place", "Marketplace")</f>
        <v>Online</v>
      </c>
      <c r="P164" t="str">
        <f>TRIM(RawSalesTable[[#This Row],[Store_Raw]])</f>
        <v>Montreal Central</v>
      </c>
      <c r="Q164" t="str">
        <f>IF(TRIM(RawSalesTable[[#This Row],[Payment_Method_Raw]])="","Non renseigné",SUBSTITUTE(TRIM(RawSalesTable[[#This Row],[Payment_Method_Raw]]),"CC","Credit Card"))</f>
        <v>PayPal</v>
      </c>
      <c r="R164" s="8" t="str">
        <f>UPPER(PROPER(RawSalesTable[[#This Row],[Customer_ID]]))</f>
        <v>C0108</v>
      </c>
      <c r="S164" s="8" t="str">
        <f>TRIM(LEFT(RawSalesTable[[#This Row],[Customer_Info]],FIND(",",RawSalesTable[[#This Row],[Customer_Info]]) -1))</f>
        <v>Noah Lee</v>
      </c>
      <c r="T164" s="8" t="str">
        <f>TRIM(MID(RawSalesTable[[#This Row],[Customer_Info]],FIND(",",RawSalesTable[[#This Row],[Customer_Info]])+1,FIND(",",RawSalesTable[[#This Row],[Customer_Info]],FIND(",",RawSalesTable[[#This Row],[Customer_Info]])+1)-FIND(",",RawSalesTable[[#This Row],[Customer_Info]])-1))</f>
        <v>Surrey</v>
      </c>
      <c r="U164" s="8" t="str">
        <f>TRIM(RIGHT(RawSalesTable[[#This Row],[Customer_Info]], LEN(RawSalesTable[[#This Row],[Customer_Info]])-FIND(",",RawSalesTable[[#This Row],[Customer_Info]],FIND(",",RawSalesTable[[#This Row],[Customer_Info]])+1)))</f>
        <v>Consumer</v>
      </c>
      <c r="V164" s="8" t="str">
        <f>VLOOKUP(RawSalesTable[[#This Row],[Product_ID]],ProductsTable[],2,FALSE)</f>
        <v>Document Shredder</v>
      </c>
      <c r="W164" s="8" t="str">
        <f>VLOOKUP(RawSalesTable[[#This Row],[Product_ID]],ProductsTable[],3,FALSE)</f>
        <v>Office</v>
      </c>
      <c r="X164" s="8">
        <f>VLOOKUP(RawSalesTable[[#This Row],[Product_ID]],ProductsTable[],5,FALSE)</f>
        <v>117.65</v>
      </c>
      <c r="Y164" s="8">
        <f>RawSalesTable[[#This Row],[Quantity]]*RawSalesTable[[#This Row],[Unit_Price]]</f>
        <v>466.24</v>
      </c>
      <c r="Z164" s="8">
        <f>RawSalesTable[[#This Row],[Gross_Sales]]*RawSalesTable[[#This Row],[Discount_Pct]]</f>
        <v>0</v>
      </c>
      <c r="AA164" s="8">
        <f>RawSalesTable[[#This Row],[Gross_Sales]]-RawSalesTable[[#This Row],[Discount_Amount]]</f>
        <v>466.24</v>
      </c>
      <c r="AB164" s="8">
        <f>RawSalesTable[[#This Row],[Unit_Cost]]*RawSalesTable[[#This Row],[Quantity]]</f>
        <v>235.3</v>
      </c>
      <c r="AC164" s="8">
        <f>RawSalesTable[[#This Row],[Net_Sales]]-RawSalesTable[[#This Row],[Total_Cost]]</f>
        <v>230.94</v>
      </c>
      <c r="AD164" s="9">
        <f>RawSalesTable[[#This Row],[Profit]]/RawSalesTable[[#This Row],[Net_Sales]]</f>
        <v>0.49532429649965681</v>
      </c>
      <c r="AE164" s="8">
        <f>IF(RawSalesTable[[#This Row],[Return_Status]]="Yes",1,0)</f>
        <v>1</v>
      </c>
      <c r="AF164" s="8">
        <f>YEAR(RawSalesTable[[#This Row],[Order_Date]])</f>
        <v>2025</v>
      </c>
      <c r="AG164" s="8">
        <f>MONTH(RawSalesTable[[#This Row],[Order_Date]])</f>
        <v>4</v>
      </c>
      <c r="AH164" s="8" t="str">
        <f>TEXT(RawSalesTable[[#This Row],[Order_Date]],"mmmm")</f>
        <v>avril</v>
      </c>
      <c r="AI164" s="8" t="str">
        <f>IF(RawSalesTable[[#This Row],[Month_Number]]&lt;=3,"Q1",IF(RawSalesTable[[#This Row],[Month_Number]]&lt;=6,"Q2",IF(RawSalesTable[[#This Row],[Month_Number]]&lt;=9,"Q3","Q4")))</f>
        <v>Q2</v>
      </c>
      <c r="AJ164" s="13">
        <f>DATE(YEAR(RawSalesTable[[#This Row],[Order_Date]]),MONTH(RawSalesTable[[#This Row],[Order_Date]]),1)</f>
        <v>45748</v>
      </c>
      <c r="AK164" s="8" t="str">
        <f>VLOOKUP(RawSalesTable[[#This Row],[Customer_ID_clean]],CustomersTable[],4,FALSE)</f>
        <v>British Columbia</v>
      </c>
    </row>
    <row r="165" spans="1:37">
      <c r="A165" t="s">
        <v>484</v>
      </c>
      <c r="B165" s="3">
        <v>45886</v>
      </c>
      <c r="C165" t="s">
        <v>313</v>
      </c>
      <c r="D165" t="s">
        <v>114</v>
      </c>
      <c r="E165" t="s">
        <v>314</v>
      </c>
      <c r="F165" t="s">
        <v>103</v>
      </c>
      <c r="G165" t="s">
        <v>96</v>
      </c>
      <c r="H165" t="s">
        <v>89</v>
      </c>
      <c r="I165">
        <v>2</v>
      </c>
      <c r="J165" s="2">
        <v>151.72</v>
      </c>
      <c r="K165" s="4">
        <v>0</v>
      </c>
      <c r="L165" t="s">
        <v>98</v>
      </c>
      <c r="M165">
        <v>6</v>
      </c>
      <c r="N165" t="s">
        <v>91</v>
      </c>
      <c r="O165" t="str">
        <f>SUBSTITUTE(PROPER(TRIM(RawSalesTable[[#This Row],[Channel_Raw]])), "Market Place", "Marketplace")</f>
        <v>Online</v>
      </c>
      <c r="P165" t="str">
        <f>TRIM(RawSalesTable[[#This Row],[Store_Raw]])</f>
        <v>Vancouver West</v>
      </c>
      <c r="Q165" t="str">
        <f>IF(TRIM(RawSalesTable[[#This Row],[Payment_Method_Raw]])="","Non renseigné",SUBSTITUTE(TRIM(RawSalesTable[[#This Row],[Payment_Method_Raw]]),"CC","Credit Card"))</f>
        <v>Debit Card</v>
      </c>
      <c r="R165" s="8" t="str">
        <f>UPPER(PROPER(RawSalesTable[[#This Row],[Customer_ID]]))</f>
        <v>C0080</v>
      </c>
      <c r="S165" s="8" t="str">
        <f>TRIM(LEFT(RawSalesTable[[#This Row],[Customer_Info]],FIND(",",RawSalesTable[[#This Row],[Customer_Info]]) -1))</f>
        <v>Sarah Smith</v>
      </c>
      <c r="T165" s="8" t="str">
        <f>TRIM(MID(RawSalesTable[[#This Row],[Customer_Info]],FIND(",",RawSalesTable[[#This Row],[Customer_Info]])+1,FIND(",",RawSalesTable[[#This Row],[Customer_Info]],FIND(",",RawSalesTable[[#This Row],[Customer_Info]])+1)-FIND(",",RawSalesTable[[#This Row],[Customer_Info]])-1))</f>
        <v>Mississauga</v>
      </c>
      <c r="U165" s="8" t="str">
        <f>TRIM(RIGHT(RawSalesTable[[#This Row],[Customer_Info]], LEN(RawSalesTable[[#This Row],[Customer_Info]])-FIND(",",RawSalesTable[[#This Row],[Customer_Info]],FIND(",",RawSalesTable[[#This Row],[Customer_Info]])+1)))</f>
        <v>Corporate</v>
      </c>
      <c r="V165" s="8" t="str">
        <f>VLOOKUP(RawSalesTable[[#This Row],[Product_ID]],ProductsTable[],2,FALSE)</f>
        <v>Laptop Sleeve</v>
      </c>
      <c r="W165" s="8" t="str">
        <f>VLOOKUP(RawSalesTable[[#This Row],[Product_ID]],ProductsTable[],3,FALSE)</f>
        <v>Accessories</v>
      </c>
      <c r="X165" s="8">
        <f>VLOOKUP(RawSalesTable[[#This Row],[Product_ID]],ProductsTable[],5,FALSE)</f>
        <v>78.95</v>
      </c>
      <c r="Y165" s="8">
        <f>RawSalesTable[[#This Row],[Quantity]]*RawSalesTable[[#This Row],[Unit_Price]]</f>
        <v>303.44</v>
      </c>
      <c r="Z165" s="8">
        <f>RawSalesTable[[#This Row],[Gross_Sales]]*RawSalesTable[[#This Row],[Discount_Pct]]</f>
        <v>0</v>
      </c>
      <c r="AA165" s="8">
        <f>RawSalesTable[[#This Row],[Gross_Sales]]-RawSalesTable[[#This Row],[Discount_Amount]]</f>
        <v>303.44</v>
      </c>
      <c r="AB165" s="8">
        <f>RawSalesTable[[#This Row],[Unit_Cost]]*RawSalesTable[[#This Row],[Quantity]]</f>
        <v>157.9</v>
      </c>
      <c r="AC165" s="8">
        <f>RawSalesTable[[#This Row],[Net_Sales]]-RawSalesTable[[#This Row],[Total_Cost]]</f>
        <v>145.54</v>
      </c>
      <c r="AD165" s="9">
        <f>RawSalesTable[[#This Row],[Profit]]/RawSalesTable[[#This Row],[Net_Sales]]</f>
        <v>0.47963353546005799</v>
      </c>
      <c r="AE165" s="8">
        <f>IF(RawSalesTable[[#This Row],[Return_Status]]="Yes",1,0)</f>
        <v>0</v>
      </c>
      <c r="AF165" s="8">
        <f>YEAR(RawSalesTable[[#This Row],[Order_Date]])</f>
        <v>2025</v>
      </c>
      <c r="AG165" s="8">
        <f>MONTH(RawSalesTable[[#This Row],[Order_Date]])</f>
        <v>8</v>
      </c>
      <c r="AH165" s="8" t="str">
        <f>TEXT(RawSalesTable[[#This Row],[Order_Date]],"mmmm")</f>
        <v>août</v>
      </c>
      <c r="AI165" s="8" t="str">
        <f>IF(RawSalesTable[[#This Row],[Month_Number]]&lt;=3,"Q1",IF(RawSalesTable[[#This Row],[Month_Number]]&lt;=6,"Q2",IF(RawSalesTable[[#This Row],[Month_Number]]&lt;=9,"Q3","Q4")))</f>
        <v>Q3</v>
      </c>
      <c r="AJ165" s="13">
        <f>DATE(YEAR(RawSalesTable[[#This Row],[Order_Date]]),MONTH(RawSalesTable[[#This Row],[Order_Date]]),1)</f>
        <v>45870</v>
      </c>
      <c r="AK165" s="8" t="str">
        <f>VLOOKUP(RawSalesTable[[#This Row],[Customer_ID_clean]],CustomersTable[],4,FALSE)</f>
        <v>Ontario</v>
      </c>
    </row>
    <row r="166" spans="1:37">
      <c r="A166" t="s">
        <v>485</v>
      </c>
      <c r="B166" s="3">
        <v>45741</v>
      </c>
      <c r="C166" t="s">
        <v>273</v>
      </c>
      <c r="D166" t="s">
        <v>249</v>
      </c>
      <c r="E166" t="s">
        <v>274</v>
      </c>
      <c r="F166" t="s">
        <v>116</v>
      </c>
      <c r="G166" t="s">
        <v>183</v>
      </c>
      <c r="H166" t="s">
        <v>97</v>
      </c>
      <c r="I166">
        <v>1</v>
      </c>
      <c r="J166" s="2">
        <v>396.12</v>
      </c>
      <c r="K166" s="4">
        <v>0</v>
      </c>
      <c r="L166" t="s">
        <v>98</v>
      </c>
      <c r="M166">
        <v>4</v>
      </c>
      <c r="N166" t="s">
        <v>91</v>
      </c>
      <c r="O166" t="str">
        <f>SUBSTITUTE(PROPER(TRIM(RawSalesTable[[#This Row],[Channel_Raw]])), "Market Place", "Marketplace")</f>
        <v>Retail Store</v>
      </c>
      <c r="P166" t="str">
        <f>TRIM(RawSalesTable[[#This Row],[Store_Raw]])</f>
        <v>Toronto Downtown</v>
      </c>
      <c r="Q166" t="str">
        <f>IF(TRIM(RawSalesTable[[#This Row],[Payment_Method_Raw]])="","Non renseigné",SUBSTITUTE(TRIM(RawSalesTable[[#This Row],[Payment_Method_Raw]]),"CC","Credit Card"))</f>
        <v>Debit Card</v>
      </c>
      <c r="R166" s="8" t="str">
        <f>UPPER(PROPER(RawSalesTable[[#This Row],[Customer_ID]]))</f>
        <v>C0066</v>
      </c>
      <c r="S166" s="8" t="str">
        <f>TRIM(LEFT(RawSalesTable[[#This Row],[Customer_Info]],FIND(",",RawSalesTable[[#This Row],[Customer_Info]]) -1))</f>
        <v>Noah Clark</v>
      </c>
      <c r="T166" s="8" t="str">
        <f>TRIM(MID(RawSalesTable[[#This Row],[Customer_Info]],FIND(",",RawSalesTable[[#This Row],[Customer_Info]])+1,FIND(",",RawSalesTable[[#This Row],[Customer_Info]],FIND(",",RawSalesTable[[#This Row],[Customer_Info]])+1)-FIND(",",RawSalesTable[[#This Row],[Customer_Info]])-1))</f>
        <v>Laval</v>
      </c>
      <c r="U166" s="8" t="str">
        <f>TRIM(RIGHT(RawSalesTable[[#This Row],[Customer_Info]], LEN(RawSalesTable[[#This Row],[Customer_Info]])-FIND(",",RawSalesTable[[#This Row],[Customer_Info]],FIND(",",RawSalesTable[[#This Row],[Customer_Info]])+1)))</f>
        <v>Consumer</v>
      </c>
      <c r="V166" s="8" t="str">
        <f>VLOOKUP(RawSalesTable[[#This Row],[Product_ID]],ProductsTable[],2,FALSE)</f>
        <v>Humidifier</v>
      </c>
      <c r="W166" s="8" t="str">
        <f>VLOOKUP(RawSalesTable[[#This Row],[Product_ID]],ProductsTable[],3,FALSE)</f>
        <v>Home</v>
      </c>
      <c r="X166" s="8">
        <f>VLOOKUP(RawSalesTable[[#This Row],[Product_ID]],ProductsTable[],5,FALSE)</f>
        <v>239.67</v>
      </c>
      <c r="Y166" s="8">
        <f>RawSalesTable[[#This Row],[Quantity]]*RawSalesTable[[#This Row],[Unit_Price]]</f>
        <v>396.12</v>
      </c>
      <c r="Z166" s="8">
        <f>RawSalesTable[[#This Row],[Gross_Sales]]*RawSalesTable[[#This Row],[Discount_Pct]]</f>
        <v>0</v>
      </c>
      <c r="AA166" s="8">
        <f>RawSalesTable[[#This Row],[Gross_Sales]]-RawSalesTable[[#This Row],[Discount_Amount]]</f>
        <v>396.12</v>
      </c>
      <c r="AB166" s="8">
        <f>RawSalesTable[[#This Row],[Unit_Cost]]*RawSalesTable[[#This Row],[Quantity]]</f>
        <v>239.67</v>
      </c>
      <c r="AC166" s="8">
        <f>RawSalesTable[[#This Row],[Net_Sales]]-RawSalesTable[[#This Row],[Total_Cost]]</f>
        <v>156.45000000000002</v>
      </c>
      <c r="AD166" s="9">
        <f>RawSalesTable[[#This Row],[Profit]]/RawSalesTable[[#This Row],[Net_Sales]]</f>
        <v>0.39495607391699489</v>
      </c>
      <c r="AE166" s="8">
        <f>IF(RawSalesTable[[#This Row],[Return_Status]]="Yes",1,0)</f>
        <v>0</v>
      </c>
      <c r="AF166" s="8">
        <f>YEAR(RawSalesTable[[#This Row],[Order_Date]])</f>
        <v>2025</v>
      </c>
      <c r="AG166" s="8">
        <f>MONTH(RawSalesTable[[#This Row],[Order_Date]])</f>
        <v>3</v>
      </c>
      <c r="AH166" s="8" t="str">
        <f>TEXT(RawSalesTable[[#This Row],[Order_Date]],"mmmm")</f>
        <v>mars</v>
      </c>
      <c r="AI166" s="8" t="str">
        <f>IF(RawSalesTable[[#This Row],[Month_Number]]&lt;=3,"Q1",IF(RawSalesTable[[#This Row],[Month_Number]]&lt;=6,"Q2",IF(RawSalesTable[[#This Row],[Month_Number]]&lt;=9,"Q3","Q4")))</f>
        <v>Q1</v>
      </c>
      <c r="AJ166" s="13">
        <f>DATE(YEAR(RawSalesTable[[#This Row],[Order_Date]]),MONTH(RawSalesTable[[#This Row],[Order_Date]]),1)</f>
        <v>45717</v>
      </c>
      <c r="AK166" s="8" t="str">
        <f>VLOOKUP(RawSalesTable[[#This Row],[Customer_ID_clean]],CustomersTable[],4,FALSE)</f>
        <v>Quebec</v>
      </c>
    </row>
    <row r="167" spans="1:37">
      <c r="A167" t="s">
        <v>486</v>
      </c>
      <c r="B167" s="3">
        <v>45687</v>
      </c>
      <c r="C167" t="s">
        <v>487</v>
      </c>
      <c r="D167" t="s">
        <v>133</v>
      </c>
      <c r="E167" t="s">
        <v>488</v>
      </c>
      <c r="F167" t="s">
        <v>145</v>
      </c>
      <c r="G167" t="s">
        <v>96</v>
      </c>
      <c r="H167" t="s">
        <v>89</v>
      </c>
      <c r="I167">
        <v>3</v>
      </c>
      <c r="J167" s="2">
        <v>341.51</v>
      </c>
      <c r="K167" s="4">
        <v>0.25</v>
      </c>
      <c r="L167" t="s">
        <v>98</v>
      </c>
      <c r="M167">
        <v>8</v>
      </c>
      <c r="N167" t="s">
        <v>91</v>
      </c>
      <c r="O167" t="str">
        <f>SUBSTITUTE(PROPER(TRIM(RawSalesTable[[#This Row],[Channel_Raw]])), "Market Place", "Marketplace")</f>
        <v>Online</v>
      </c>
      <c r="P167" t="str">
        <f>TRIM(RawSalesTable[[#This Row],[Store_Raw]])</f>
        <v>Calgary North</v>
      </c>
      <c r="Q167" t="str">
        <f>IF(TRIM(RawSalesTable[[#This Row],[Payment_Method_Raw]])="","Non renseigné",SUBSTITUTE(TRIM(RawSalesTable[[#This Row],[Payment_Method_Raw]]),"CC","Credit Card"))</f>
        <v>Debit Card</v>
      </c>
      <c r="R167" s="8" t="str">
        <f>UPPER(PROPER(RawSalesTable[[#This Row],[Customer_ID]]))</f>
        <v>C0105</v>
      </c>
      <c r="S167" s="8" t="str">
        <f>TRIM(LEFT(RawSalesTable[[#This Row],[Customer_Info]],FIND(",",RawSalesTable[[#This Row],[Customer_Info]]) -1))</f>
        <v>Liam Martin</v>
      </c>
      <c r="T167" s="8" t="str">
        <f>TRIM(MID(RawSalesTable[[#This Row],[Customer_Info]],FIND(",",RawSalesTable[[#This Row],[Customer_Info]])+1,FIND(",",RawSalesTable[[#This Row],[Customer_Info]],FIND(",",RawSalesTable[[#This Row],[Customer_Info]])+1)-FIND(",",RawSalesTable[[#This Row],[Customer_Info]])-1))</f>
        <v>Calgary</v>
      </c>
      <c r="U167" s="8" t="str">
        <f>TRIM(RIGHT(RawSalesTable[[#This Row],[Customer_Info]], LEN(RawSalesTable[[#This Row],[Customer_Info]])-FIND(",",RawSalesTable[[#This Row],[Customer_Info]],FIND(",",RawSalesTable[[#This Row],[Customer_Info]])+1)))</f>
        <v>Consumer</v>
      </c>
      <c r="V167" s="8" t="str">
        <f>VLOOKUP(RawSalesTable[[#This Row],[Product_ID]],ProductsTable[],2,FALSE)</f>
        <v>Travel Adapter</v>
      </c>
      <c r="W167" s="8" t="str">
        <f>VLOOKUP(RawSalesTable[[#This Row],[Product_ID]],ProductsTable[],3,FALSE)</f>
        <v>Accessories</v>
      </c>
      <c r="X167" s="8">
        <f>VLOOKUP(RawSalesTable[[#This Row],[Product_ID]],ProductsTable[],5,FALSE)</f>
        <v>229.86</v>
      </c>
      <c r="Y167" s="8">
        <f>RawSalesTable[[#This Row],[Quantity]]*RawSalesTable[[#This Row],[Unit_Price]]</f>
        <v>1024.53</v>
      </c>
      <c r="Z167" s="8">
        <f>RawSalesTable[[#This Row],[Gross_Sales]]*RawSalesTable[[#This Row],[Discount_Pct]]</f>
        <v>256.13249999999999</v>
      </c>
      <c r="AA167" s="8">
        <f>RawSalesTable[[#This Row],[Gross_Sales]]-RawSalesTable[[#This Row],[Discount_Amount]]</f>
        <v>768.39750000000004</v>
      </c>
      <c r="AB167" s="8">
        <f>RawSalesTable[[#This Row],[Unit_Cost]]*RawSalesTable[[#This Row],[Quantity]]</f>
        <v>689.58</v>
      </c>
      <c r="AC167" s="8">
        <f>RawSalesTable[[#This Row],[Net_Sales]]-RawSalesTable[[#This Row],[Total_Cost]]</f>
        <v>78.817499999999995</v>
      </c>
      <c r="AD167" s="9">
        <f>RawSalesTable[[#This Row],[Profit]]/RawSalesTable[[#This Row],[Net_Sales]]</f>
        <v>0.10257386313724341</v>
      </c>
      <c r="AE167" s="8">
        <f>IF(RawSalesTable[[#This Row],[Return_Status]]="Yes",1,0)</f>
        <v>0</v>
      </c>
      <c r="AF167" s="8">
        <f>YEAR(RawSalesTable[[#This Row],[Order_Date]])</f>
        <v>2025</v>
      </c>
      <c r="AG167" s="8">
        <f>MONTH(RawSalesTable[[#This Row],[Order_Date]])</f>
        <v>1</v>
      </c>
      <c r="AH167" s="8" t="str">
        <f>TEXT(RawSalesTable[[#This Row],[Order_Date]],"mmmm")</f>
        <v>janvier</v>
      </c>
      <c r="AI167" s="8" t="str">
        <f>IF(RawSalesTable[[#This Row],[Month_Number]]&lt;=3,"Q1",IF(RawSalesTable[[#This Row],[Month_Number]]&lt;=6,"Q2",IF(RawSalesTable[[#This Row],[Month_Number]]&lt;=9,"Q3","Q4")))</f>
        <v>Q1</v>
      </c>
      <c r="AJ167" s="13">
        <f>DATE(YEAR(RawSalesTable[[#This Row],[Order_Date]]),MONTH(RawSalesTable[[#This Row],[Order_Date]]),1)</f>
        <v>45658</v>
      </c>
      <c r="AK167" s="8" t="str">
        <f>VLOOKUP(RawSalesTable[[#This Row],[Customer_ID_clean]],CustomersTable[],4,FALSE)</f>
        <v>Alberta</v>
      </c>
    </row>
    <row r="168" spans="1:37">
      <c r="A168" t="s">
        <v>489</v>
      </c>
      <c r="B168" s="3">
        <v>45906</v>
      </c>
      <c r="C168" t="s">
        <v>366</v>
      </c>
      <c r="D168" t="s">
        <v>85</v>
      </c>
      <c r="E168" t="s">
        <v>367</v>
      </c>
      <c r="F168" t="s">
        <v>103</v>
      </c>
      <c r="G168" t="s">
        <v>122</v>
      </c>
      <c r="H168" t="s">
        <v>97</v>
      </c>
      <c r="I168">
        <v>1</v>
      </c>
      <c r="J168" s="2">
        <v>320.8</v>
      </c>
      <c r="K168" s="4">
        <v>0.15</v>
      </c>
      <c r="L168" t="s">
        <v>106</v>
      </c>
      <c r="M168">
        <v>2</v>
      </c>
      <c r="N168" t="s">
        <v>91</v>
      </c>
      <c r="O168" t="str">
        <f>SUBSTITUTE(PROPER(TRIM(RawSalesTable[[#This Row],[Channel_Raw]])), "Market Place", "Marketplace")</f>
        <v>Retail Store</v>
      </c>
      <c r="P168" t="str">
        <f>TRIM(RawSalesTable[[#This Row],[Store_Raw]])</f>
        <v>Vancouver West</v>
      </c>
      <c r="Q168" t="str">
        <f>IF(TRIM(RawSalesTable[[#This Row],[Payment_Method_Raw]])="","Non renseigné",SUBSTITUTE(TRIM(RawSalesTable[[#This Row],[Payment_Method_Raw]]),"CC","Credit Card"))</f>
        <v>Credit Card</v>
      </c>
      <c r="R168" s="8" t="str">
        <f>UPPER(PROPER(RawSalesTable[[#This Row],[Customer_ID]]))</f>
        <v>C0117</v>
      </c>
      <c r="S168" s="8" t="str">
        <f>TRIM(LEFT(RawSalesTable[[#This Row],[Customer_Info]],FIND(",",RawSalesTable[[#This Row],[Customer_Info]]) -1))</f>
        <v>Ethan Hall</v>
      </c>
      <c r="T168" s="8" t="str">
        <f>TRIM(MID(RawSalesTable[[#This Row],[Customer_Info]],FIND(",",RawSalesTable[[#This Row],[Customer_Info]])+1,FIND(",",RawSalesTable[[#This Row],[Customer_Info]],FIND(",",RawSalesTable[[#This Row],[Customer_Info]])+1)-FIND(",",RawSalesTable[[#This Row],[Customer_Info]])-1))</f>
        <v>Vancouver</v>
      </c>
      <c r="U168" s="8" t="str">
        <f>TRIM(RIGHT(RawSalesTable[[#This Row],[Customer_Info]], LEN(RawSalesTable[[#This Row],[Customer_Info]])-FIND(",",RawSalesTable[[#This Row],[Customer_Info]],FIND(",",RawSalesTable[[#This Row],[Customer_Info]])+1)))</f>
        <v>Consumer</v>
      </c>
      <c r="V168" s="8" t="str">
        <f>VLOOKUP(RawSalesTable[[#This Row],[Product_ID]],ProductsTable[],2,FALSE)</f>
        <v>Yoga Mat</v>
      </c>
      <c r="W168" s="8" t="str">
        <f>VLOOKUP(RawSalesTable[[#This Row],[Product_ID]],ProductsTable[],3,FALSE)</f>
        <v>Fitness</v>
      </c>
      <c r="X168" s="8">
        <f>VLOOKUP(RawSalesTable[[#This Row],[Product_ID]],ProductsTable[],5,FALSE)</f>
        <v>197.33</v>
      </c>
      <c r="Y168" s="8">
        <f>RawSalesTable[[#This Row],[Quantity]]*RawSalesTable[[#This Row],[Unit_Price]]</f>
        <v>320.8</v>
      </c>
      <c r="Z168" s="8">
        <f>RawSalesTable[[#This Row],[Gross_Sales]]*RawSalesTable[[#This Row],[Discount_Pct]]</f>
        <v>48.12</v>
      </c>
      <c r="AA168" s="8">
        <f>RawSalesTable[[#This Row],[Gross_Sales]]-RawSalesTable[[#This Row],[Discount_Amount]]</f>
        <v>272.68</v>
      </c>
      <c r="AB168" s="8">
        <f>RawSalesTable[[#This Row],[Unit_Cost]]*RawSalesTable[[#This Row],[Quantity]]</f>
        <v>197.33</v>
      </c>
      <c r="AC168" s="8">
        <f>RawSalesTable[[#This Row],[Net_Sales]]-RawSalesTable[[#This Row],[Total_Cost]]</f>
        <v>75.349999999999994</v>
      </c>
      <c r="AD168" s="9">
        <f>RawSalesTable[[#This Row],[Profit]]/RawSalesTable[[#This Row],[Net_Sales]]</f>
        <v>0.27633123074666271</v>
      </c>
      <c r="AE168" s="8">
        <f>IF(RawSalesTable[[#This Row],[Return_Status]]="Yes",1,0)</f>
        <v>0</v>
      </c>
      <c r="AF168" s="8">
        <f>YEAR(RawSalesTable[[#This Row],[Order_Date]])</f>
        <v>2025</v>
      </c>
      <c r="AG168" s="8">
        <f>MONTH(RawSalesTable[[#This Row],[Order_Date]])</f>
        <v>9</v>
      </c>
      <c r="AH168" s="8" t="str">
        <f>TEXT(RawSalesTable[[#This Row],[Order_Date]],"mmmm")</f>
        <v>septembre</v>
      </c>
      <c r="AI168" s="8" t="str">
        <f>IF(RawSalesTable[[#This Row],[Month_Number]]&lt;=3,"Q1",IF(RawSalesTable[[#This Row],[Month_Number]]&lt;=6,"Q2",IF(RawSalesTable[[#This Row],[Month_Number]]&lt;=9,"Q3","Q4")))</f>
        <v>Q3</v>
      </c>
      <c r="AJ168" s="13">
        <f>DATE(YEAR(RawSalesTable[[#This Row],[Order_Date]]),MONTH(RawSalesTable[[#This Row],[Order_Date]]),1)</f>
        <v>45901</v>
      </c>
      <c r="AK168" s="8" t="str">
        <f>VLOOKUP(RawSalesTable[[#This Row],[Customer_ID_clean]],CustomersTable[],4,FALSE)</f>
        <v>British Columbia</v>
      </c>
    </row>
    <row r="169" spans="1:37">
      <c r="A169" t="s">
        <v>490</v>
      </c>
      <c r="B169" s="3">
        <v>45714</v>
      </c>
      <c r="C169" t="s">
        <v>491</v>
      </c>
      <c r="D169" t="s">
        <v>85</v>
      </c>
      <c r="E169" t="s">
        <v>492</v>
      </c>
      <c r="F169" t="s">
        <v>103</v>
      </c>
      <c r="G169" t="s">
        <v>183</v>
      </c>
      <c r="H169" t="s">
        <v>97</v>
      </c>
      <c r="I169">
        <v>3</v>
      </c>
      <c r="J169" s="2">
        <v>317.19</v>
      </c>
      <c r="K169" s="4">
        <v>0.1</v>
      </c>
      <c r="L169" t="s">
        <v>106</v>
      </c>
      <c r="M169">
        <v>4</v>
      </c>
      <c r="N169" t="s">
        <v>91</v>
      </c>
      <c r="O169" t="str">
        <f>SUBSTITUTE(PROPER(TRIM(RawSalesTable[[#This Row],[Channel_Raw]])), "Market Place", "Marketplace")</f>
        <v>Retail Store</v>
      </c>
      <c r="P169" t="str">
        <f>TRIM(RawSalesTable[[#This Row],[Store_Raw]])</f>
        <v>Vancouver West</v>
      </c>
      <c r="Q169" t="str">
        <f>IF(TRIM(RawSalesTable[[#This Row],[Payment_Method_Raw]])="","Non renseigné",SUBSTITUTE(TRIM(RawSalesTable[[#This Row],[Payment_Method_Raw]]),"CC","Credit Card"))</f>
        <v>Credit Card</v>
      </c>
      <c r="R169" s="8" t="str">
        <f>UPPER(PROPER(RawSalesTable[[#This Row],[Customer_ID]]))</f>
        <v>C0045</v>
      </c>
      <c r="S169" s="8" t="str">
        <f>TRIM(LEFT(RawSalesTable[[#This Row],[Customer_Info]],FIND(",",RawSalesTable[[#This Row],[Customer_Info]]) -1))</f>
        <v>Lucas Chen</v>
      </c>
      <c r="T169" s="8" t="str">
        <f>TRIM(MID(RawSalesTable[[#This Row],[Customer_Info]],FIND(",",RawSalesTable[[#This Row],[Customer_Info]])+1,FIND(",",RawSalesTable[[#This Row],[Customer_Info]],FIND(",",RawSalesTable[[#This Row],[Customer_Info]])+1)-FIND(",",RawSalesTable[[#This Row],[Customer_Info]])-1))</f>
        <v>Ottawa</v>
      </c>
      <c r="U169" s="8" t="str">
        <f>TRIM(RIGHT(RawSalesTable[[#This Row],[Customer_Info]], LEN(RawSalesTable[[#This Row],[Customer_Info]])-FIND(",",RawSalesTable[[#This Row],[Customer_Info]],FIND(",",RawSalesTable[[#This Row],[Customer_Info]])+1)))</f>
        <v>Corporate</v>
      </c>
      <c r="V169" s="8" t="str">
        <f>VLOOKUP(RawSalesTable[[#This Row],[Product_ID]],ProductsTable[],2,FALSE)</f>
        <v>Yoga Mat</v>
      </c>
      <c r="W169" s="8" t="str">
        <f>VLOOKUP(RawSalesTable[[#This Row],[Product_ID]],ProductsTable[],3,FALSE)</f>
        <v>Fitness</v>
      </c>
      <c r="X169" s="8">
        <f>VLOOKUP(RawSalesTable[[#This Row],[Product_ID]],ProductsTable[],5,FALSE)</f>
        <v>197.33</v>
      </c>
      <c r="Y169" s="8">
        <f>RawSalesTable[[#This Row],[Quantity]]*RawSalesTable[[#This Row],[Unit_Price]]</f>
        <v>951.56999999999994</v>
      </c>
      <c r="Z169" s="8">
        <f>RawSalesTable[[#This Row],[Gross_Sales]]*RawSalesTable[[#This Row],[Discount_Pct]]</f>
        <v>95.156999999999996</v>
      </c>
      <c r="AA169" s="8">
        <f>RawSalesTable[[#This Row],[Gross_Sales]]-RawSalesTable[[#This Row],[Discount_Amount]]</f>
        <v>856.4129999999999</v>
      </c>
      <c r="AB169" s="8">
        <f>RawSalesTable[[#This Row],[Unit_Cost]]*RawSalesTable[[#This Row],[Quantity]]</f>
        <v>591.99</v>
      </c>
      <c r="AC169" s="8">
        <f>RawSalesTable[[#This Row],[Net_Sales]]-RawSalesTable[[#This Row],[Total_Cost]]</f>
        <v>264.42299999999989</v>
      </c>
      <c r="AD169" s="9">
        <f>RawSalesTable[[#This Row],[Profit]]/RawSalesTable[[#This Row],[Net_Sales]]</f>
        <v>0.30875640607977684</v>
      </c>
      <c r="AE169" s="8">
        <f>IF(RawSalesTable[[#This Row],[Return_Status]]="Yes",1,0)</f>
        <v>0</v>
      </c>
      <c r="AF169" s="8">
        <f>YEAR(RawSalesTable[[#This Row],[Order_Date]])</f>
        <v>2025</v>
      </c>
      <c r="AG169" s="8">
        <f>MONTH(RawSalesTable[[#This Row],[Order_Date]])</f>
        <v>2</v>
      </c>
      <c r="AH169" s="8" t="str">
        <f>TEXT(RawSalesTable[[#This Row],[Order_Date]],"mmmm")</f>
        <v>février</v>
      </c>
      <c r="AI169" s="8" t="str">
        <f>IF(RawSalesTable[[#This Row],[Month_Number]]&lt;=3,"Q1",IF(RawSalesTable[[#This Row],[Month_Number]]&lt;=6,"Q2",IF(RawSalesTable[[#This Row],[Month_Number]]&lt;=9,"Q3","Q4")))</f>
        <v>Q1</v>
      </c>
      <c r="AJ169" s="13">
        <f>DATE(YEAR(RawSalesTable[[#This Row],[Order_Date]]),MONTH(RawSalesTable[[#This Row],[Order_Date]]),1)</f>
        <v>45689</v>
      </c>
      <c r="AK169" s="8" t="str">
        <f>VLOOKUP(RawSalesTable[[#This Row],[Customer_ID_clean]],CustomersTable[],4,FALSE)</f>
        <v>Ontario</v>
      </c>
    </row>
    <row r="170" spans="1:37">
      <c r="A170" t="s">
        <v>493</v>
      </c>
      <c r="B170" s="3">
        <v>45693</v>
      </c>
      <c r="C170" t="s">
        <v>494</v>
      </c>
      <c r="D170" t="s">
        <v>181</v>
      </c>
      <c r="E170" t="s">
        <v>495</v>
      </c>
      <c r="F170" t="s">
        <v>103</v>
      </c>
      <c r="G170" t="s">
        <v>96</v>
      </c>
      <c r="H170" t="s">
        <v>105</v>
      </c>
      <c r="I170">
        <v>1</v>
      </c>
      <c r="J170" s="2">
        <v>357.14</v>
      </c>
      <c r="K170" s="4">
        <v>0</v>
      </c>
      <c r="L170" t="s">
        <v>432</v>
      </c>
      <c r="M170">
        <v>2</v>
      </c>
      <c r="N170" t="s">
        <v>91</v>
      </c>
      <c r="O170" t="str">
        <f>SUBSTITUTE(PROPER(TRIM(RawSalesTable[[#This Row],[Channel_Raw]])), "Market Place", "Marketplace")</f>
        <v>Marketplace</v>
      </c>
      <c r="P170" t="str">
        <f>TRIM(RawSalesTable[[#This Row],[Store_Raw]])</f>
        <v>Vancouver West</v>
      </c>
      <c r="Q170" t="str">
        <f>IF(TRIM(RawSalesTable[[#This Row],[Payment_Method_Raw]])="","Non renseigné",SUBSTITUTE(TRIM(RawSalesTable[[#This Row],[Payment_Method_Raw]]),"CC","Credit Card"))</f>
        <v>PAYPAL</v>
      </c>
      <c r="R170" s="8" t="str">
        <f>UPPER(PROPER(RawSalesTable[[#This Row],[Customer_ID]]))</f>
        <v>C0017</v>
      </c>
      <c r="S170" s="8" t="str">
        <f>TRIM(LEFT(RawSalesTable[[#This Row],[Customer_Info]],FIND(",",RawSalesTable[[#This Row],[Customer_Info]]) -1))</f>
        <v>Yasmine Khan</v>
      </c>
      <c r="T170" s="8" t="str">
        <f>TRIM(MID(RawSalesTable[[#This Row],[Customer_Info]],FIND(",",RawSalesTable[[#This Row],[Customer_Info]])+1,FIND(",",RawSalesTable[[#This Row],[Customer_Info]],FIND(",",RawSalesTable[[#This Row],[Customer_Info]])+1)-FIND(",",RawSalesTable[[#This Row],[Customer_Info]])-1))</f>
        <v>Mississauga</v>
      </c>
      <c r="U170" s="8" t="str">
        <f>TRIM(RIGHT(RawSalesTable[[#This Row],[Customer_Info]], LEN(RawSalesTable[[#This Row],[Customer_Info]])-FIND(",",RawSalesTable[[#This Row],[Customer_Info]],FIND(",",RawSalesTable[[#This Row],[Customer_Info]])+1)))</f>
        <v>Corporate</v>
      </c>
      <c r="V170" s="8" t="str">
        <f>VLOOKUP(RawSalesTable[[#This Row],[Product_ID]],ProductsTable[],2,FALSE)</f>
        <v>Monitor</v>
      </c>
      <c r="W170" s="8" t="str">
        <f>VLOOKUP(RawSalesTable[[#This Row],[Product_ID]],ProductsTable[],3,FALSE)</f>
        <v>Electronics</v>
      </c>
      <c r="X170" s="8">
        <f>VLOOKUP(RawSalesTable[[#This Row],[Product_ID]],ProductsTable[],5,FALSE)</f>
        <v>224.47</v>
      </c>
      <c r="Y170" s="8">
        <f>RawSalesTable[[#This Row],[Quantity]]*RawSalesTable[[#This Row],[Unit_Price]]</f>
        <v>357.14</v>
      </c>
      <c r="Z170" s="8">
        <f>RawSalesTable[[#This Row],[Gross_Sales]]*RawSalesTable[[#This Row],[Discount_Pct]]</f>
        <v>0</v>
      </c>
      <c r="AA170" s="8">
        <f>RawSalesTable[[#This Row],[Gross_Sales]]-RawSalesTable[[#This Row],[Discount_Amount]]</f>
        <v>357.14</v>
      </c>
      <c r="AB170" s="8">
        <f>RawSalesTable[[#This Row],[Unit_Cost]]*RawSalesTable[[#This Row],[Quantity]]</f>
        <v>224.47</v>
      </c>
      <c r="AC170" s="8">
        <f>RawSalesTable[[#This Row],[Net_Sales]]-RawSalesTable[[#This Row],[Total_Cost]]</f>
        <v>132.66999999999999</v>
      </c>
      <c r="AD170" s="9">
        <f>RawSalesTable[[#This Row],[Profit]]/RawSalesTable[[#This Row],[Net_Sales]]</f>
        <v>0.37147897183177464</v>
      </c>
      <c r="AE170" s="8">
        <f>IF(RawSalesTable[[#This Row],[Return_Status]]="Yes",1,0)</f>
        <v>0</v>
      </c>
      <c r="AF170" s="8">
        <f>YEAR(RawSalesTable[[#This Row],[Order_Date]])</f>
        <v>2025</v>
      </c>
      <c r="AG170" s="8">
        <f>MONTH(RawSalesTable[[#This Row],[Order_Date]])</f>
        <v>2</v>
      </c>
      <c r="AH170" s="8" t="str">
        <f>TEXT(RawSalesTable[[#This Row],[Order_Date]],"mmmm")</f>
        <v>février</v>
      </c>
      <c r="AI170" s="8" t="str">
        <f>IF(RawSalesTable[[#This Row],[Month_Number]]&lt;=3,"Q1",IF(RawSalesTable[[#This Row],[Month_Number]]&lt;=6,"Q2",IF(RawSalesTable[[#This Row],[Month_Number]]&lt;=9,"Q3","Q4")))</f>
        <v>Q1</v>
      </c>
      <c r="AJ170" s="13">
        <f>DATE(YEAR(RawSalesTable[[#This Row],[Order_Date]]),MONTH(RawSalesTable[[#This Row],[Order_Date]]),1)</f>
        <v>45689</v>
      </c>
      <c r="AK170" s="8" t="str">
        <f>VLOOKUP(RawSalesTable[[#This Row],[Customer_ID_clean]],CustomersTable[],4,FALSE)</f>
        <v>Ontario</v>
      </c>
    </row>
    <row r="171" spans="1:37">
      <c r="A171" t="s">
        <v>496</v>
      </c>
      <c r="B171" s="3">
        <v>45659</v>
      </c>
      <c r="C171" t="s">
        <v>497</v>
      </c>
      <c r="D171" t="s">
        <v>210</v>
      </c>
      <c r="E171" t="s">
        <v>498</v>
      </c>
      <c r="F171" t="s">
        <v>145</v>
      </c>
      <c r="G171" t="s">
        <v>130</v>
      </c>
      <c r="H171" t="s">
        <v>105</v>
      </c>
      <c r="I171">
        <v>1</v>
      </c>
      <c r="J171" s="2">
        <v>325.73</v>
      </c>
      <c r="K171" s="4">
        <v>0</v>
      </c>
      <c r="L171" t="s">
        <v>106</v>
      </c>
      <c r="M171">
        <v>2</v>
      </c>
      <c r="N171" t="s">
        <v>91</v>
      </c>
      <c r="O171" t="str">
        <f>SUBSTITUTE(PROPER(TRIM(RawSalesTable[[#This Row],[Channel_Raw]])), "Market Place", "Marketplace")</f>
        <v>Marketplace</v>
      </c>
      <c r="P171" t="str">
        <f>TRIM(RawSalesTable[[#This Row],[Store_Raw]])</f>
        <v>Calgary North</v>
      </c>
      <c r="Q171" t="str">
        <f>IF(TRIM(RawSalesTable[[#This Row],[Payment_Method_Raw]])="","Non renseigné",SUBSTITUTE(TRIM(RawSalesTable[[#This Row],[Payment_Method_Raw]]),"CC","Credit Card"))</f>
        <v>Credit Card</v>
      </c>
      <c r="R171" s="8" t="str">
        <f>UPPER(PROPER(RawSalesTable[[#This Row],[Customer_ID]]))</f>
        <v>C0022</v>
      </c>
      <c r="S171" s="8" t="str">
        <f>TRIM(LEFT(RawSalesTable[[#This Row],[Customer_Info]],FIND(",",RawSalesTable[[#This Row],[Customer_Info]]) -1))</f>
        <v>Adam White</v>
      </c>
      <c r="T171" s="8" t="str">
        <f>TRIM(MID(RawSalesTable[[#This Row],[Customer_Info]],FIND(",",RawSalesTable[[#This Row],[Customer_Info]])+1,FIND(",",RawSalesTable[[#This Row],[Customer_Info]],FIND(",",RawSalesTable[[#This Row],[Customer_Info]])+1)-FIND(",",RawSalesTable[[#This Row],[Customer_Info]])-1))</f>
        <v>Victoria</v>
      </c>
      <c r="U171" s="8" t="str">
        <f>TRIM(RIGHT(RawSalesTable[[#This Row],[Customer_Info]], LEN(RawSalesTable[[#This Row],[Customer_Info]])-FIND(",",RawSalesTable[[#This Row],[Customer_Info]],FIND(",",RawSalesTable[[#This Row],[Customer_Info]])+1)))</f>
        <v>Consumer</v>
      </c>
      <c r="V171" s="8" t="str">
        <f>VLOOKUP(RawSalesTable[[#This Row],[Product_ID]],ProductsTable[],2,FALSE)</f>
        <v>Desk Pad</v>
      </c>
      <c r="W171" s="8" t="str">
        <f>VLOOKUP(RawSalesTable[[#This Row],[Product_ID]],ProductsTable[],3,FALSE)</f>
        <v>Accessories</v>
      </c>
      <c r="X171" s="8">
        <f>VLOOKUP(RawSalesTable[[#This Row],[Product_ID]],ProductsTable[],5,FALSE)</f>
        <v>177.57</v>
      </c>
      <c r="Y171" s="8">
        <f>RawSalesTable[[#This Row],[Quantity]]*RawSalesTable[[#This Row],[Unit_Price]]</f>
        <v>325.73</v>
      </c>
      <c r="Z171" s="8">
        <f>RawSalesTable[[#This Row],[Gross_Sales]]*RawSalesTable[[#This Row],[Discount_Pct]]</f>
        <v>0</v>
      </c>
      <c r="AA171" s="8">
        <f>RawSalesTable[[#This Row],[Gross_Sales]]-RawSalesTable[[#This Row],[Discount_Amount]]</f>
        <v>325.73</v>
      </c>
      <c r="AB171" s="8">
        <f>RawSalesTable[[#This Row],[Unit_Cost]]*RawSalesTable[[#This Row],[Quantity]]</f>
        <v>177.57</v>
      </c>
      <c r="AC171" s="8">
        <f>RawSalesTable[[#This Row],[Net_Sales]]-RawSalesTable[[#This Row],[Total_Cost]]</f>
        <v>148.16000000000003</v>
      </c>
      <c r="AD171" s="9">
        <f>RawSalesTable[[#This Row],[Profit]]/RawSalesTable[[#This Row],[Net_Sales]]</f>
        <v>0.45485524821170914</v>
      </c>
      <c r="AE171" s="8">
        <f>IF(RawSalesTable[[#This Row],[Return_Status]]="Yes",1,0)</f>
        <v>0</v>
      </c>
      <c r="AF171" s="8">
        <f>YEAR(RawSalesTable[[#This Row],[Order_Date]])</f>
        <v>2025</v>
      </c>
      <c r="AG171" s="8">
        <f>MONTH(RawSalesTable[[#This Row],[Order_Date]])</f>
        <v>1</v>
      </c>
      <c r="AH171" s="8" t="str">
        <f>TEXT(RawSalesTable[[#This Row],[Order_Date]],"mmmm")</f>
        <v>janvier</v>
      </c>
      <c r="AI171" s="8" t="str">
        <f>IF(RawSalesTable[[#This Row],[Month_Number]]&lt;=3,"Q1",IF(RawSalesTable[[#This Row],[Month_Number]]&lt;=6,"Q2",IF(RawSalesTable[[#This Row],[Month_Number]]&lt;=9,"Q3","Q4")))</f>
        <v>Q1</v>
      </c>
      <c r="AJ171" s="13">
        <f>DATE(YEAR(RawSalesTable[[#This Row],[Order_Date]]),MONTH(RawSalesTable[[#This Row],[Order_Date]]),1)</f>
        <v>45658</v>
      </c>
      <c r="AK171" s="8" t="str">
        <f>VLOOKUP(RawSalesTable[[#This Row],[Customer_ID_clean]],CustomersTable[],4,FALSE)</f>
        <v>British Columbia</v>
      </c>
    </row>
    <row r="172" spans="1:37">
      <c r="A172" t="s">
        <v>499</v>
      </c>
      <c r="B172" s="3">
        <v>45998</v>
      </c>
      <c r="C172" t="s">
        <v>500</v>
      </c>
      <c r="D172" t="s">
        <v>125</v>
      </c>
      <c r="E172" t="s">
        <v>501</v>
      </c>
      <c r="F172" t="s">
        <v>111</v>
      </c>
      <c r="G172" t="s">
        <v>171</v>
      </c>
      <c r="H172" t="s">
        <v>89</v>
      </c>
      <c r="I172">
        <v>1</v>
      </c>
      <c r="J172" s="2">
        <v>55.34</v>
      </c>
      <c r="K172" s="4">
        <v>0.25</v>
      </c>
      <c r="L172" t="s">
        <v>106</v>
      </c>
      <c r="M172">
        <v>5</v>
      </c>
      <c r="N172" t="s">
        <v>91</v>
      </c>
      <c r="O172" t="str">
        <f>SUBSTITUTE(PROPER(TRIM(RawSalesTable[[#This Row],[Channel_Raw]])), "Market Place", "Marketplace")</f>
        <v>Online</v>
      </c>
      <c r="P172" t="str">
        <f>TRIM(RawSalesTable[[#This Row],[Store_Raw]])</f>
        <v>Montreal Central</v>
      </c>
      <c r="Q172" t="str">
        <f>IF(TRIM(RawSalesTable[[#This Row],[Payment_Method_Raw]])="","Non renseigné",SUBSTITUTE(TRIM(RawSalesTable[[#This Row],[Payment_Method_Raw]]),"CC","Credit Card"))</f>
        <v>Credit Card</v>
      </c>
      <c r="R172" s="8" t="str">
        <f>UPPER(PROPER(RawSalesTable[[#This Row],[Customer_ID]]))</f>
        <v>C0059</v>
      </c>
      <c r="S172" s="8" t="str">
        <f>TRIM(LEFT(RawSalesTable[[#This Row],[Customer_Info]],FIND(",",RawSalesTable[[#This Row],[Customer_Info]]) -1))</f>
        <v>Lucas Chen</v>
      </c>
      <c r="T172" s="8" t="str">
        <f>TRIM(MID(RawSalesTable[[#This Row],[Customer_Info]],FIND(",",RawSalesTable[[#This Row],[Customer_Info]])+1,FIND(",",RawSalesTable[[#This Row],[Customer_Info]],FIND(",",RawSalesTable[[#This Row],[Customer_Info]])+1)-FIND(",",RawSalesTable[[#This Row],[Customer_Info]])-1))</f>
        <v>Vancouver</v>
      </c>
      <c r="U172" s="8" t="str">
        <f>TRIM(RIGHT(RawSalesTable[[#This Row],[Customer_Info]], LEN(RawSalesTable[[#This Row],[Customer_Info]])-FIND(",",RawSalesTable[[#This Row],[Customer_Info]],FIND(",",RawSalesTable[[#This Row],[Customer_Info]])+1)))</f>
        <v>Corporate</v>
      </c>
      <c r="V172" s="8" t="str">
        <f>VLOOKUP(RawSalesTable[[#This Row],[Product_ID]],ProductsTable[],2,FALSE)</f>
        <v>Kettlebell</v>
      </c>
      <c r="W172" s="8" t="str">
        <f>VLOOKUP(RawSalesTable[[#This Row],[Product_ID]],ProductsTable[],3,FALSE)</f>
        <v>Fitness</v>
      </c>
      <c r="X172" s="8">
        <f>VLOOKUP(RawSalesTable[[#This Row],[Product_ID]],ProductsTable[],5,FALSE)</f>
        <v>25.97</v>
      </c>
      <c r="Y172" s="8">
        <f>RawSalesTable[[#This Row],[Quantity]]*RawSalesTable[[#This Row],[Unit_Price]]</f>
        <v>55.34</v>
      </c>
      <c r="Z172" s="8">
        <f>RawSalesTable[[#This Row],[Gross_Sales]]*RawSalesTable[[#This Row],[Discount_Pct]]</f>
        <v>13.835000000000001</v>
      </c>
      <c r="AA172" s="8">
        <f>RawSalesTable[[#This Row],[Gross_Sales]]-RawSalesTable[[#This Row],[Discount_Amount]]</f>
        <v>41.505000000000003</v>
      </c>
      <c r="AB172" s="8">
        <f>RawSalesTable[[#This Row],[Unit_Cost]]*RawSalesTable[[#This Row],[Quantity]]</f>
        <v>25.97</v>
      </c>
      <c r="AC172" s="8">
        <f>RawSalesTable[[#This Row],[Net_Sales]]-RawSalesTable[[#This Row],[Total_Cost]]</f>
        <v>15.535000000000004</v>
      </c>
      <c r="AD172" s="9">
        <f>RawSalesTable[[#This Row],[Profit]]/RawSalesTable[[#This Row],[Net_Sales]]</f>
        <v>0.37429225394530785</v>
      </c>
      <c r="AE172" s="8">
        <f>IF(RawSalesTable[[#This Row],[Return_Status]]="Yes",1,0)</f>
        <v>0</v>
      </c>
      <c r="AF172" s="8">
        <f>YEAR(RawSalesTable[[#This Row],[Order_Date]])</f>
        <v>2025</v>
      </c>
      <c r="AG172" s="8">
        <f>MONTH(RawSalesTable[[#This Row],[Order_Date]])</f>
        <v>12</v>
      </c>
      <c r="AH172" s="8" t="str">
        <f>TEXT(RawSalesTable[[#This Row],[Order_Date]],"mmmm")</f>
        <v>décembre</v>
      </c>
      <c r="AI172" s="8" t="str">
        <f>IF(RawSalesTable[[#This Row],[Month_Number]]&lt;=3,"Q1",IF(RawSalesTable[[#This Row],[Month_Number]]&lt;=6,"Q2",IF(RawSalesTable[[#This Row],[Month_Number]]&lt;=9,"Q3","Q4")))</f>
        <v>Q4</v>
      </c>
      <c r="AJ172" s="13">
        <f>DATE(YEAR(RawSalesTable[[#This Row],[Order_Date]]),MONTH(RawSalesTable[[#This Row],[Order_Date]]),1)</f>
        <v>45992</v>
      </c>
      <c r="AK172" s="8" t="str">
        <f>VLOOKUP(RawSalesTable[[#This Row],[Customer_ID_clean]],CustomersTable[],4,FALSE)</f>
        <v>British Columbia</v>
      </c>
    </row>
    <row r="173" spans="1:37">
      <c r="A173" t="s">
        <v>502</v>
      </c>
      <c r="B173" s="3">
        <v>45955</v>
      </c>
      <c r="C173" t="s">
        <v>173</v>
      </c>
      <c r="D173" t="s">
        <v>503</v>
      </c>
      <c r="E173" t="s">
        <v>175</v>
      </c>
      <c r="F173" t="s">
        <v>116</v>
      </c>
      <c r="G173" t="s">
        <v>96</v>
      </c>
      <c r="H173" t="s">
        <v>246</v>
      </c>
      <c r="I173">
        <v>1</v>
      </c>
      <c r="J173" s="2">
        <v>129.55000000000001</v>
      </c>
      <c r="K173" s="4">
        <v>0.15</v>
      </c>
      <c r="L173" t="s">
        <v>504</v>
      </c>
      <c r="M173">
        <v>2</v>
      </c>
      <c r="N173" t="s">
        <v>91</v>
      </c>
      <c r="O173" t="str">
        <f>SUBSTITUTE(PROPER(TRIM(RawSalesTable[[#This Row],[Channel_Raw]])), "Market Place", "Marketplace")</f>
        <v>Retail Store</v>
      </c>
      <c r="P173" t="str">
        <f>TRIM(RawSalesTable[[#This Row],[Store_Raw]])</f>
        <v>Toronto Downtown</v>
      </c>
      <c r="Q173" t="str">
        <f>IF(TRIM(RawSalesTable[[#This Row],[Payment_Method_Raw]])="","Non renseigné",SUBSTITUTE(TRIM(RawSalesTable[[#This Row],[Payment_Method_Raw]]),"CC","Credit Card"))</f>
        <v>Debit Card</v>
      </c>
      <c r="R173" s="8" t="str">
        <f>UPPER(PROPER(RawSalesTable[[#This Row],[Customer_ID]]))</f>
        <v>C0077</v>
      </c>
      <c r="S173" s="8" t="str">
        <f>TRIM(LEFT(RawSalesTable[[#This Row],[Customer_Info]],FIND(",",RawSalesTable[[#This Row],[Customer_Info]]) -1))</f>
        <v>Amine Taylor</v>
      </c>
      <c r="T173" s="8" t="str">
        <f>TRIM(MID(RawSalesTable[[#This Row],[Customer_Info]],FIND(",",RawSalesTable[[#This Row],[Customer_Info]])+1,FIND(",",RawSalesTable[[#This Row],[Customer_Info]],FIND(",",RawSalesTable[[#This Row],[Customer_Info]])+1)-FIND(",",RawSalesTable[[#This Row],[Customer_Info]])-1))</f>
        <v>Surrey</v>
      </c>
      <c r="U173" s="8" t="str">
        <f>TRIM(RIGHT(RawSalesTable[[#This Row],[Customer_Info]], LEN(RawSalesTable[[#This Row],[Customer_Info]])-FIND(",",RawSalesTable[[#This Row],[Customer_Info]],FIND(",",RawSalesTable[[#This Row],[Customer_Info]])+1)))</f>
        <v>Small Business</v>
      </c>
      <c r="V173" s="8" t="str">
        <f>VLOOKUP(RawSalesTable[[#This Row],[Product_ID]],ProductsTable[],2,FALSE)</f>
        <v>Whiteboard</v>
      </c>
      <c r="W173" s="8" t="str">
        <f>VLOOKUP(RawSalesTable[[#This Row],[Product_ID]],ProductsTable[],3,FALSE)</f>
        <v>Office</v>
      </c>
      <c r="X173" s="8">
        <f>VLOOKUP(RawSalesTable[[#This Row],[Product_ID]],ProductsTable[],5,FALSE)</f>
        <v>85.73</v>
      </c>
      <c r="Y173" s="8">
        <f>RawSalesTable[[#This Row],[Quantity]]*RawSalesTable[[#This Row],[Unit_Price]]</f>
        <v>129.55000000000001</v>
      </c>
      <c r="Z173" s="8">
        <f>RawSalesTable[[#This Row],[Gross_Sales]]*RawSalesTable[[#This Row],[Discount_Pct]]</f>
        <v>19.432500000000001</v>
      </c>
      <c r="AA173" s="8">
        <f>RawSalesTable[[#This Row],[Gross_Sales]]-RawSalesTable[[#This Row],[Discount_Amount]]</f>
        <v>110.11750000000001</v>
      </c>
      <c r="AB173" s="8">
        <f>RawSalesTable[[#This Row],[Unit_Cost]]*RawSalesTable[[#This Row],[Quantity]]</f>
        <v>85.73</v>
      </c>
      <c r="AC173" s="8">
        <f>RawSalesTable[[#This Row],[Net_Sales]]-RawSalesTable[[#This Row],[Total_Cost]]</f>
        <v>24.387500000000003</v>
      </c>
      <c r="AD173" s="9">
        <f>RawSalesTable[[#This Row],[Profit]]/RawSalesTable[[#This Row],[Net_Sales]]</f>
        <v>0.22146797738779034</v>
      </c>
      <c r="AE173" s="8">
        <f>IF(RawSalesTable[[#This Row],[Return_Status]]="Yes",1,0)</f>
        <v>0</v>
      </c>
      <c r="AF173" s="8">
        <f>YEAR(RawSalesTable[[#This Row],[Order_Date]])</f>
        <v>2025</v>
      </c>
      <c r="AG173" s="8">
        <f>MONTH(RawSalesTable[[#This Row],[Order_Date]])</f>
        <v>10</v>
      </c>
      <c r="AH173" s="8" t="str">
        <f>TEXT(RawSalesTable[[#This Row],[Order_Date]],"mmmm")</f>
        <v>octobre</v>
      </c>
      <c r="AI173" s="8" t="str">
        <f>IF(RawSalesTable[[#This Row],[Month_Number]]&lt;=3,"Q1",IF(RawSalesTable[[#This Row],[Month_Number]]&lt;=6,"Q2",IF(RawSalesTable[[#This Row],[Month_Number]]&lt;=9,"Q3","Q4")))</f>
        <v>Q4</v>
      </c>
      <c r="AJ173" s="13">
        <f>DATE(YEAR(RawSalesTable[[#This Row],[Order_Date]]),MONTH(RawSalesTable[[#This Row],[Order_Date]]),1)</f>
        <v>45931</v>
      </c>
      <c r="AK173" s="8" t="str">
        <f>VLOOKUP(RawSalesTable[[#This Row],[Customer_ID_clean]],CustomersTable[],4,FALSE)</f>
        <v>British Columbia</v>
      </c>
    </row>
    <row r="174" spans="1:37">
      <c r="A174" t="s">
        <v>505</v>
      </c>
      <c r="B174" s="3">
        <v>45685</v>
      </c>
      <c r="C174" t="s">
        <v>220</v>
      </c>
      <c r="D174" t="s">
        <v>139</v>
      </c>
      <c r="E174" t="s">
        <v>222</v>
      </c>
      <c r="F174" t="s">
        <v>145</v>
      </c>
      <c r="G174" t="s">
        <v>122</v>
      </c>
      <c r="H174" t="s">
        <v>89</v>
      </c>
      <c r="I174">
        <v>1</v>
      </c>
      <c r="J174" s="2">
        <v>82.85</v>
      </c>
      <c r="K174" s="4">
        <v>0</v>
      </c>
      <c r="L174" t="s">
        <v>98</v>
      </c>
      <c r="M174">
        <v>2</v>
      </c>
      <c r="N174" t="s">
        <v>91</v>
      </c>
      <c r="O174" t="str">
        <f>SUBSTITUTE(PROPER(TRIM(RawSalesTable[[#This Row],[Channel_Raw]])), "Market Place", "Marketplace")</f>
        <v>Online</v>
      </c>
      <c r="P174" t="str">
        <f>TRIM(RawSalesTable[[#This Row],[Store_Raw]])</f>
        <v>Calgary North</v>
      </c>
      <c r="Q174" t="str">
        <f>IF(TRIM(RawSalesTable[[#This Row],[Payment_Method_Raw]])="","Non renseigné",SUBSTITUTE(TRIM(RawSalesTable[[#This Row],[Payment_Method_Raw]]),"CC","Credit Card"))</f>
        <v>Debit Card</v>
      </c>
      <c r="R174" s="8" t="str">
        <f>UPPER(PROPER(RawSalesTable[[#This Row],[Customer_ID]]))</f>
        <v>C0067</v>
      </c>
      <c r="S174" s="8" t="str">
        <f>TRIM(LEFT(RawSalesTable[[#This Row],[Customer_Info]],FIND(",",RawSalesTable[[#This Row],[Customer_Info]]) -1))</f>
        <v>Leo Bennett</v>
      </c>
      <c r="T174" s="8" t="str">
        <f>TRIM(MID(RawSalesTable[[#This Row],[Customer_Info]],FIND(",",RawSalesTable[[#This Row],[Customer_Info]])+1,FIND(",",RawSalesTable[[#This Row],[Customer_Info]],FIND(",",RawSalesTable[[#This Row],[Customer_Info]])+1)-FIND(",",RawSalesTable[[#This Row],[Customer_Info]])-1))</f>
        <v>Mississauga</v>
      </c>
      <c r="U174" s="8" t="str">
        <f>TRIM(RIGHT(RawSalesTable[[#This Row],[Customer_Info]], LEN(RawSalesTable[[#This Row],[Customer_Info]])-FIND(",",RawSalesTable[[#This Row],[Customer_Info]],FIND(",",RawSalesTable[[#This Row],[Customer_Info]])+1)))</f>
        <v>Consumer</v>
      </c>
      <c r="V174" s="8" t="str">
        <f>VLOOKUP(RawSalesTable[[#This Row],[Product_ID]],ProductsTable[],2,FALSE)</f>
        <v>Standing Desk</v>
      </c>
      <c r="W174" s="8" t="str">
        <f>VLOOKUP(RawSalesTable[[#This Row],[Product_ID]],ProductsTable[],3,FALSE)</f>
        <v>Office</v>
      </c>
      <c r="X174" s="8">
        <f>VLOOKUP(RawSalesTable[[#This Row],[Product_ID]],ProductsTable[],5,FALSE)</f>
        <v>45.17</v>
      </c>
      <c r="Y174" s="8">
        <f>RawSalesTable[[#This Row],[Quantity]]*RawSalesTable[[#This Row],[Unit_Price]]</f>
        <v>82.85</v>
      </c>
      <c r="Z174" s="8">
        <f>RawSalesTable[[#This Row],[Gross_Sales]]*RawSalesTable[[#This Row],[Discount_Pct]]</f>
        <v>0</v>
      </c>
      <c r="AA174" s="8">
        <f>RawSalesTable[[#This Row],[Gross_Sales]]-RawSalesTable[[#This Row],[Discount_Amount]]</f>
        <v>82.85</v>
      </c>
      <c r="AB174" s="8">
        <f>RawSalesTable[[#This Row],[Unit_Cost]]*RawSalesTable[[#This Row],[Quantity]]</f>
        <v>45.17</v>
      </c>
      <c r="AC174" s="8">
        <f>RawSalesTable[[#This Row],[Net_Sales]]-RawSalesTable[[#This Row],[Total_Cost]]</f>
        <v>37.679999999999993</v>
      </c>
      <c r="AD174" s="9">
        <f>RawSalesTable[[#This Row],[Profit]]/RawSalesTable[[#This Row],[Net_Sales]]</f>
        <v>0.45479782739891367</v>
      </c>
      <c r="AE174" s="8">
        <f>IF(RawSalesTable[[#This Row],[Return_Status]]="Yes",1,0)</f>
        <v>0</v>
      </c>
      <c r="AF174" s="8">
        <f>YEAR(RawSalesTable[[#This Row],[Order_Date]])</f>
        <v>2025</v>
      </c>
      <c r="AG174" s="8">
        <f>MONTH(RawSalesTable[[#This Row],[Order_Date]])</f>
        <v>1</v>
      </c>
      <c r="AH174" s="8" t="str">
        <f>TEXT(RawSalesTable[[#This Row],[Order_Date]],"mmmm")</f>
        <v>janvier</v>
      </c>
      <c r="AI174" s="8" t="str">
        <f>IF(RawSalesTable[[#This Row],[Month_Number]]&lt;=3,"Q1",IF(RawSalesTable[[#This Row],[Month_Number]]&lt;=6,"Q2",IF(RawSalesTable[[#This Row],[Month_Number]]&lt;=9,"Q3","Q4")))</f>
        <v>Q1</v>
      </c>
      <c r="AJ174" s="13">
        <f>DATE(YEAR(RawSalesTable[[#This Row],[Order_Date]]),MONTH(RawSalesTable[[#This Row],[Order_Date]]),1)</f>
        <v>45658</v>
      </c>
      <c r="AK174" s="8" t="str">
        <f>VLOOKUP(RawSalesTable[[#This Row],[Customer_ID_clean]],CustomersTable[],4,FALSE)</f>
        <v>Ontario</v>
      </c>
    </row>
    <row r="175" spans="1:37">
      <c r="A175" t="s">
        <v>506</v>
      </c>
      <c r="B175" s="3">
        <v>45771</v>
      </c>
      <c r="C175" t="s">
        <v>507</v>
      </c>
      <c r="D175" t="s">
        <v>133</v>
      </c>
      <c r="E175" t="s">
        <v>508</v>
      </c>
      <c r="F175" t="s">
        <v>145</v>
      </c>
      <c r="G175" t="s">
        <v>130</v>
      </c>
      <c r="H175" t="s">
        <v>97</v>
      </c>
      <c r="I175">
        <v>1</v>
      </c>
      <c r="J175" s="2">
        <v>324.77999999999997</v>
      </c>
      <c r="K175" s="4">
        <v>0</v>
      </c>
      <c r="L175" t="s">
        <v>106</v>
      </c>
      <c r="M175">
        <v>3</v>
      </c>
      <c r="N175" t="s">
        <v>91</v>
      </c>
      <c r="O175" t="str">
        <f>SUBSTITUTE(PROPER(TRIM(RawSalesTable[[#This Row],[Channel_Raw]])), "Market Place", "Marketplace")</f>
        <v>Retail Store</v>
      </c>
      <c r="P175" t="str">
        <f>TRIM(RawSalesTable[[#This Row],[Store_Raw]])</f>
        <v>Calgary North</v>
      </c>
      <c r="Q175" t="str">
        <f>IF(TRIM(RawSalesTable[[#This Row],[Payment_Method_Raw]])="","Non renseigné",SUBSTITUTE(TRIM(RawSalesTable[[#This Row],[Payment_Method_Raw]]),"CC","Credit Card"))</f>
        <v>Credit Card</v>
      </c>
      <c r="R175" s="8" t="str">
        <f>UPPER(PROPER(RawSalesTable[[#This Row],[Customer_ID]]))</f>
        <v>C0078</v>
      </c>
      <c r="S175" s="8" t="str">
        <f>TRIM(LEFT(RawSalesTable[[#This Row],[Customer_Info]],FIND(",",RawSalesTable[[#This Row],[Customer_Info]]) -1))</f>
        <v>Sarah Smith</v>
      </c>
      <c r="T175" s="8" t="str">
        <f>TRIM(MID(RawSalesTable[[#This Row],[Customer_Info]],FIND(",",RawSalesTable[[#This Row],[Customer_Info]])+1,FIND(",",RawSalesTable[[#This Row],[Customer_Info]],FIND(",",RawSalesTable[[#This Row],[Customer_Info]])+1)-FIND(",",RawSalesTable[[#This Row],[Customer_Info]])-1))</f>
        <v>Edmonton</v>
      </c>
      <c r="U175" s="8" t="str">
        <f>TRIM(RIGHT(RawSalesTable[[#This Row],[Customer_Info]], LEN(RawSalesTable[[#This Row],[Customer_Info]])-FIND(",",RawSalesTable[[#This Row],[Customer_Info]],FIND(",",RawSalesTable[[#This Row],[Customer_Info]])+1)))</f>
        <v>Corporate</v>
      </c>
      <c r="V175" s="8" t="str">
        <f>VLOOKUP(RawSalesTable[[#This Row],[Product_ID]],ProductsTable[],2,FALSE)</f>
        <v>Travel Adapter</v>
      </c>
      <c r="W175" s="8" t="str">
        <f>VLOOKUP(RawSalesTable[[#This Row],[Product_ID]],ProductsTable[],3,FALSE)</f>
        <v>Accessories</v>
      </c>
      <c r="X175" s="8">
        <f>VLOOKUP(RawSalesTable[[#This Row],[Product_ID]],ProductsTable[],5,FALSE)</f>
        <v>229.86</v>
      </c>
      <c r="Y175" s="8">
        <f>RawSalesTable[[#This Row],[Quantity]]*RawSalesTable[[#This Row],[Unit_Price]]</f>
        <v>324.77999999999997</v>
      </c>
      <c r="Z175" s="8">
        <f>RawSalesTable[[#This Row],[Gross_Sales]]*RawSalesTable[[#This Row],[Discount_Pct]]</f>
        <v>0</v>
      </c>
      <c r="AA175" s="8">
        <f>RawSalesTable[[#This Row],[Gross_Sales]]-RawSalesTable[[#This Row],[Discount_Amount]]</f>
        <v>324.77999999999997</v>
      </c>
      <c r="AB175" s="8">
        <f>RawSalesTable[[#This Row],[Unit_Cost]]*RawSalesTable[[#This Row],[Quantity]]</f>
        <v>229.86</v>
      </c>
      <c r="AC175" s="8">
        <f>RawSalesTable[[#This Row],[Net_Sales]]-RawSalesTable[[#This Row],[Total_Cost]]</f>
        <v>94.919999999999959</v>
      </c>
      <c r="AD175" s="9">
        <f>RawSalesTable[[#This Row],[Profit]]/RawSalesTable[[#This Row],[Net_Sales]]</f>
        <v>0.2922593755773138</v>
      </c>
      <c r="AE175" s="8">
        <f>IF(RawSalesTable[[#This Row],[Return_Status]]="Yes",1,0)</f>
        <v>0</v>
      </c>
      <c r="AF175" s="8">
        <f>YEAR(RawSalesTable[[#This Row],[Order_Date]])</f>
        <v>2025</v>
      </c>
      <c r="AG175" s="8">
        <f>MONTH(RawSalesTable[[#This Row],[Order_Date]])</f>
        <v>4</v>
      </c>
      <c r="AH175" s="8" t="str">
        <f>TEXT(RawSalesTable[[#This Row],[Order_Date]],"mmmm")</f>
        <v>avril</v>
      </c>
      <c r="AI175" s="8" t="str">
        <f>IF(RawSalesTable[[#This Row],[Month_Number]]&lt;=3,"Q1",IF(RawSalesTable[[#This Row],[Month_Number]]&lt;=6,"Q2",IF(RawSalesTable[[#This Row],[Month_Number]]&lt;=9,"Q3","Q4")))</f>
        <v>Q2</v>
      </c>
      <c r="AJ175" s="13">
        <f>DATE(YEAR(RawSalesTable[[#This Row],[Order_Date]]),MONTH(RawSalesTable[[#This Row],[Order_Date]]),1)</f>
        <v>45748</v>
      </c>
      <c r="AK175" s="8" t="str">
        <f>VLOOKUP(RawSalesTable[[#This Row],[Customer_ID_clean]],CustomersTable[],4,FALSE)</f>
        <v>Alberta</v>
      </c>
    </row>
    <row r="176" spans="1:37">
      <c r="A176" t="s">
        <v>509</v>
      </c>
      <c r="B176" s="3">
        <v>45757</v>
      </c>
      <c r="C176" t="s">
        <v>427</v>
      </c>
      <c r="D176" t="s">
        <v>323</v>
      </c>
      <c r="E176" t="s">
        <v>428</v>
      </c>
      <c r="F176" t="s">
        <v>103</v>
      </c>
      <c r="G176" t="s">
        <v>117</v>
      </c>
      <c r="H176" t="s">
        <v>97</v>
      </c>
      <c r="I176">
        <v>1</v>
      </c>
      <c r="J176" s="2">
        <v>316.97000000000003</v>
      </c>
      <c r="K176" s="4">
        <v>0.05</v>
      </c>
      <c r="L176" t="s">
        <v>98</v>
      </c>
      <c r="M176">
        <v>4</v>
      </c>
      <c r="N176" t="s">
        <v>91</v>
      </c>
      <c r="O176" t="str">
        <f>SUBSTITUTE(PROPER(TRIM(RawSalesTable[[#This Row],[Channel_Raw]])), "Market Place", "Marketplace")</f>
        <v>Retail Store</v>
      </c>
      <c r="P176" t="str">
        <f>TRIM(RawSalesTable[[#This Row],[Store_Raw]])</f>
        <v>Vancouver West</v>
      </c>
      <c r="Q176" t="str">
        <f>IF(TRIM(RawSalesTable[[#This Row],[Payment_Method_Raw]])="","Non renseigné",SUBSTITUTE(TRIM(RawSalesTable[[#This Row],[Payment_Method_Raw]]),"CC","Credit Card"))</f>
        <v>Debit Card</v>
      </c>
      <c r="R176" s="8" t="str">
        <f>UPPER(PROPER(RawSalesTable[[#This Row],[Customer_ID]]))</f>
        <v>C0062</v>
      </c>
      <c r="S176" s="8" t="str">
        <f>TRIM(LEFT(RawSalesTable[[#This Row],[Customer_Info]],FIND(",",RawSalesTable[[#This Row],[Customer_Info]]) -1))</f>
        <v>Yasmine Scott</v>
      </c>
      <c r="T176" s="8" t="str">
        <f>TRIM(MID(RawSalesTable[[#This Row],[Customer_Info]],FIND(",",RawSalesTable[[#This Row],[Customer_Info]])+1,FIND(",",RawSalesTable[[#This Row],[Customer_Info]],FIND(",",RawSalesTable[[#This Row],[Customer_Info]])+1)-FIND(",",RawSalesTable[[#This Row],[Customer_Info]])-1))</f>
        <v>Toronto</v>
      </c>
      <c r="U176" s="8" t="str">
        <f>TRIM(RIGHT(RawSalesTable[[#This Row],[Customer_Info]], LEN(RawSalesTable[[#This Row],[Customer_Info]])-FIND(",",RawSalesTable[[#This Row],[Customer_Info]],FIND(",",RawSalesTable[[#This Row],[Customer_Info]])+1)))</f>
        <v>Consumer</v>
      </c>
      <c r="V176" s="8" t="str">
        <f>VLOOKUP(RawSalesTable[[#This Row],[Product_ID]],ProductsTable[],2,FALSE)</f>
        <v>Toaster</v>
      </c>
      <c r="W176" s="8" t="str">
        <f>VLOOKUP(RawSalesTable[[#This Row],[Product_ID]],ProductsTable[],3,FALSE)</f>
        <v>Home</v>
      </c>
      <c r="X176" s="8">
        <f>VLOOKUP(RawSalesTable[[#This Row],[Product_ID]],ProductsTable[],5,FALSE)</f>
        <v>152.88</v>
      </c>
      <c r="Y176" s="8">
        <f>RawSalesTable[[#This Row],[Quantity]]*RawSalesTable[[#This Row],[Unit_Price]]</f>
        <v>316.97000000000003</v>
      </c>
      <c r="Z176" s="8">
        <f>RawSalesTable[[#This Row],[Gross_Sales]]*RawSalesTable[[#This Row],[Discount_Pct]]</f>
        <v>15.848500000000001</v>
      </c>
      <c r="AA176" s="8">
        <f>RawSalesTable[[#This Row],[Gross_Sales]]-RawSalesTable[[#This Row],[Discount_Amount]]</f>
        <v>301.12150000000003</v>
      </c>
      <c r="AB176" s="8">
        <f>RawSalesTable[[#This Row],[Unit_Cost]]*RawSalesTable[[#This Row],[Quantity]]</f>
        <v>152.88</v>
      </c>
      <c r="AC176" s="8">
        <f>RawSalesTable[[#This Row],[Net_Sales]]-RawSalesTable[[#This Row],[Total_Cost]]</f>
        <v>148.24150000000003</v>
      </c>
      <c r="AD176" s="9">
        <f>RawSalesTable[[#This Row],[Profit]]/RawSalesTable[[#This Row],[Net_Sales]]</f>
        <v>0.49229795946154631</v>
      </c>
      <c r="AE176" s="8">
        <f>IF(RawSalesTable[[#This Row],[Return_Status]]="Yes",1,0)</f>
        <v>0</v>
      </c>
      <c r="AF176" s="8">
        <f>YEAR(RawSalesTable[[#This Row],[Order_Date]])</f>
        <v>2025</v>
      </c>
      <c r="AG176" s="8">
        <f>MONTH(RawSalesTable[[#This Row],[Order_Date]])</f>
        <v>4</v>
      </c>
      <c r="AH176" s="8" t="str">
        <f>TEXT(RawSalesTable[[#This Row],[Order_Date]],"mmmm")</f>
        <v>avril</v>
      </c>
      <c r="AI176" s="8" t="str">
        <f>IF(RawSalesTable[[#This Row],[Month_Number]]&lt;=3,"Q1",IF(RawSalesTable[[#This Row],[Month_Number]]&lt;=6,"Q2",IF(RawSalesTable[[#This Row],[Month_Number]]&lt;=9,"Q3","Q4")))</f>
        <v>Q2</v>
      </c>
      <c r="AJ176" s="13">
        <f>DATE(YEAR(RawSalesTable[[#This Row],[Order_Date]]),MONTH(RawSalesTable[[#This Row],[Order_Date]]),1)</f>
        <v>45748</v>
      </c>
      <c r="AK176" s="8" t="str">
        <f>VLOOKUP(RawSalesTable[[#This Row],[Customer_ID_clean]],CustomersTable[],4,FALSE)</f>
        <v>Ontario</v>
      </c>
    </row>
    <row r="177" spans="1:37">
      <c r="A177" t="s">
        <v>510</v>
      </c>
      <c r="B177" s="3">
        <v>45996</v>
      </c>
      <c r="C177" t="s">
        <v>371</v>
      </c>
      <c r="D177" t="s">
        <v>277</v>
      </c>
      <c r="E177" t="s">
        <v>372</v>
      </c>
      <c r="F177" t="s">
        <v>87</v>
      </c>
      <c r="G177" t="s">
        <v>88</v>
      </c>
      <c r="H177" t="s">
        <v>89</v>
      </c>
      <c r="I177">
        <v>1</v>
      </c>
      <c r="J177" s="2">
        <v>393.54</v>
      </c>
      <c r="K177" s="4">
        <v>0.15</v>
      </c>
      <c r="L177" t="s">
        <v>90</v>
      </c>
      <c r="M177">
        <v>9</v>
      </c>
      <c r="N177" t="s">
        <v>91</v>
      </c>
      <c r="O177" t="str">
        <f>SUBSTITUTE(PROPER(TRIM(RawSalesTable[[#This Row],[Channel_Raw]])), "Market Place", "Marketplace")</f>
        <v>Online</v>
      </c>
      <c r="P177" t="str">
        <f>TRIM(RawSalesTable[[#This Row],[Store_Raw]])</f>
        <v>Online Fulfillment</v>
      </c>
      <c r="Q177" t="str">
        <f>IF(TRIM(RawSalesTable[[#This Row],[Payment_Method_Raw]])="","Non renseigné",SUBSTITUTE(TRIM(RawSalesTable[[#This Row],[Payment_Method_Raw]]),"CC","Credit Card"))</f>
        <v>PayPal</v>
      </c>
      <c r="R177" s="8" t="str">
        <f>UPPER(PROPER(RawSalesTable[[#This Row],[Customer_ID]]))</f>
        <v>C0049</v>
      </c>
      <c r="S177" s="8" t="str">
        <f>TRIM(LEFT(RawSalesTable[[#This Row],[Customer_Info]],FIND(",",RawSalesTable[[#This Row],[Customer_Info]]) -1))</f>
        <v>Olivia Scott</v>
      </c>
      <c r="T177" s="8" t="str">
        <f>TRIM(MID(RawSalesTable[[#This Row],[Customer_Info]],FIND(",",RawSalesTable[[#This Row],[Customer_Info]])+1,FIND(",",RawSalesTable[[#This Row],[Customer_Info]],FIND(",",RawSalesTable[[#This Row],[Customer_Info]])+1)-FIND(",",RawSalesTable[[#This Row],[Customer_Info]])-1))</f>
        <v>Quebec City</v>
      </c>
      <c r="U177" s="8" t="str">
        <f>TRIM(RIGHT(RawSalesTable[[#This Row],[Customer_Info]], LEN(RawSalesTable[[#This Row],[Customer_Info]])-FIND(",",RawSalesTable[[#This Row],[Customer_Info]],FIND(",",RawSalesTable[[#This Row],[Customer_Info]])+1)))</f>
        <v>Consumer</v>
      </c>
      <c r="V177" s="8" t="str">
        <f>VLOOKUP(RawSalesTable[[#This Row],[Product_ID]],ProductsTable[],2,FALSE)</f>
        <v>Headphones</v>
      </c>
      <c r="W177" s="8" t="str">
        <f>VLOOKUP(RawSalesTable[[#This Row],[Product_ID]],ProductsTable[],3,FALSE)</f>
        <v>Electronics</v>
      </c>
      <c r="X177" s="8">
        <f>VLOOKUP(RawSalesTable[[#This Row],[Product_ID]],ProductsTable[],5,FALSE)</f>
        <v>254.6</v>
      </c>
      <c r="Y177" s="8">
        <f>RawSalesTable[[#This Row],[Quantity]]*RawSalesTable[[#This Row],[Unit_Price]]</f>
        <v>393.54</v>
      </c>
      <c r="Z177" s="8">
        <f>RawSalesTable[[#This Row],[Gross_Sales]]*RawSalesTable[[#This Row],[Discount_Pct]]</f>
        <v>59.030999999999999</v>
      </c>
      <c r="AA177" s="8">
        <f>RawSalesTable[[#This Row],[Gross_Sales]]-RawSalesTable[[#This Row],[Discount_Amount]]</f>
        <v>334.50900000000001</v>
      </c>
      <c r="AB177" s="8">
        <f>RawSalesTable[[#This Row],[Unit_Cost]]*RawSalesTable[[#This Row],[Quantity]]</f>
        <v>254.6</v>
      </c>
      <c r="AC177" s="8">
        <f>RawSalesTable[[#This Row],[Net_Sales]]-RawSalesTable[[#This Row],[Total_Cost]]</f>
        <v>79.90900000000002</v>
      </c>
      <c r="AD177" s="9">
        <f>RawSalesTable[[#This Row],[Profit]]/RawSalesTable[[#This Row],[Net_Sales]]</f>
        <v>0.23888445452887669</v>
      </c>
      <c r="AE177" s="8">
        <f>IF(RawSalesTable[[#This Row],[Return_Status]]="Yes",1,0)</f>
        <v>0</v>
      </c>
      <c r="AF177" s="8">
        <f>YEAR(RawSalesTable[[#This Row],[Order_Date]])</f>
        <v>2025</v>
      </c>
      <c r="AG177" s="8">
        <f>MONTH(RawSalesTable[[#This Row],[Order_Date]])</f>
        <v>12</v>
      </c>
      <c r="AH177" s="8" t="str">
        <f>TEXT(RawSalesTable[[#This Row],[Order_Date]],"mmmm")</f>
        <v>décembre</v>
      </c>
      <c r="AI177" s="8" t="str">
        <f>IF(RawSalesTable[[#This Row],[Month_Number]]&lt;=3,"Q1",IF(RawSalesTable[[#This Row],[Month_Number]]&lt;=6,"Q2",IF(RawSalesTable[[#This Row],[Month_Number]]&lt;=9,"Q3","Q4")))</f>
        <v>Q4</v>
      </c>
      <c r="AJ177" s="13">
        <f>DATE(YEAR(RawSalesTable[[#This Row],[Order_Date]]),MONTH(RawSalesTable[[#This Row],[Order_Date]]),1)</f>
        <v>45992</v>
      </c>
      <c r="AK177" s="8" t="str">
        <f>VLOOKUP(RawSalesTable[[#This Row],[Customer_ID_clean]],CustomersTable[],4,FALSE)</f>
        <v>Quebec</v>
      </c>
    </row>
    <row r="178" spans="1:37">
      <c r="A178" t="s">
        <v>511</v>
      </c>
      <c r="B178" s="3">
        <v>45933</v>
      </c>
      <c r="C178" t="s">
        <v>512</v>
      </c>
      <c r="D178" t="s">
        <v>152</v>
      </c>
      <c r="E178" t="s">
        <v>513</v>
      </c>
      <c r="F178" t="s">
        <v>111</v>
      </c>
      <c r="G178" t="s">
        <v>117</v>
      </c>
      <c r="H178" t="s">
        <v>89</v>
      </c>
      <c r="I178">
        <v>5</v>
      </c>
      <c r="J178" s="2">
        <v>136.16999999999999</v>
      </c>
      <c r="K178" s="4">
        <v>0.15</v>
      </c>
      <c r="L178" t="s">
        <v>106</v>
      </c>
      <c r="M178">
        <v>8</v>
      </c>
      <c r="N178" t="s">
        <v>147</v>
      </c>
      <c r="O178" t="str">
        <f>SUBSTITUTE(PROPER(TRIM(RawSalesTable[[#This Row],[Channel_Raw]])), "Market Place", "Marketplace")</f>
        <v>Online</v>
      </c>
      <c r="P178" t="str">
        <f>TRIM(RawSalesTable[[#This Row],[Store_Raw]])</f>
        <v>Montreal Central</v>
      </c>
      <c r="Q178" t="str">
        <f>IF(TRIM(RawSalesTable[[#This Row],[Payment_Method_Raw]])="","Non renseigné",SUBSTITUTE(TRIM(RawSalesTable[[#This Row],[Payment_Method_Raw]]),"CC","Credit Card"))</f>
        <v>Credit Card</v>
      </c>
      <c r="R178" s="8" t="str">
        <f>UPPER(PROPER(RawSalesTable[[#This Row],[Customer_ID]]))</f>
        <v>C0082</v>
      </c>
      <c r="S178" s="8" t="str">
        <f>TRIM(LEFT(RawSalesTable[[#This Row],[Customer_Info]],FIND(",",RawSalesTable[[#This Row],[Customer_Info]]) -1))</f>
        <v>Ryan King</v>
      </c>
      <c r="T178" s="8" t="str">
        <f>TRIM(MID(RawSalesTable[[#This Row],[Customer_Info]],FIND(",",RawSalesTable[[#This Row],[Customer_Info]])+1,FIND(",",RawSalesTable[[#This Row],[Customer_Info]],FIND(",",RawSalesTable[[#This Row],[Customer_Info]])+1)-FIND(",",RawSalesTable[[#This Row],[Customer_Info]])-1))</f>
        <v>Winnipeg</v>
      </c>
      <c r="U178" s="8" t="str">
        <f>TRIM(RIGHT(RawSalesTable[[#This Row],[Customer_Info]], LEN(RawSalesTable[[#This Row],[Customer_Info]])-FIND(",",RawSalesTable[[#This Row],[Customer_Info]],FIND(",",RawSalesTable[[#This Row],[Customer_Info]])+1)))</f>
        <v>Small Business</v>
      </c>
      <c r="V178" s="8" t="str">
        <f>VLOOKUP(RawSalesTable[[#This Row],[Product_ID]],ProductsTable[],2,FALSE)</f>
        <v>Smart Speaker</v>
      </c>
      <c r="W178" s="8" t="str">
        <f>VLOOKUP(RawSalesTable[[#This Row],[Product_ID]],ProductsTable[],3,FALSE)</f>
        <v>Electronics</v>
      </c>
      <c r="X178" s="8">
        <f>VLOOKUP(RawSalesTable[[#This Row],[Product_ID]],ProductsTable[],5,FALSE)</f>
        <v>69</v>
      </c>
      <c r="Y178" s="8">
        <f>RawSalesTable[[#This Row],[Quantity]]*RawSalesTable[[#This Row],[Unit_Price]]</f>
        <v>680.84999999999991</v>
      </c>
      <c r="Z178" s="8">
        <f>RawSalesTable[[#This Row],[Gross_Sales]]*RawSalesTable[[#This Row],[Discount_Pct]]</f>
        <v>102.12749999999998</v>
      </c>
      <c r="AA178" s="8">
        <f>RawSalesTable[[#This Row],[Gross_Sales]]-RawSalesTable[[#This Row],[Discount_Amount]]</f>
        <v>578.72249999999997</v>
      </c>
      <c r="AB178" s="8">
        <f>RawSalesTable[[#This Row],[Unit_Cost]]*RawSalesTable[[#This Row],[Quantity]]</f>
        <v>345</v>
      </c>
      <c r="AC178" s="8">
        <f>RawSalesTable[[#This Row],[Net_Sales]]-RawSalesTable[[#This Row],[Total_Cost]]</f>
        <v>233.72249999999997</v>
      </c>
      <c r="AD178" s="9">
        <f>RawSalesTable[[#This Row],[Profit]]/RawSalesTable[[#This Row],[Net_Sales]]</f>
        <v>0.40385936264790118</v>
      </c>
      <c r="AE178" s="8">
        <f>IF(RawSalesTable[[#This Row],[Return_Status]]="Yes",1,0)</f>
        <v>1</v>
      </c>
      <c r="AF178" s="8">
        <f>YEAR(RawSalesTable[[#This Row],[Order_Date]])</f>
        <v>2025</v>
      </c>
      <c r="AG178" s="8">
        <f>MONTH(RawSalesTable[[#This Row],[Order_Date]])</f>
        <v>10</v>
      </c>
      <c r="AH178" s="8" t="str">
        <f>TEXT(RawSalesTable[[#This Row],[Order_Date]],"mmmm")</f>
        <v>octobre</v>
      </c>
      <c r="AI178" s="8" t="str">
        <f>IF(RawSalesTable[[#This Row],[Month_Number]]&lt;=3,"Q1",IF(RawSalesTable[[#This Row],[Month_Number]]&lt;=6,"Q2",IF(RawSalesTable[[#This Row],[Month_Number]]&lt;=9,"Q3","Q4")))</f>
        <v>Q4</v>
      </c>
      <c r="AJ178" s="13">
        <f>DATE(YEAR(RawSalesTable[[#This Row],[Order_Date]]),MONTH(RawSalesTable[[#This Row],[Order_Date]]),1)</f>
        <v>45931</v>
      </c>
      <c r="AK178" s="8" t="str">
        <f>VLOOKUP(RawSalesTable[[#This Row],[Customer_ID_clean]],CustomersTable[],4,FALSE)</f>
        <v>Manitoba</v>
      </c>
    </row>
    <row r="179" spans="1:37">
      <c r="A179" t="s">
        <v>515</v>
      </c>
      <c r="B179" s="3">
        <v>45786</v>
      </c>
      <c r="C179" t="s">
        <v>516</v>
      </c>
      <c r="D179" t="s">
        <v>125</v>
      </c>
      <c r="E179" t="s">
        <v>517</v>
      </c>
      <c r="F179" t="s">
        <v>145</v>
      </c>
      <c r="G179" t="s">
        <v>117</v>
      </c>
      <c r="H179" t="s">
        <v>89</v>
      </c>
      <c r="I179">
        <v>2</v>
      </c>
      <c r="J179" s="2">
        <v>58.17</v>
      </c>
      <c r="K179" s="4">
        <v>0</v>
      </c>
      <c r="L179" t="s">
        <v>106</v>
      </c>
      <c r="M179">
        <v>9</v>
      </c>
      <c r="N179" t="s">
        <v>91</v>
      </c>
      <c r="O179" t="str">
        <f>SUBSTITUTE(PROPER(TRIM(RawSalesTable[[#This Row],[Channel_Raw]])), "Market Place", "Marketplace")</f>
        <v>Online</v>
      </c>
      <c r="P179" t="str">
        <f>TRIM(RawSalesTable[[#This Row],[Store_Raw]])</f>
        <v>Calgary North</v>
      </c>
      <c r="Q179" t="str">
        <f>IF(TRIM(RawSalesTable[[#This Row],[Payment_Method_Raw]])="","Non renseigné",SUBSTITUTE(TRIM(RawSalesTable[[#This Row],[Payment_Method_Raw]]),"CC","Credit Card"))</f>
        <v>Credit Card</v>
      </c>
      <c r="R179" s="8" t="str">
        <f>UPPER(PROPER(RawSalesTable[[#This Row],[Customer_ID]]))</f>
        <v>C0120</v>
      </c>
      <c r="S179" s="8" t="str">
        <f>TRIM(LEFT(RawSalesTable[[#This Row],[Customer_Info]],FIND(",",RawSalesTable[[#This Row],[Customer_Info]]) -1))</f>
        <v>Ethan King</v>
      </c>
      <c r="T179" s="8" t="str">
        <f>TRIM(MID(RawSalesTable[[#This Row],[Customer_Info]],FIND(",",RawSalesTable[[#This Row],[Customer_Info]])+1,FIND(",",RawSalesTable[[#This Row],[Customer_Info]],FIND(",",RawSalesTable[[#This Row],[Customer_Info]])+1)-FIND(",",RawSalesTable[[#This Row],[Customer_Info]])-1))</f>
        <v>Mississauga</v>
      </c>
      <c r="U179" s="8" t="str">
        <f>TRIM(RIGHT(RawSalesTable[[#This Row],[Customer_Info]], LEN(RawSalesTable[[#This Row],[Customer_Info]])-FIND(",",RawSalesTable[[#This Row],[Customer_Info]],FIND(",",RawSalesTable[[#This Row],[Customer_Info]])+1)))</f>
        <v>Small Business</v>
      </c>
      <c r="V179" s="8" t="str">
        <f>VLOOKUP(RawSalesTable[[#This Row],[Product_ID]],ProductsTable[],2,FALSE)</f>
        <v>Kettlebell</v>
      </c>
      <c r="W179" s="8" t="str">
        <f>VLOOKUP(RawSalesTable[[#This Row],[Product_ID]],ProductsTable[],3,FALSE)</f>
        <v>Fitness</v>
      </c>
      <c r="X179" s="8">
        <f>VLOOKUP(RawSalesTable[[#This Row],[Product_ID]],ProductsTable[],5,FALSE)</f>
        <v>25.97</v>
      </c>
      <c r="Y179" s="8">
        <f>RawSalesTable[[#This Row],[Quantity]]*RawSalesTable[[#This Row],[Unit_Price]]</f>
        <v>116.34</v>
      </c>
      <c r="Z179" s="8">
        <f>RawSalesTable[[#This Row],[Gross_Sales]]*RawSalesTable[[#This Row],[Discount_Pct]]</f>
        <v>0</v>
      </c>
      <c r="AA179" s="8">
        <f>RawSalesTable[[#This Row],[Gross_Sales]]-RawSalesTable[[#This Row],[Discount_Amount]]</f>
        <v>116.34</v>
      </c>
      <c r="AB179" s="8">
        <f>RawSalesTable[[#This Row],[Unit_Cost]]*RawSalesTable[[#This Row],[Quantity]]</f>
        <v>51.94</v>
      </c>
      <c r="AC179" s="8">
        <f>RawSalesTable[[#This Row],[Net_Sales]]-RawSalesTable[[#This Row],[Total_Cost]]</f>
        <v>64.400000000000006</v>
      </c>
      <c r="AD179" s="9">
        <f>RawSalesTable[[#This Row],[Profit]]/RawSalesTable[[#This Row],[Net_Sales]]</f>
        <v>0.55354993983152834</v>
      </c>
      <c r="AE179" s="8">
        <f>IF(RawSalesTable[[#This Row],[Return_Status]]="Yes",1,0)</f>
        <v>0</v>
      </c>
      <c r="AF179" s="8">
        <f>YEAR(RawSalesTable[[#This Row],[Order_Date]])</f>
        <v>2025</v>
      </c>
      <c r="AG179" s="8">
        <f>MONTH(RawSalesTable[[#This Row],[Order_Date]])</f>
        <v>5</v>
      </c>
      <c r="AH179" s="8" t="str">
        <f>TEXT(RawSalesTable[[#This Row],[Order_Date]],"mmmm")</f>
        <v>mai</v>
      </c>
      <c r="AI179" s="8" t="str">
        <f>IF(RawSalesTable[[#This Row],[Month_Number]]&lt;=3,"Q1",IF(RawSalesTable[[#This Row],[Month_Number]]&lt;=6,"Q2",IF(RawSalesTable[[#This Row],[Month_Number]]&lt;=9,"Q3","Q4")))</f>
        <v>Q2</v>
      </c>
      <c r="AJ179" s="13">
        <f>DATE(YEAR(RawSalesTable[[#This Row],[Order_Date]]),MONTH(RawSalesTable[[#This Row],[Order_Date]]),1)</f>
        <v>45778</v>
      </c>
      <c r="AK179" s="8" t="str">
        <f>VLOOKUP(RawSalesTable[[#This Row],[Customer_ID_clean]],CustomersTable[],4,FALSE)</f>
        <v>Ontario</v>
      </c>
    </row>
    <row r="180" spans="1:37">
      <c r="A180" t="s">
        <v>518</v>
      </c>
      <c r="B180" s="3">
        <v>45756</v>
      </c>
      <c r="C180" t="s">
        <v>138</v>
      </c>
      <c r="D180" t="s">
        <v>346</v>
      </c>
      <c r="E180" t="s">
        <v>140</v>
      </c>
      <c r="F180" t="s">
        <v>87</v>
      </c>
      <c r="G180" t="s">
        <v>183</v>
      </c>
      <c r="H180" t="s">
        <v>97</v>
      </c>
      <c r="I180">
        <v>2</v>
      </c>
      <c r="J180" s="2">
        <v>247.12</v>
      </c>
      <c r="K180" s="4">
        <v>0.05</v>
      </c>
      <c r="L180" t="s">
        <v>106</v>
      </c>
      <c r="M180">
        <v>4</v>
      </c>
      <c r="N180" t="s">
        <v>91</v>
      </c>
      <c r="O180" t="str">
        <f>SUBSTITUTE(PROPER(TRIM(RawSalesTable[[#This Row],[Channel_Raw]])), "Market Place", "Marketplace")</f>
        <v>Retail Store</v>
      </c>
      <c r="P180" t="str">
        <f>TRIM(RawSalesTable[[#This Row],[Store_Raw]])</f>
        <v>Online Fulfillment</v>
      </c>
      <c r="Q180" t="str">
        <f>IF(TRIM(RawSalesTable[[#This Row],[Payment_Method_Raw]])="","Non renseigné",SUBSTITUTE(TRIM(RawSalesTable[[#This Row],[Payment_Method_Raw]]),"CC","Credit Card"))</f>
        <v>Credit Card</v>
      </c>
      <c r="R180" s="8" t="str">
        <f>UPPER(PROPER(RawSalesTable[[#This Row],[Customer_ID]]))</f>
        <v>C0106</v>
      </c>
      <c r="S180" s="8" t="str">
        <f>TRIM(LEFT(RawSalesTable[[#This Row],[Customer_Info]],FIND(",",RawSalesTable[[#This Row],[Customer_Info]]) -1))</f>
        <v>Liam Gagnon</v>
      </c>
      <c r="T180" s="8" t="str">
        <f>TRIM(MID(RawSalesTable[[#This Row],[Customer_Info]],FIND(",",RawSalesTable[[#This Row],[Customer_Info]])+1,FIND(",",RawSalesTable[[#This Row],[Customer_Info]],FIND(",",RawSalesTable[[#This Row],[Customer_Info]])+1)-FIND(",",RawSalesTable[[#This Row],[Customer_Info]])-1))</f>
        <v>Ottawa</v>
      </c>
      <c r="U180" s="8" t="str">
        <f>TRIM(RIGHT(RawSalesTable[[#This Row],[Customer_Info]], LEN(RawSalesTable[[#This Row],[Customer_Info]])-FIND(",",RawSalesTable[[#This Row],[Customer_Info]],FIND(",",RawSalesTable[[#This Row],[Customer_Info]])+1)))</f>
        <v>Small Business</v>
      </c>
      <c r="V180" s="8" t="str">
        <f>VLOOKUP(RawSalesTable[[#This Row],[Product_ID]],ProductsTable[],2,FALSE)</f>
        <v>Pull-up Bar</v>
      </c>
      <c r="W180" s="8" t="str">
        <f>VLOOKUP(RawSalesTable[[#This Row],[Product_ID]],ProductsTable[],3,FALSE)</f>
        <v>Fitness</v>
      </c>
      <c r="X180" s="8">
        <f>VLOOKUP(RawSalesTable[[#This Row],[Product_ID]],ProductsTable[],5,FALSE)</f>
        <v>125.4</v>
      </c>
      <c r="Y180" s="8">
        <f>RawSalesTable[[#This Row],[Quantity]]*RawSalesTable[[#This Row],[Unit_Price]]</f>
        <v>494.24</v>
      </c>
      <c r="Z180" s="8">
        <f>RawSalesTable[[#This Row],[Gross_Sales]]*RawSalesTable[[#This Row],[Discount_Pct]]</f>
        <v>24.712000000000003</v>
      </c>
      <c r="AA180" s="8">
        <f>RawSalesTable[[#This Row],[Gross_Sales]]-RawSalesTable[[#This Row],[Discount_Amount]]</f>
        <v>469.52800000000002</v>
      </c>
      <c r="AB180" s="8">
        <f>RawSalesTable[[#This Row],[Unit_Cost]]*RawSalesTable[[#This Row],[Quantity]]</f>
        <v>250.8</v>
      </c>
      <c r="AC180" s="8">
        <f>RawSalesTable[[#This Row],[Net_Sales]]-RawSalesTable[[#This Row],[Total_Cost]]</f>
        <v>218.72800000000001</v>
      </c>
      <c r="AD180" s="9">
        <f>RawSalesTable[[#This Row],[Profit]]/RawSalesTable[[#This Row],[Net_Sales]]</f>
        <v>0.46584655228229199</v>
      </c>
      <c r="AE180" s="8">
        <f>IF(RawSalesTable[[#This Row],[Return_Status]]="Yes",1,0)</f>
        <v>0</v>
      </c>
      <c r="AF180" s="8">
        <f>YEAR(RawSalesTable[[#This Row],[Order_Date]])</f>
        <v>2025</v>
      </c>
      <c r="AG180" s="8">
        <f>MONTH(RawSalesTable[[#This Row],[Order_Date]])</f>
        <v>4</v>
      </c>
      <c r="AH180" s="8" t="str">
        <f>TEXT(RawSalesTable[[#This Row],[Order_Date]],"mmmm")</f>
        <v>avril</v>
      </c>
      <c r="AI180" s="8" t="str">
        <f>IF(RawSalesTable[[#This Row],[Month_Number]]&lt;=3,"Q1",IF(RawSalesTable[[#This Row],[Month_Number]]&lt;=6,"Q2",IF(RawSalesTable[[#This Row],[Month_Number]]&lt;=9,"Q3","Q4")))</f>
        <v>Q2</v>
      </c>
      <c r="AJ180" s="13">
        <f>DATE(YEAR(RawSalesTable[[#This Row],[Order_Date]]),MONTH(RawSalesTable[[#This Row],[Order_Date]]),1)</f>
        <v>45748</v>
      </c>
      <c r="AK180" s="8" t="str">
        <f>VLOOKUP(RawSalesTable[[#This Row],[Customer_ID_clean]],CustomersTable[],4,FALSE)</f>
        <v>Ontario</v>
      </c>
    </row>
    <row r="181" spans="1:37">
      <c r="A181" t="s">
        <v>519</v>
      </c>
      <c r="B181" s="3">
        <v>45801</v>
      </c>
      <c r="C181" t="s">
        <v>453</v>
      </c>
      <c r="D181" t="s">
        <v>520</v>
      </c>
      <c r="E181" t="s">
        <v>454</v>
      </c>
      <c r="F181" t="s">
        <v>103</v>
      </c>
      <c r="G181" t="s">
        <v>104</v>
      </c>
      <c r="H181" t="s">
        <v>97</v>
      </c>
      <c r="I181">
        <v>1</v>
      </c>
      <c r="J181" s="2">
        <v>380.52</v>
      </c>
      <c r="K181" s="4">
        <v>0.05</v>
      </c>
      <c r="L181" t="s">
        <v>521</v>
      </c>
      <c r="M181">
        <v>2</v>
      </c>
      <c r="N181" t="s">
        <v>91</v>
      </c>
      <c r="O181" t="str">
        <f>SUBSTITUTE(PROPER(TRIM(RawSalesTable[[#This Row],[Channel_Raw]])), "Market Place", "Marketplace")</f>
        <v>Retail Store</v>
      </c>
      <c r="P181" t="str">
        <f>TRIM(RawSalesTable[[#This Row],[Store_Raw]])</f>
        <v>Vancouver West</v>
      </c>
      <c r="Q181" t="str">
        <f>IF(TRIM(RawSalesTable[[#This Row],[Payment_Method_Raw]])="","Non renseigné",SUBSTITUTE(TRIM(RawSalesTable[[#This Row],[Payment_Method_Raw]]),"CC","Credit Card"))</f>
        <v>debit card</v>
      </c>
      <c r="R181" s="8" t="str">
        <f>UPPER(PROPER(RawSalesTable[[#This Row],[Customer_ID]]))</f>
        <v>C0070</v>
      </c>
      <c r="S181" s="8" t="str">
        <f>TRIM(LEFT(RawSalesTable[[#This Row],[Customer_Info]],FIND(",",RawSalesTable[[#This Row],[Customer_Info]]) -1))</f>
        <v>Sophia Young</v>
      </c>
      <c r="T181" s="8" t="str">
        <f>TRIM(MID(RawSalesTable[[#This Row],[Customer_Info]],FIND(",",RawSalesTable[[#This Row],[Customer_Info]])+1,FIND(",",RawSalesTable[[#This Row],[Customer_Info]],FIND(",",RawSalesTable[[#This Row],[Customer_Info]])+1)-FIND(",",RawSalesTable[[#This Row],[Customer_Info]])-1))</f>
        <v>Halifax</v>
      </c>
      <c r="U181" s="8" t="str">
        <f>TRIM(RIGHT(RawSalesTable[[#This Row],[Customer_Info]], LEN(RawSalesTable[[#This Row],[Customer_Info]])-FIND(",",RawSalesTable[[#This Row],[Customer_Info]],FIND(",",RawSalesTable[[#This Row],[Customer_Info]])+1)))</f>
        <v>Corporate</v>
      </c>
      <c r="V181" s="8" t="str">
        <f>VLOOKUP(RawSalesTable[[#This Row],[Product_ID]],ProductsTable[],2,FALSE)</f>
        <v>Coffee Maker</v>
      </c>
      <c r="W181" s="8" t="str">
        <f>VLOOKUP(RawSalesTable[[#This Row],[Product_ID]],ProductsTable[],3,FALSE)</f>
        <v>Home</v>
      </c>
      <c r="X181" s="8">
        <f>VLOOKUP(RawSalesTable[[#This Row],[Product_ID]],ProductsTable[],5,FALSE)</f>
        <v>241.16</v>
      </c>
      <c r="Y181" s="8">
        <f>RawSalesTable[[#This Row],[Quantity]]*RawSalesTable[[#This Row],[Unit_Price]]</f>
        <v>380.52</v>
      </c>
      <c r="Z181" s="8">
        <f>RawSalesTable[[#This Row],[Gross_Sales]]*RawSalesTable[[#This Row],[Discount_Pct]]</f>
        <v>19.026</v>
      </c>
      <c r="AA181" s="8">
        <f>RawSalesTable[[#This Row],[Gross_Sales]]-RawSalesTable[[#This Row],[Discount_Amount]]</f>
        <v>361.49399999999997</v>
      </c>
      <c r="AB181" s="8">
        <f>RawSalesTable[[#This Row],[Unit_Cost]]*RawSalesTable[[#This Row],[Quantity]]</f>
        <v>241.16</v>
      </c>
      <c r="AC181" s="8">
        <f>RawSalesTable[[#This Row],[Net_Sales]]-RawSalesTable[[#This Row],[Total_Cost]]</f>
        <v>120.33399999999997</v>
      </c>
      <c r="AD181" s="9">
        <f>RawSalesTable[[#This Row],[Profit]]/RawSalesTable[[#This Row],[Net_Sales]]</f>
        <v>0.33287966051995327</v>
      </c>
      <c r="AE181" s="8">
        <f>IF(RawSalesTable[[#This Row],[Return_Status]]="Yes",1,0)</f>
        <v>0</v>
      </c>
      <c r="AF181" s="8">
        <f>YEAR(RawSalesTable[[#This Row],[Order_Date]])</f>
        <v>2025</v>
      </c>
      <c r="AG181" s="8">
        <f>MONTH(RawSalesTable[[#This Row],[Order_Date]])</f>
        <v>5</v>
      </c>
      <c r="AH181" s="8" t="str">
        <f>TEXT(RawSalesTable[[#This Row],[Order_Date]],"mmmm")</f>
        <v>mai</v>
      </c>
      <c r="AI181" s="8" t="str">
        <f>IF(RawSalesTable[[#This Row],[Month_Number]]&lt;=3,"Q1",IF(RawSalesTable[[#This Row],[Month_Number]]&lt;=6,"Q2",IF(RawSalesTable[[#This Row],[Month_Number]]&lt;=9,"Q3","Q4")))</f>
        <v>Q2</v>
      </c>
      <c r="AJ181" s="13">
        <f>DATE(YEAR(RawSalesTable[[#This Row],[Order_Date]]),MONTH(RawSalesTable[[#This Row],[Order_Date]]),1)</f>
        <v>45778</v>
      </c>
      <c r="AK181" s="8" t="str">
        <f>VLOOKUP(RawSalesTable[[#This Row],[Customer_ID_clean]],CustomersTable[],4,FALSE)</f>
        <v>Nova Scotia</v>
      </c>
    </row>
    <row r="182" spans="1:37">
      <c r="A182" t="s">
        <v>522</v>
      </c>
      <c r="B182" s="3">
        <v>45931</v>
      </c>
      <c r="C182" t="s">
        <v>523</v>
      </c>
      <c r="D182" t="s">
        <v>85</v>
      </c>
      <c r="E182" t="s">
        <v>524</v>
      </c>
      <c r="F182" t="s">
        <v>103</v>
      </c>
      <c r="G182" t="s">
        <v>183</v>
      </c>
      <c r="H182" t="s">
        <v>89</v>
      </c>
      <c r="I182">
        <v>2</v>
      </c>
      <c r="J182" s="2">
        <v>310.64</v>
      </c>
      <c r="K182" s="4">
        <v>0.05</v>
      </c>
      <c r="L182" t="s">
        <v>90</v>
      </c>
      <c r="M182">
        <v>4</v>
      </c>
      <c r="N182" t="s">
        <v>91</v>
      </c>
      <c r="O182" t="str">
        <f>SUBSTITUTE(PROPER(TRIM(RawSalesTable[[#This Row],[Channel_Raw]])), "Market Place", "Marketplace")</f>
        <v>Online</v>
      </c>
      <c r="P182" t="str">
        <f>TRIM(RawSalesTable[[#This Row],[Store_Raw]])</f>
        <v>Vancouver West</v>
      </c>
      <c r="Q182" t="str">
        <f>IF(TRIM(RawSalesTable[[#This Row],[Payment_Method_Raw]])="","Non renseigné",SUBSTITUTE(TRIM(RawSalesTable[[#This Row],[Payment_Method_Raw]]),"CC","Credit Card"))</f>
        <v>PayPal</v>
      </c>
      <c r="R182" s="8" t="str">
        <f>UPPER(PROPER(RawSalesTable[[#This Row],[Customer_ID]]))</f>
        <v>C0115</v>
      </c>
      <c r="S182" s="8" t="str">
        <f>TRIM(LEFT(RawSalesTable[[#This Row],[Customer_Info]],FIND(",",RawSalesTable[[#This Row],[Customer_Info]]) -1))</f>
        <v>Nora Lee</v>
      </c>
      <c r="T182" s="8" t="str">
        <f>TRIM(MID(RawSalesTable[[#This Row],[Customer_Info]],FIND(",",RawSalesTable[[#This Row],[Customer_Info]])+1,FIND(",",RawSalesTable[[#This Row],[Customer_Info]],FIND(",",RawSalesTable[[#This Row],[Customer_Info]])+1)-FIND(",",RawSalesTable[[#This Row],[Customer_Info]])-1))</f>
        <v>Calgary</v>
      </c>
      <c r="U182" s="8" t="str">
        <f>TRIM(RIGHT(RawSalesTable[[#This Row],[Customer_Info]], LEN(RawSalesTable[[#This Row],[Customer_Info]])-FIND(",",RawSalesTable[[#This Row],[Customer_Info]],FIND(",",RawSalesTable[[#This Row],[Customer_Info]])+1)))</f>
        <v>Consumer</v>
      </c>
      <c r="V182" s="8" t="str">
        <f>VLOOKUP(RawSalesTable[[#This Row],[Product_ID]],ProductsTable[],2,FALSE)</f>
        <v>Yoga Mat</v>
      </c>
      <c r="W182" s="8" t="str">
        <f>VLOOKUP(RawSalesTable[[#This Row],[Product_ID]],ProductsTable[],3,FALSE)</f>
        <v>Fitness</v>
      </c>
      <c r="X182" s="8">
        <f>VLOOKUP(RawSalesTable[[#This Row],[Product_ID]],ProductsTable[],5,FALSE)</f>
        <v>197.33</v>
      </c>
      <c r="Y182" s="8">
        <f>RawSalesTable[[#This Row],[Quantity]]*RawSalesTable[[#This Row],[Unit_Price]]</f>
        <v>621.28</v>
      </c>
      <c r="Z182" s="8">
        <f>RawSalesTable[[#This Row],[Gross_Sales]]*RawSalesTable[[#This Row],[Discount_Pct]]</f>
        <v>31.064</v>
      </c>
      <c r="AA182" s="8">
        <f>RawSalesTable[[#This Row],[Gross_Sales]]-RawSalesTable[[#This Row],[Discount_Amount]]</f>
        <v>590.21600000000001</v>
      </c>
      <c r="AB182" s="8">
        <f>RawSalesTable[[#This Row],[Unit_Cost]]*RawSalesTable[[#This Row],[Quantity]]</f>
        <v>394.66</v>
      </c>
      <c r="AC182" s="8">
        <f>RawSalesTable[[#This Row],[Net_Sales]]-RawSalesTable[[#This Row],[Total_Cost]]</f>
        <v>195.55599999999998</v>
      </c>
      <c r="AD182" s="9">
        <f>RawSalesTable[[#This Row],[Profit]]/RawSalesTable[[#This Row],[Net_Sales]]</f>
        <v>0.33132954714884039</v>
      </c>
      <c r="AE182" s="8">
        <f>IF(RawSalesTable[[#This Row],[Return_Status]]="Yes",1,0)</f>
        <v>0</v>
      </c>
      <c r="AF182" s="8">
        <f>YEAR(RawSalesTable[[#This Row],[Order_Date]])</f>
        <v>2025</v>
      </c>
      <c r="AG182" s="8">
        <f>MONTH(RawSalesTable[[#This Row],[Order_Date]])</f>
        <v>10</v>
      </c>
      <c r="AH182" s="8" t="str">
        <f>TEXT(RawSalesTable[[#This Row],[Order_Date]],"mmmm")</f>
        <v>octobre</v>
      </c>
      <c r="AI182" s="8" t="str">
        <f>IF(RawSalesTable[[#This Row],[Month_Number]]&lt;=3,"Q1",IF(RawSalesTable[[#This Row],[Month_Number]]&lt;=6,"Q2",IF(RawSalesTable[[#This Row],[Month_Number]]&lt;=9,"Q3","Q4")))</f>
        <v>Q4</v>
      </c>
      <c r="AJ182" s="13">
        <f>DATE(YEAR(RawSalesTable[[#This Row],[Order_Date]]),MONTH(RawSalesTable[[#This Row],[Order_Date]]),1)</f>
        <v>45931</v>
      </c>
      <c r="AK182" s="8" t="str">
        <f>VLOOKUP(RawSalesTable[[#This Row],[Customer_ID_clean]],CustomersTable[],4,FALSE)</f>
        <v>Alberta</v>
      </c>
    </row>
    <row r="183" spans="1:37">
      <c r="A183" t="s">
        <v>525</v>
      </c>
      <c r="B183" s="3">
        <v>45732</v>
      </c>
      <c r="C183" t="s">
        <v>151</v>
      </c>
      <c r="D183" t="s">
        <v>143</v>
      </c>
      <c r="E183" t="s">
        <v>153</v>
      </c>
      <c r="F183" t="s">
        <v>103</v>
      </c>
      <c r="G183" t="s">
        <v>96</v>
      </c>
      <c r="H183" t="s">
        <v>89</v>
      </c>
      <c r="I183">
        <v>2</v>
      </c>
      <c r="J183" s="2">
        <v>276.83</v>
      </c>
      <c r="K183" s="4">
        <v>0.05</v>
      </c>
      <c r="L183" t="s">
        <v>98</v>
      </c>
      <c r="M183">
        <v>1</v>
      </c>
      <c r="N183" t="s">
        <v>91</v>
      </c>
      <c r="O183" t="str">
        <f>SUBSTITUTE(PROPER(TRIM(RawSalesTable[[#This Row],[Channel_Raw]])), "Market Place", "Marketplace")</f>
        <v>Online</v>
      </c>
      <c r="P183" t="str">
        <f>TRIM(RawSalesTable[[#This Row],[Store_Raw]])</f>
        <v>Vancouver West</v>
      </c>
      <c r="Q183" t="str">
        <f>IF(TRIM(RawSalesTable[[#This Row],[Payment_Method_Raw]])="","Non renseigné",SUBSTITUTE(TRIM(RawSalesTable[[#This Row],[Payment_Method_Raw]]),"CC","Credit Card"))</f>
        <v>Debit Card</v>
      </c>
      <c r="R183" s="8" t="str">
        <f>UPPER(PROPER(RawSalesTable[[#This Row],[Customer_ID]]))</f>
        <v>C0014</v>
      </c>
      <c r="S183" s="8" t="str">
        <f>TRIM(LEFT(RawSalesTable[[#This Row],[Customer_Info]],FIND(",",RawSalesTable[[#This Row],[Customer_Info]]) -1))</f>
        <v>Zoe Scott</v>
      </c>
      <c r="T183" s="8" t="str">
        <f>TRIM(MID(RawSalesTable[[#This Row],[Customer_Info]],FIND(",",RawSalesTable[[#This Row],[Customer_Info]])+1,FIND(",",RawSalesTable[[#This Row],[Customer_Info]],FIND(",",RawSalesTable[[#This Row],[Customer_Info]])+1)-FIND(",",RawSalesTable[[#This Row],[Customer_Info]])-1))</f>
        <v>Montreal</v>
      </c>
      <c r="U183" s="8" t="str">
        <f>TRIM(RIGHT(RawSalesTable[[#This Row],[Customer_Info]], LEN(RawSalesTable[[#This Row],[Customer_Info]])-FIND(",",RawSalesTable[[#This Row],[Customer_Info]],FIND(",",RawSalesTable[[#This Row],[Customer_Info]])+1)))</f>
        <v>Small Business</v>
      </c>
      <c r="V183" s="8" t="str">
        <f>VLOOKUP(RawSalesTable[[#This Row],[Product_ID]],ProductsTable[],2,FALSE)</f>
        <v>Water Bottle</v>
      </c>
      <c r="W183" s="8" t="str">
        <f>VLOOKUP(RawSalesTable[[#This Row],[Product_ID]],ProductsTable[],3,FALSE)</f>
        <v>Accessories</v>
      </c>
      <c r="X183" s="8">
        <f>VLOOKUP(RawSalesTable[[#This Row],[Product_ID]],ProductsTable[],5,FALSE)</f>
        <v>119.16</v>
      </c>
      <c r="Y183" s="8">
        <f>RawSalesTable[[#This Row],[Quantity]]*RawSalesTable[[#This Row],[Unit_Price]]</f>
        <v>553.66</v>
      </c>
      <c r="Z183" s="8">
        <f>RawSalesTable[[#This Row],[Gross_Sales]]*RawSalesTable[[#This Row],[Discount_Pct]]</f>
        <v>27.683</v>
      </c>
      <c r="AA183" s="8">
        <f>RawSalesTable[[#This Row],[Gross_Sales]]-RawSalesTable[[#This Row],[Discount_Amount]]</f>
        <v>525.97699999999998</v>
      </c>
      <c r="AB183" s="8">
        <f>RawSalesTable[[#This Row],[Unit_Cost]]*RawSalesTable[[#This Row],[Quantity]]</f>
        <v>238.32</v>
      </c>
      <c r="AC183" s="8">
        <f>RawSalesTable[[#This Row],[Net_Sales]]-RawSalesTable[[#This Row],[Total_Cost]]</f>
        <v>287.65699999999998</v>
      </c>
      <c r="AD183" s="9">
        <f>RawSalesTable[[#This Row],[Profit]]/RawSalesTable[[#This Row],[Net_Sales]]</f>
        <v>0.54690033974869623</v>
      </c>
      <c r="AE183" s="8">
        <f>IF(RawSalesTable[[#This Row],[Return_Status]]="Yes",1,0)</f>
        <v>0</v>
      </c>
      <c r="AF183" s="8">
        <f>YEAR(RawSalesTable[[#This Row],[Order_Date]])</f>
        <v>2025</v>
      </c>
      <c r="AG183" s="8">
        <f>MONTH(RawSalesTable[[#This Row],[Order_Date]])</f>
        <v>3</v>
      </c>
      <c r="AH183" s="8" t="str">
        <f>TEXT(RawSalesTable[[#This Row],[Order_Date]],"mmmm")</f>
        <v>mars</v>
      </c>
      <c r="AI183" s="8" t="str">
        <f>IF(RawSalesTable[[#This Row],[Month_Number]]&lt;=3,"Q1",IF(RawSalesTable[[#This Row],[Month_Number]]&lt;=6,"Q2",IF(RawSalesTable[[#This Row],[Month_Number]]&lt;=9,"Q3","Q4")))</f>
        <v>Q1</v>
      </c>
      <c r="AJ183" s="13">
        <f>DATE(YEAR(RawSalesTable[[#This Row],[Order_Date]]),MONTH(RawSalesTable[[#This Row],[Order_Date]]),1)</f>
        <v>45717</v>
      </c>
      <c r="AK183" s="8" t="str">
        <f>VLOOKUP(RawSalesTable[[#This Row],[Customer_ID_clean]],CustomersTable[],4,FALSE)</f>
        <v>Quebec</v>
      </c>
    </row>
    <row r="184" spans="1:37">
      <c r="A184" t="s">
        <v>526</v>
      </c>
      <c r="B184" s="3">
        <v>45775</v>
      </c>
      <c r="C184" t="s">
        <v>160</v>
      </c>
      <c r="D184" t="s">
        <v>231</v>
      </c>
      <c r="E184" t="s">
        <v>161</v>
      </c>
      <c r="F184" t="s">
        <v>87</v>
      </c>
      <c r="G184" t="s">
        <v>171</v>
      </c>
      <c r="H184" t="s">
        <v>89</v>
      </c>
      <c r="I184">
        <v>1</v>
      </c>
      <c r="J184" s="2">
        <v>344.09</v>
      </c>
      <c r="K184" s="4">
        <v>0.05</v>
      </c>
      <c r="L184" t="s">
        <v>98</v>
      </c>
      <c r="M184">
        <v>6</v>
      </c>
      <c r="N184" t="s">
        <v>91</v>
      </c>
      <c r="O184" t="str">
        <f>SUBSTITUTE(PROPER(TRIM(RawSalesTable[[#This Row],[Channel_Raw]])), "Market Place", "Marketplace")</f>
        <v>Online</v>
      </c>
      <c r="P184" t="str">
        <f>TRIM(RawSalesTable[[#This Row],[Store_Raw]])</f>
        <v>Online Fulfillment</v>
      </c>
      <c r="Q184" t="str">
        <f>IF(TRIM(RawSalesTable[[#This Row],[Payment_Method_Raw]])="","Non renseigné",SUBSTITUTE(TRIM(RawSalesTable[[#This Row],[Payment_Method_Raw]]),"CC","Credit Card"))</f>
        <v>Debit Card</v>
      </c>
      <c r="R184" s="8" t="str">
        <f>UPPER(PROPER(RawSalesTable[[#This Row],[Customer_ID]]))</f>
        <v>C0073</v>
      </c>
      <c r="S184" s="8" t="str">
        <f>TRIM(LEFT(RawSalesTable[[#This Row],[Customer_Info]],FIND(",",RawSalesTable[[#This Row],[Customer_Info]]) -1))</f>
        <v>Olivia Singh</v>
      </c>
      <c r="T184" s="8" t="str">
        <f>TRIM(MID(RawSalesTable[[#This Row],[Customer_Info]],FIND(",",RawSalesTable[[#This Row],[Customer_Info]])+1,FIND(",",RawSalesTable[[#This Row],[Customer_Info]],FIND(",",RawSalesTable[[#This Row],[Customer_Info]])+1)-FIND(",",RawSalesTable[[#This Row],[Customer_Info]])-1))</f>
        <v>Mississauga</v>
      </c>
      <c r="U184" s="8" t="str">
        <f>TRIM(RIGHT(RawSalesTable[[#This Row],[Customer_Info]], LEN(RawSalesTable[[#This Row],[Customer_Info]])-FIND(",",RawSalesTable[[#This Row],[Customer_Info]],FIND(",",RawSalesTable[[#This Row],[Customer_Info]])+1)))</f>
        <v>Consumer</v>
      </c>
      <c r="V184" s="8" t="str">
        <f>VLOOKUP(RawSalesTable[[#This Row],[Product_ID]],ProductsTable[],2,FALSE)</f>
        <v>Cable Set</v>
      </c>
      <c r="W184" s="8" t="str">
        <f>VLOOKUP(RawSalesTable[[#This Row],[Product_ID]],ProductsTable[],3,FALSE)</f>
        <v>Accessories</v>
      </c>
      <c r="X184" s="8">
        <f>VLOOKUP(RawSalesTable[[#This Row],[Product_ID]],ProductsTable[],5,FALSE)</f>
        <v>200.16</v>
      </c>
      <c r="Y184" s="8">
        <f>RawSalesTable[[#This Row],[Quantity]]*RawSalesTable[[#This Row],[Unit_Price]]</f>
        <v>344.09</v>
      </c>
      <c r="Z184" s="8">
        <f>RawSalesTable[[#This Row],[Gross_Sales]]*RawSalesTable[[#This Row],[Discount_Pct]]</f>
        <v>17.204499999999999</v>
      </c>
      <c r="AA184" s="8">
        <f>RawSalesTable[[#This Row],[Gross_Sales]]-RawSalesTable[[#This Row],[Discount_Amount]]</f>
        <v>326.88549999999998</v>
      </c>
      <c r="AB184" s="8">
        <f>RawSalesTable[[#This Row],[Unit_Cost]]*RawSalesTable[[#This Row],[Quantity]]</f>
        <v>200.16</v>
      </c>
      <c r="AC184" s="8">
        <f>RawSalesTable[[#This Row],[Net_Sales]]-RawSalesTable[[#This Row],[Total_Cost]]</f>
        <v>126.72549999999998</v>
      </c>
      <c r="AD184" s="9">
        <f>RawSalesTable[[#This Row],[Profit]]/RawSalesTable[[#This Row],[Net_Sales]]</f>
        <v>0.3876755010546506</v>
      </c>
      <c r="AE184" s="8">
        <f>IF(RawSalesTable[[#This Row],[Return_Status]]="Yes",1,0)</f>
        <v>0</v>
      </c>
      <c r="AF184" s="8">
        <f>YEAR(RawSalesTable[[#This Row],[Order_Date]])</f>
        <v>2025</v>
      </c>
      <c r="AG184" s="8">
        <f>MONTH(RawSalesTable[[#This Row],[Order_Date]])</f>
        <v>4</v>
      </c>
      <c r="AH184" s="8" t="str">
        <f>TEXT(RawSalesTable[[#This Row],[Order_Date]],"mmmm")</f>
        <v>avril</v>
      </c>
      <c r="AI184" s="8" t="str">
        <f>IF(RawSalesTable[[#This Row],[Month_Number]]&lt;=3,"Q1",IF(RawSalesTable[[#This Row],[Month_Number]]&lt;=6,"Q2",IF(RawSalesTable[[#This Row],[Month_Number]]&lt;=9,"Q3","Q4")))</f>
        <v>Q2</v>
      </c>
      <c r="AJ184" s="13">
        <f>DATE(YEAR(RawSalesTable[[#This Row],[Order_Date]]),MONTH(RawSalesTable[[#This Row],[Order_Date]]),1)</f>
        <v>45748</v>
      </c>
      <c r="AK184" s="8" t="str">
        <f>VLOOKUP(RawSalesTable[[#This Row],[Customer_ID_clean]],CustomersTable[],4,FALSE)</f>
        <v>Ontario</v>
      </c>
    </row>
    <row r="185" spans="1:37">
      <c r="A185" t="s">
        <v>527</v>
      </c>
      <c r="B185" s="3">
        <v>45992</v>
      </c>
      <c r="C185" t="s">
        <v>236</v>
      </c>
      <c r="D185" t="s">
        <v>120</v>
      </c>
      <c r="E185" t="s">
        <v>237</v>
      </c>
      <c r="F185" t="s">
        <v>116</v>
      </c>
      <c r="G185" t="s">
        <v>122</v>
      </c>
      <c r="H185" t="s">
        <v>105</v>
      </c>
      <c r="I185">
        <v>1</v>
      </c>
      <c r="J185" s="2">
        <v>389.99</v>
      </c>
      <c r="K185" s="4">
        <v>0</v>
      </c>
      <c r="L185" t="s">
        <v>90</v>
      </c>
      <c r="M185">
        <v>8</v>
      </c>
      <c r="N185" t="s">
        <v>91</v>
      </c>
      <c r="O185" t="str">
        <f>SUBSTITUTE(PROPER(TRIM(RawSalesTable[[#This Row],[Channel_Raw]])), "Market Place", "Marketplace")</f>
        <v>Marketplace</v>
      </c>
      <c r="P185" t="str">
        <f>TRIM(RawSalesTable[[#This Row],[Store_Raw]])</f>
        <v>Toronto Downtown</v>
      </c>
      <c r="Q185" t="str">
        <f>IF(TRIM(RawSalesTable[[#This Row],[Payment_Method_Raw]])="","Non renseigné",SUBSTITUTE(TRIM(RawSalesTable[[#This Row],[Payment_Method_Raw]]),"CC","Credit Card"))</f>
        <v>PayPal</v>
      </c>
      <c r="R185" s="8" t="str">
        <f>UPPER(PROPER(RawSalesTable[[#This Row],[Customer_ID]]))</f>
        <v>C0102</v>
      </c>
      <c r="S185" s="8" t="str">
        <f>TRIM(LEFT(RawSalesTable[[#This Row],[Customer_Info]],FIND(",",RawSalesTable[[#This Row],[Customer_Info]]) -1))</f>
        <v>Adam Roy</v>
      </c>
      <c r="T185" s="8" t="str">
        <f>TRIM(MID(RawSalesTable[[#This Row],[Customer_Info]],FIND(",",RawSalesTable[[#This Row],[Customer_Info]])+1,FIND(",",RawSalesTable[[#This Row],[Customer_Info]],FIND(",",RawSalesTable[[#This Row],[Customer_Info]])+1)-FIND(",",RawSalesTable[[#This Row],[Customer_Info]])-1))</f>
        <v>Edmonton</v>
      </c>
      <c r="U185" s="8" t="str">
        <f>TRIM(RIGHT(RawSalesTable[[#This Row],[Customer_Info]], LEN(RawSalesTable[[#This Row],[Customer_Info]])-FIND(",",RawSalesTable[[#This Row],[Customer_Info]],FIND(",",RawSalesTable[[#This Row],[Customer_Info]])+1)))</f>
        <v>Corporate</v>
      </c>
      <c r="V185" s="8" t="str">
        <f>VLOOKUP(RawSalesTable[[#This Row],[Product_ID]],ProductsTable[],2,FALSE)</f>
        <v>Desk Organizer</v>
      </c>
      <c r="W185" s="8" t="str">
        <f>VLOOKUP(RawSalesTable[[#This Row],[Product_ID]],ProductsTable[],3,FALSE)</f>
        <v>Office</v>
      </c>
      <c r="X185" s="8">
        <f>VLOOKUP(RawSalesTable[[#This Row],[Product_ID]],ProductsTable[],5,FALSE)</f>
        <v>235.76</v>
      </c>
      <c r="Y185" s="8">
        <f>RawSalesTable[[#This Row],[Quantity]]*RawSalesTable[[#This Row],[Unit_Price]]</f>
        <v>389.99</v>
      </c>
      <c r="Z185" s="8">
        <f>RawSalesTable[[#This Row],[Gross_Sales]]*RawSalesTable[[#This Row],[Discount_Pct]]</f>
        <v>0</v>
      </c>
      <c r="AA185" s="8">
        <f>RawSalesTable[[#This Row],[Gross_Sales]]-RawSalesTable[[#This Row],[Discount_Amount]]</f>
        <v>389.99</v>
      </c>
      <c r="AB185" s="8">
        <f>RawSalesTable[[#This Row],[Unit_Cost]]*RawSalesTable[[#This Row],[Quantity]]</f>
        <v>235.76</v>
      </c>
      <c r="AC185" s="8">
        <f>RawSalesTable[[#This Row],[Net_Sales]]-RawSalesTable[[#This Row],[Total_Cost]]</f>
        <v>154.23000000000002</v>
      </c>
      <c r="AD185" s="9">
        <f>RawSalesTable[[#This Row],[Profit]]/RawSalesTable[[#This Row],[Net_Sales]]</f>
        <v>0.39547167876099393</v>
      </c>
      <c r="AE185" s="8">
        <f>IF(RawSalesTable[[#This Row],[Return_Status]]="Yes",1,0)</f>
        <v>0</v>
      </c>
      <c r="AF185" s="8">
        <f>YEAR(RawSalesTable[[#This Row],[Order_Date]])</f>
        <v>2025</v>
      </c>
      <c r="AG185" s="8">
        <f>MONTH(RawSalesTable[[#This Row],[Order_Date]])</f>
        <v>12</v>
      </c>
      <c r="AH185" s="8" t="str">
        <f>TEXT(RawSalesTable[[#This Row],[Order_Date]],"mmmm")</f>
        <v>décembre</v>
      </c>
      <c r="AI185" s="8" t="str">
        <f>IF(RawSalesTable[[#This Row],[Month_Number]]&lt;=3,"Q1",IF(RawSalesTable[[#This Row],[Month_Number]]&lt;=6,"Q2",IF(RawSalesTable[[#This Row],[Month_Number]]&lt;=9,"Q3","Q4")))</f>
        <v>Q4</v>
      </c>
      <c r="AJ185" s="13">
        <f>DATE(YEAR(RawSalesTable[[#This Row],[Order_Date]]),MONTH(RawSalesTable[[#This Row],[Order_Date]]),1)</f>
        <v>45992</v>
      </c>
      <c r="AK185" s="8" t="str">
        <f>VLOOKUP(RawSalesTable[[#This Row],[Customer_ID_clean]],CustomersTable[],4,FALSE)</f>
        <v>Alberta</v>
      </c>
    </row>
    <row r="186" spans="1:37">
      <c r="A186" t="s">
        <v>528</v>
      </c>
      <c r="B186" s="3">
        <v>45752</v>
      </c>
      <c r="C186" t="s">
        <v>466</v>
      </c>
      <c r="D186" t="s">
        <v>101</v>
      </c>
      <c r="E186" t="s">
        <v>467</v>
      </c>
      <c r="F186" t="s">
        <v>116</v>
      </c>
      <c r="G186" t="s">
        <v>171</v>
      </c>
      <c r="H186" t="s">
        <v>89</v>
      </c>
      <c r="I186">
        <v>4</v>
      </c>
      <c r="J186" s="2">
        <v>308.58999999999997</v>
      </c>
      <c r="K186" s="4">
        <v>0</v>
      </c>
      <c r="L186" t="s">
        <v>98</v>
      </c>
      <c r="M186">
        <v>1</v>
      </c>
      <c r="N186" t="s">
        <v>91</v>
      </c>
      <c r="O186" t="str">
        <f>SUBSTITUTE(PROPER(TRIM(RawSalesTable[[#This Row],[Channel_Raw]])), "Market Place", "Marketplace")</f>
        <v>Online</v>
      </c>
      <c r="P186" t="str">
        <f>TRIM(RawSalesTable[[#This Row],[Store_Raw]])</f>
        <v>Toronto Downtown</v>
      </c>
      <c r="Q186" t="str">
        <f>IF(TRIM(RawSalesTable[[#This Row],[Payment_Method_Raw]])="","Non renseigné",SUBSTITUTE(TRIM(RawSalesTable[[#This Row],[Payment_Method_Raw]]),"CC","Credit Card"))</f>
        <v>Debit Card</v>
      </c>
      <c r="R186" s="8" t="str">
        <f>UPPER(PROPER(RawSalesTable[[#This Row],[Customer_ID]]))</f>
        <v>C0096</v>
      </c>
      <c r="S186" s="8" t="str">
        <f>TRIM(LEFT(RawSalesTable[[#This Row],[Customer_Info]],FIND(",",RawSalesTable[[#This Row],[Customer_Info]]) -1))</f>
        <v>Ryan Roy</v>
      </c>
      <c r="T186" s="8" t="str">
        <f>TRIM(MID(RawSalesTable[[#This Row],[Customer_Info]],FIND(",",RawSalesTable[[#This Row],[Customer_Info]])+1,FIND(",",RawSalesTable[[#This Row],[Customer_Info]],FIND(",",RawSalesTable[[#This Row],[Customer_Info]])+1)-FIND(",",RawSalesTable[[#This Row],[Customer_Info]])-1))</f>
        <v>Laval</v>
      </c>
      <c r="U186" s="8" t="str">
        <f>TRIM(RIGHT(RawSalesTable[[#This Row],[Customer_Info]], LEN(RawSalesTable[[#This Row],[Customer_Info]])-FIND(",",RawSalesTable[[#This Row],[Customer_Info]],FIND(",",RawSalesTable[[#This Row],[Customer_Info]])+1)))</f>
        <v>Corporate</v>
      </c>
      <c r="V186" s="8" t="str">
        <f>VLOOKUP(RawSalesTable[[#This Row],[Product_ID]],ProductsTable[],2,FALSE)</f>
        <v>Kettle</v>
      </c>
      <c r="W186" s="8" t="str">
        <f>VLOOKUP(RawSalesTable[[#This Row],[Product_ID]],ProductsTable[],3,FALSE)</f>
        <v>Home</v>
      </c>
      <c r="X186" s="8">
        <f>VLOOKUP(RawSalesTable[[#This Row],[Product_ID]],ProductsTable[],5,FALSE)</f>
        <v>139.86000000000001</v>
      </c>
      <c r="Y186" s="8">
        <f>RawSalesTable[[#This Row],[Quantity]]*RawSalesTable[[#This Row],[Unit_Price]]</f>
        <v>1234.3599999999999</v>
      </c>
      <c r="Z186" s="8">
        <f>RawSalesTable[[#This Row],[Gross_Sales]]*RawSalesTable[[#This Row],[Discount_Pct]]</f>
        <v>0</v>
      </c>
      <c r="AA186" s="8">
        <f>RawSalesTable[[#This Row],[Gross_Sales]]-RawSalesTable[[#This Row],[Discount_Amount]]</f>
        <v>1234.3599999999999</v>
      </c>
      <c r="AB186" s="8">
        <f>RawSalesTable[[#This Row],[Unit_Cost]]*RawSalesTable[[#This Row],[Quantity]]</f>
        <v>559.44000000000005</v>
      </c>
      <c r="AC186" s="8">
        <f>RawSalesTable[[#This Row],[Net_Sales]]-RawSalesTable[[#This Row],[Total_Cost]]</f>
        <v>674.91999999999985</v>
      </c>
      <c r="AD186" s="9">
        <f>RawSalesTable[[#This Row],[Profit]]/RawSalesTable[[#This Row],[Net_Sales]]</f>
        <v>0.54677727729349612</v>
      </c>
      <c r="AE186" s="8">
        <f>IF(RawSalesTable[[#This Row],[Return_Status]]="Yes",1,0)</f>
        <v>0</v>
      </c>
      <c r="AF186" s="8">
        <f>YEAR(RawSalesTable[[#This Row],[Order_Date]])</f>
        <v>2025</v>
      </c>
      <c r="AG186" s="8">
        <f>MONTH(RawSalesTable[[#This Row],[Order_Date]])</f>
        <v>4</v>
      </c>
      <c r="AH186" s="8" t="str">
        <f>TEXT(RawSalesTable[[#This Row],[Order_Date]],"mmmm")</f>
        <v>avril</v>
      </c>
      <c r="AI186" s="8" t="str">
        <f>IF(RawSalesTable[[#This Row],[Month_Number]]&lt;=3,"Q1",IF(RawSalesTable[[#This Row],[Month_Number]]&lt;=6,"Q2",IF(RawSalesTable[[#This Row],[Month_Number]]&lt;=9,"Q3","Q4")))</f>
        <v>Q2</v>
      </c>
      <c r="AJ186" s="13">
        <f>DATE(YEAR(RawSalesTable[[#This Row],[Order_Date]]),MONTH(RawSalesTable[[#This Row],[Order_Date]]),1)</f>
        <v>45748</v>
      </c>
      <c r="AK186" s="8" t="str">
        <f>VLOOKUP(RawSalesTable[[#This Row],[Customer_ID_clean]],CustomersTable[],4,FALSE)</f>
        <v>Quebec</v>
      </c>
    </row>
    <row r="187" spans="1:37">
      <c r="A187" t="s">
        <v>529</v>
      </c>
      <c r="B187" s="3">
        <v>45686</v>
      </c>
      <c r="C187" t="s">
        <v>108</v>
      </c>
      <c r="D187" t="s">
        <v>520</v>
      </c>
      <c r="E187" t="s">
        <v>110</v>
      </c>
      <c r="F187" t="s">
        <v>111</v>
      </c>
      <c r="G187" t="s">
        <v>122</v>
      </c>
      <c r="H187" t="s">
        <v>97</v>
      </c>
      <c r="I187">
        <v>1</v>
      </c>
      <c r="J187" s="2">
        <v>372.42</v>
      </c>
      <c r="K187" s="4">
        <v>0</v>
      </c>
      <c r="L187" t="s">
        <v>90</v>
      </c>
      <c r="M187">
        <v>1</v>
      </c>
      <c r="N187" t="s">
        <v>91</v>
      </c>
      <c r="O187" t="str">
        <f>SUBSTITUTE(PROPER(TRIM(RawSalesTable[[#This Row],[Channel_Raw]])), "Market Place", "Marketplace")</f>
        <v>Retail Store</v>
      </c>
      <c r="P187" t="str">
        <f>TRIM(RawSalesTable[[#This Row],[Store_Raw]])</f>
        <v>Montreal Central</v>
      </c>
      <c r="Q187" t="str">
        <f>IF(TRIM(RawSalesTable[[#This Row],[Payment_Method_Raw]])="","Non renseigné",SUBSTITUTE(TRIM(RawSalesTable[[#This Row],[Payment_Method_Raw]]),"CC","Credit Card"))</f>
        <v>PayPal</v>
      </c>
      <c r="R187" s="8" t="str">
        <f>UPPER(PROPER(RawSalesTable[[#This Row],[Customer_ID]]))</f>
        <v>C0071</v>
      </c>
      <c r="S187" s="8" t="str">
        <f>TRIM(LEFT(RawSalesTable[[#This Row],[Customer_Info]],FIND(",",RawSalesTable[[#This Row],[Customer_Info]]) -1))</f>
        <v>Ethan Lee</v>
      </c>
      <c r="T187" s="8" t="str">
        <f>TRIM(MID(RawSalesTable[[#This Row],[Customer_Info]],FIND(",",RawSalesTable[[#This Row],[Customer_Info]])+1,FIND(",",RawSalesTable[[#This Row],[Customer_Info]],FIND(",",RawSalesTable[[#This Row],[Customer_Info]])+1)-FIND(",",RawSalesTable[[#This Row],[Customer_Info]])-1))</f>
        <v>Surrey</v>
      </c>
      <c r="U187" s="8" t="str">
        <f>TRIM(RIGHT(RawSalesTable[[#This Row],[Customer_Info]], LEN(RawSalesTable[[#This Row],[Customer_Info]])-FIND(",",RawSalesTable[[#This Row],[Customer_Info]],FIND(",",RawSalesTable[[#This Row],[Customer_Info]])+1)))</f>
        <v>Consumer</v>
      </c>
      <c r="V187" s="8" t="str">
        <f>VLOOKUP(RawSalesTable[[#This Row],[Product_ID]],ProductsTable[],2,FALSE)</f>
        <v>Coffee Maker</v>
      </c>
      <c r="W187" s="8" t="str">
        <f>VLOOKUP(RawSalesTable[[#This Row],[Product_ID]],ProductsTable[],3,FALSE)</f>
        <v>Home</v>
      </c>
      <c r="X187" s="8">
        <f>VLOOKUP(RawSalesTable[[#This Row],[Product_ID]],ProductsTable[],5,FALSE)</f>
        <v>241.16</v>
      </c>
      <c r="Y187" s="8">
        <f>RawSalesTable[[#This Row],[Quantity]]*RawSalesTable[[#This Row],[Unit_Price]]</f>
        <v>372.42</v>
      </c>
      <c r="Z187" s="8">
        <f>RawSalesTable[[#This Row],[Gross_Sales]]*RawSalesTable[[#This Row],[Discount_Pct]]</f>
        <v>0</v>
      </c>
      <c r="AA187" s="8">
        <f>RawSalesTable[[#This Row],[Gross_Sales]]-RawSalesTable[[#This Row],[Discount_Amount]]</f>
        <v>372.42</v>
      </c>
      <c r="AB187" s="8">
        <f>RawSalesTable[[#This Row],[Unit_Cost]]*RawSalesTable[[#This Row],[Quantity]]</f>
        <v>241.16</v>
      </c>
      <c r="AC187" s="8">
        <f>RawSalesTable[[#This Row],[Net_Sales]]-RawSalesTable[[#This Row],[Total_Cost]]</f>
        <v>131.26000000000002</v>
      </c>
      <c r="AD187" s="9">
        <f>RawSalesTable[[#This Row],[Profit]]/RawSalesTable[[#This Row],[Net_Sales]]</f>
        <v>0.35245153321518718</v>
      </c>
      <c r="AE187" s="8">
        <f>IF(RawSalesTable[[#This Row],[Return_Status]]="Yes",1,0)</f>
        <v>0</v>
      </c>
      <c r="AF187" s="8">
        <f>YEAR(RawSalesTable[[#This Row],[Order_Date]])</f>
        <v>2025</v>
      </c>
      <c r="AG187" s="8">
        <f>MONTH(RawSalesTable[[#This Row],[Order_Date]])</f>
        <v>1</v>
      </c>
      <c r="AH187" s="8" t="str">
        <f>TEXT(RawSalesTable[[#This Row],[Order_Date]],"mmmm")</f>
        <v>janvier</v>
      </c>
      <c r="AI187" s="8" t="str">
        <f>IF(RawSalesTable[[#This Row],[Month_Number]]&lt;=3,"Q1",IF(RawSalesTable[[#This Row],[Month_Number]]&lt;=6,"Q2",IF(RawSalesTable[[#This Row],[Month_Number]]&lt;=9,"Q3","Q4")))</f>
        <v>Q1</v>
      </c>
      <c r="AJ187" s="13">
        <f>DATE(YEAR(RawSalesTable[[#This Row],[Order_Date]]),MONTH(RawSalesTable[[#This Row],[Order_Date]]),1)</f>
        <v>45658</v>
      </c>
      <c r="AK187" s="8" t="str">
        <f>VLOOKUP(RawSalesTable[[#This Row],[Customer_ID_clean]],CustomersTable[],4,FALSE)</f>
        <v>British Columbia</v>
      </c>
    </row>
    <row r="188" spans="1:37">
      <c r="A188" t="s">
        <v>530</v>
      </c>
      <c r="B188" s="3">
        <v>45972</v>
      </c>
      <c r="C188" t="s">
        <v>531</v>
      </c>
      <c r="D188" t="s">
        <v>109</v>
      </c>
      <c r="E188" t="s">
        <v>532</v>
      </c>
      <c r="F188" t="s">
        <v>223</v>
      </c>
      <c r="G188" t="s">
        <v>104</v>
      </c>
      <c r="H188" t="s">
        <v>89</v>
      </c>
      <c r="I188">
        <v>1</v>
      </c>
      <c r="J188" s="2">
        <v>210.97</v>
      </c>
      <c r="K188" s="4">
        <v>0.1</v>
      </c>
      <c r="L188" t="s">
        <v>154</v>
      </c>
      <c r="M188">
        <v>9</v>
      </c>
      <c r="N188" t="s">
        <v>91</v>
      </c>
      <c r="O188" t="str">
        <f>SUBSTITUTE(PROPER(TRIM(RawSalesTable[[#This Row],[Channel_Raw]])), "Market Place", "Marketplace")</f>
        <v>Online</v>
      </c>
      <c r="P188" t="str">
        <f>TRIM(RawSalesTable[[#This Row],[Store_Raw]])</f>
        <v>Montreal Central</v>
      </c>
      <c r="Q188" t="str">
        <f>IF(TRIM(RawSalesTable[[#This Row],[Payment_Method_Raw]])="","Non renseigné",SUBSTITUTE(TRIM(RawSalesTable[[#This Row],[Payment_Method_Raw]]),"CC","Credit Card"))</f>
        <v>Gift Card</v>
      </c>
      <c r="R188" s="8" t="str">
        <f>UPPER(PROPER(RawSalesTable[[#This Row],[Customer_ID]]))</f>
        <v>C0042</v>
      </c>
      <c r="S188" s="8" t="str">
        <f>TRIM(LEFT(RawSalesTable[[#This Row],[Customer_Info]],FIND(",",RawSalesTable[[#This Row],[Customer_Info]]) -1))</f>
        <v>Emma King</v>
      </c>
      <c r="T188" s="8" t="str">
        <f>TRIM(MID(RawSalesTable[[#This Row],[Customer_Info]],FIND(",",RawSalesTable[[#This Row],[Customer_Info]])+1,FIND(",",RawSalesTable[[#This Row],[Customer_Info]],FIND(",",RawSalesTable[[#This Row],[Customer_Info]])+1)-FIND(",",RawSalesTable[[#This Row],[Customer_Info]])-1))</f>
        <v>Quebec City</v>
      </c>
      <c r="U188" s="8" t="str">
        <f>TRIM(RIGHT(RawSalesTable[[#This Row],[Customer_Info]], LEN(RawSalesTable[[#This Row],[Customer_Info]])-FIND(",",RawSalesTable[[#This Row],[Customer_Info]],FIND(",",RawSalesTable[[#This Row],[Customer_Info]])+1)))</f>
        <v>Consumer</v>
      </c>
      <c r="V188" s="8" t="str">
        <f>VLOOKUP(RawSalesTable[[#This Row],[Product_ID]],ProductsTable[],2,FALSE)</f>
        <v>Gym Bag</v>
      </c>
      <c r="W188" s="8" t="str">
        <f>VLOOKUP(RawSalesTable[[#This Row],[Product_ID]],ProductsTable[],3,FALSE)</f>
        <v>Fitness</v>
      </c>
      <c r="X188" s="8">
        <f>VLOOKUP(RawSalesTable[[#This Row],[Product_ID]],ProductsTable[],5,FALSE)</f>
        <v>132.72</v>
      </c>
      <c r="Y188" s="8">
        <f>RawSalesTable[[#This Row],[Quantity]]*RawSalesTable[[#This Row],[Unit_Price]]</f>
        <v>210.97</v>
      </c>
      <c r="Z188" s="8">
        <f>RawSalesTable[[#This Row],[Gross_Sales]]*RawSalesTable[[#This Row],[Discount_Pct]]</f>
        <v>21.097000000000001</v>
      </c>
      <c r="AA188" s="8">
        <f>RawSalesTable[[#This Row],[Gross_Sales]]-RawSalesTable[[#This Row],[Discount_Amount]]</f>
        <v>189.87299999999999</v>
      </c>
      <c r="AB188" s="8">
        <f>RawSalesTable[[#This Row],[Unit_Cost]]*RawSalesTable[[#This Row],[Quantity]]</f>
        <v>132.72</v>
      </c>
      <c r="AC188" s="8">
        <f>RawSalesTable[[#This Row],[Net_Sales]]-RawSalesTable[[#This Row],[Total_Cost]]</f>
        <v>57.152999999999992</v>
      </c>
      <c r="AD188" s="9">
        <f>RawSalesTable[[#This Row],[Profit]]/RawSalesTable[[#This Row],[Net_Sales]]</f>
        <v>0.30100646221421684</v>
      </c>
      <c r="AE188" s="8">
        <f>IF(RawSalesTable[[#This Row],[Return_Status]]="Yes",1,0)</f>
        <v>0</v>
      </c>
      <c r="AF188" s="8">
        <f>YEAR(RawSalesTable[[#This Row],[Order_Date]])</f>
        <v>2025</v>
      </c>
      <c r="AG188" s="8">
        <f>MONTH(RawSalesTable[[#This Row],[Order_Date]])</f>
        <v>11</v>
      </c>
      <c r="AH188" s="8" t="str">
        <f>TEXT(RawSalesTable[[#This Row],[Order_Date]],"mmmm")</f>
        <v>novembre</v>
      </c>
      <c r="AI188" s="8" t="str">
        <f>IF(RawSalesTable[[#This Row],[Month_Number]]&lt;=3,"Q1",IF(RawSalesTable[[#This Row],[Month_Number]]&lt;=6,"Q2",IF(RawSalesTable[[#This Row],[Month_Number]]&lt;=9,"Q3","Q4")))</f>
        <v>Q4</v>
      </c>
      <c r="AJ188" s="13">
        <f>DATE(YEAR(RawSalesTable[[#This Row],[Order_Date]]),MONTH(RawSalesTable[[#This Row],[Order_Date]]),1)</f>
        <v>45962</v>
      </c>
      <c r="AK188" s="8" t="str">
        <f>VLOOKUP(RawSalesTable[[#This Row],[Customer_ID_clean]],CustomersTable[],4,FALSE)</f>
        <v>Quebec</v>
      </c>
    </row>
    <row r="189" spans="1:37">
      <c r="A189" t="s">
        <v>533</v>
      </c>
      <c r="B189" s="3">
        <v>45676</v>
      </c>
      <c r="C189" t="s">
        <v>265</v>
      </c>
      <c r="D189" t="s">
        <v>133</v>
      </c>
      <c r="E189" t="s">
        <v>266</v>
      </c>
      <c r="F189" t="s">
        <v>116</v>
      </c>
      <c r="G189" t="s">
        <v>117</v>
      </c>
      <c r="H189" t="s">
        <v>89</v>
      </c>
      <c r="I189">
        <v>3</v>
      </c>
      <c r="J189" s="2">
        <v>341.63</v>
      </c>
      <c r="K189" s="4">
        <v>0</v>
      </c>
      <c r="L189" t="s">
        <v>106</v>
      </c>
      <c r="M189">
        <v>3</v>
      </c>
      <c r="N189" t="s">
        <v>91</v>
      </c>
      <c r="O189" t="str">
        <f>SUBSTITUTE(PROPER(TRIM(RawSalesTable[[#This Row],[Channel_Raw]])), "Market Place", "Marketplace")</f>
        <v>Online</v>
      </c>
      <c r="P189" t="str">
        <f>TRIM(RawSalesTable[[#This Row],[Store_Raw]])</f>
        <v>Toronto Downtown</v>
      </c>
      <c r="Q189" t="str">
        <f>IF(TRIM(RawSalesTable[[#This Row],[Payment_Method_Raw]])="","Non renseigné",SUBSTITUTE(TRIM(RawSalesTable[[#This Row],[Payment_Method_Raw]]),"CC","Credit Card"))</f>
        <v>Credit Card</v>
      </c>
      <c r="R189" s="8" t="str">
        <f>UPPER(PROPER(RawSalesTable[[#This Row],[Customer_ID]]))</f>
        <v>C0020</v>
      </c>
      <c r="S189" s="8" t="str">
        <f>TRIM(LEFT(RawSalesTable[[#This Row],[Customer_Info]],FIND(",",RawSalesTable[[#This Row],[Customer_Info]]) -1))</f>
        <v>Nora Khan</v>
      </c>
      <c r="T189" s="8" t="str">
        <f>TRIM(MID(RawSalesTable[[#This Row],[Customer_Info]],FIND(",",RawSalesTable[[#This Row],[Customer_Info]])+1,FIND(",",RawSalesTable[[#This Row],[Customer_Info]],FIND(",",RawSalesTable[[#This Row],[Customer_Info]])+1)-FIND(",",RawSalesTable[[#This Row],[Customer_Info]])-1))</f>
        <v>Mississauga</v>
      </c>
      <c r="U189" s="8" t="str">
        <f>TRIM(RIGHT(RawSalesTable[[#This Row],[Customer_Info]], LEN(RawSalesTable[[#This Row],[Customer_Info]])-FIND(",",RawSalesTable[[#This Row],[Customer_Info]],FIND(",",RawSalesTable[[#This Row],[Customer_Info]])+1)))</f>
        <v>Consumer</v>
      </c>
      <c r="V189" s="8" t="str">
        <f>VLOOKUP(RawSalesTable[[#This Row],[Product_ID]],ProductsTable[],2,FALSE)</f>
        <v>Travel Adapter</v>
      </c>
      <c r="W189" s="8" t="str">
        <f>VLOOKUP(RawSalesTable[[#This Row],[Product_ID]],ProductsTable[],3,FALSE)</f>
        <v>Accessories</v>
      </c>
      <c r="X189" s="8">
        <f>VLOOKUP(RawSalesTable[[#This Row],[Product_ID]],ProductsTable[],5,FALSE)</f>
        <v>229.86</v>
      </c>
      <c r="Y189" s="8">
        <f>RawSalesTable[[#This Row],[Quantity]]*RawSalesTable[[#This Row],[Unit_Price]]</f>
        <v>1024.8899999999999</v>
      </c>
      <c r="Z189" s="8">
        <f>RawSalesTable[[#This Row],[Gross_Sales]]*RawSalesTable[[#This Row],[Discount_Pct]]</f>
        <v>0</v>
      </c>
      <c r="AA189" s="8">
        <f>RawSalesTable[[#This Row],[Gross_Sales]]-RawSalesTable[[#This Row],[Discount_Amount]]</f>
        <v>1024.8899999999999</v>
      </c>
      <c r="AB189" s="8">
        <f>RawSalesTable[[#This Row],[Unit_Cost]]*RawSalesTable[[#This Row],[Quantity]]</f>
        <v>689.58</v>
      </c>
      <c r="AC189" s="8">
        <f>RawSalesTable[[#This Row],[Net_Sales]]-RawSalesTable[[#This Row],[Total_Cost]]</f>
        <v>335.30999999999983</v>
      </c>
      <c r="AD189" s="9">
        <f>RawSalesTable[[#This Row],[Profit]]/RawSalesTable[[#This Row],[Net_Sales]]</f>
        <v>0.32716681790240892</v>
      </c>
      <c r="AE189" s="8">
        <f>IF(RawSalesTable[[#This Row],[Return_Status]]="Yes",1,0)</f>
        <v>0</v>
      </c>
      <c r="AF189" s="8">
        <f>YEAR(RawSalesTable[[#This Row],[Order_Date]])</f>
        <v>2025</v>
      </c>
      <c r="AG189" s="8">
        <f>MONTH(RawSalesTable[[#This Row],[Order_Date]])</f>
        <v>1</v>
      </c>
      <c r="AH189" s="8" t="str">
        <f>TEXT(RawSalesTable[[#This Row],[Order_Date]],"mmmm")</f>
        <v>janvier</v>
      </c>
      <c r="AI189" s="8" t="str">
        <f>IF(RawSalesTable[[#This Row],[Month_Number]]&lt;=3,"Q1",IF(RawSalesTable[[#This Row],[Month_Number]]&lt;=6,"Q2",IF(RawSalesTable[[#This Row],[Month_Number]]&lt;=9,"Q3","Q4")))</f>
        <v>Q1</v>
      </c>
      <c r="AJ189" s="13">
        <f>DATE(YEAR(RawSalesTable[[#This Row],[Order_Date]]),MONTH(RawSalesTable[[#This Row],[Order_Date]]),1)</f>
        <v>45658</v>
      </c>
      <c r="AK189" s="8" t="str">
        <f>VLOOKUP(RawSalesTable[[#This Row],[Customer_ID_clean]],CustomersTable[],4,FALSE)</f>
        <v>Ontario</v>
      </c>
    </row>
    <row r="190" spans="1:37">
      <c r="A190" t="s">
        <v>534</v>
      </c>
      <c r="B190" s="3">
        <v>45910</v>
      </c>
      <c r="C190" t="s">
        <v>286</v>
      </c>
      <c r="D190" t="s">
        <v>114</v>
      </c>
      <c r="E190" t="s">
        <v>287</v>
      </c>
      <c r="F190" t="s">
        <v>103</v>
      </c>
      <c r="G190" t="s">
        <v>104</v>
      </c>
      <c r="H190" t="s">
        <v>89</v>
      </c>
      <c r="I190">
        <v>3</v>
      </c>
      <c r="J190" s="2">
        <v>142.11000000000001</v>
      </c>
      <c r="K190" s="4">
        <v>0.05</v>
      </c>
      <c r="L190" t="s">
        <v>106</v>
      </c>
      <c r="M190">
        <v>1</v>
      </c>
      <c r="N190" t="s">
        <v>91</v>
      </c>
      <c r="O190" t="str">
        <f>SUBSTITUTE(PROPER(TRIM(RawSalesTable[[#This Row],[Channel_Raw]])), "Market Place", "Marketplace")</f>
        <v>Online</v>
      </c>
      <c r="P190" t="str">
        <f>TRIM(RawSalesTable[[#This Row],[Store_Raw]])</f>
        <v>Vancouver West</v>
      </c>
      <c r="Q190" t="str">
        <f>IF(TRIM(RawSalesTable[[#This Row],[Payment_Method_Raw]])="","Non renseigné",SUBSTITUTE(TRIM(RawSalesTable[[#This Row],[Payment_Method_Raw]]),"CC","Credit Card"))</f>
        <v>Credit Card</v>
      </c>
      <c r="R190" s="8" t="str">
        <f>UPPER(PROPER(RawSalesTable[[#This Row],[Customer_ID]]))</f>
        <v>C0098</v>
      </c>
      <c r="S190" s="8" t="str">
        <f>TRIM(LEFT(RawSalesTable[[#This Row],[Customer_Info]],FIND(",",RawSalesTable[[#This Row],[Customer_Info]]) -1))</f>
        <v>Nora Young</v>
      </c>
      <c r="T190" s="8" t="str">
        <f>TRIM(MID(RawSalesTable[[#This Row],[Customer_Info]],FIND(",",RawSalesTable[[#This Row],[Customer_Info]])+1,FIND(",",RawSalesTable[[#This Row],[Customer_Info]],FIND(",",RawSalesTable[[#This Row],[Customer_Info]])+1)-FIND(",",RawSalesTable[[#This Row],[Customer_Info]])-1))</f>
        <v>Winnipeg</v>
      </c>
      <c r="U190" s="8" t="str">
        <f>TRIM(RIGHT(RawSalesTable[[#This Row],[Customer_Info]], LEN(RawSalesTable[[#This Row],[Customer_Info]])-FIND(",",RawSalesTable[[#This Row],[Customer_Info]],FIND(",",RawSalesTable[[#This Row],[Customer_Info]])+1)))</f>
        <v>Consumer</v>
      </c>
      <c r="V190" s="8" t="str">
        <f>VLOOKUP(RawSalesTable[[#This Row],[Product_ID]],ProductsTable[],2,FALSE)</f>
        <v>Laptop Sleeve</v>
      </c>
      <c r="W190" s="8" t="str">
        <f>VLOOKUP(RawSalesTable[[#This Row],[Product_ID]],ProductsTable[],3,FALSE)</f>
        <v>Accessories</v>
      </c>
      <c r="X190" s="8">
        <f>VLOOKUP(RawSalesTable[[#This Row],[Product_ID]],ProductsTable[],5,FALSE)</f>
        <v>78.95</v>
      </c>
      <c r="Y190" s="8">
        <f>RawSalesTable[[#This Row],[Quantity]]*RawSalesTable[[#This Row],[Unit_Price]]</f>
        <v>426.33000000000004</v>
      </c>
      <c r="Z190" s="8">
        <f>RawSalesTable[[#This Row],[Gross_Sales]]*RawSalesTable[[#This Row],[Discount_Pct]]</f>
        <v>21.316500000000005</v>
      </c>
      <c r="AA190" s="8">
        <f>RawSalesTable[[#This Row],[Gross_Sales]]-RawSalesTable[[#This Row],[Discount_Amount]]</f>
        <v>405.01350000000002</v>
      </c>
      <c r="AB190" s="8">
        <f>RawSalesTable[[#This Row],[Unit_Cost]]*RawSalesTable[[#This Row],[Quantity]]</f>
        <v>236.85000000000002</v>
      </c>
      <c r="AC190" s="8">
        <f>RawSalesTable[[#This Row],[Net_Sales]]-RawSalesTable[[#This Row],[Total_Cost]]</f>
        <v>168.1635</v>
      </c>
      <c r="AD190" s="9">
        <f>RawSalesTable[[#This Row],[Profit]]/RawSalesTable[[#This Row],[Net_Sales]]</f>
        <v>0.41520467836257308</v>
      </c>
      <c r="AE190" s="8">
        <f>IF(RawSalesTable[[#This Row],[Return_Status]]="Yes",1,0)</f>
        <v>0</v>
      </c>
      <c r="AF190" s="8">
        <f>YEAR(RawSalesTable[[#This Row],[Order_Date]])</f>
        <v>2025</v>
      </c>
      <c r="AG190" s="8">
        <f>MONTH(RawSalesTable[[#This Row],[Order_Date]])</f>
        <v>9</v>
      </c>
      <c r="AH190" s="8" t="str">
        <f>TEXT(RawSalesTable[[#This Row],[Order_Date]],"mmmm")</f>
        <v>septembre</v>
      </c>
      <c r="AI190" s="8" t="str">
        <f>IF(RawSalesTable[[#This Row],[Month_Number]]&lt;=3,"Q1",IF(RawSalesTable[[#This Row],[Month_Number]]&lt;=6,"Q2",IF(RawSalesTable[[#This Row],[Month_Number]]&lt;=9,"Q3","Q4")))</f>
        <v>Q3</v>
      </c>
      <c r="AJ190" s="13">
        <f>DATE(YEAR(RawSalesTable[[#This Row],[Order_Date]]),MONTH(RawSalesTable[[#This Row],[Order_Date]]),1)</f>
        <v>45901</v>
      </c>
      <c r="AK190" s="8" t="str">
        <f>VLOOKUP(RawSalesTable[[#This Row],[Customer_ID_clean]],CustomersTable[],4,FALSE)</f>
        <v>Manitoba</v>
      </c>
    </row>
    <row r="191" spans="1:37">
      <c r="A191" t="s">
        <v>535</v>
      </c>
      <c r="B191" s="3">
        <v>45799</v>
      </c>
      <c r="C191" t="s">
        <v>536</v>
      </c>
      <c r="D191" t="s">
        <v>210</v>
      </c>
      <c r="E191" t="s">
        <v>431</v>
      </c>
      <c r="F191" t="s">
        <v>103</v>
      </c>
      <c r="G191" t="s">
        <v>130</v>
      </c>
      <c r="H191" t="s">
        <v>97</v>
      </c>
      <c r="I191">
        <v>2</v>
      </c>
      <c r="J191" s="2">
        <v>309.12</v>
      </c>
      <c r="K191" s="4">
        <v>0.05</v>
      </c>
      <c r="L191" t="s">
        <v>98</v>
      </c>
      <c r="M191">
        <v>3</v>
      </c>
      <c r="N191" t="s">
        <v>147</v>
      </c>
      <c r="O191" t="str">
        <f>SUBSTITUTE(PROPER(TRIM(RawSalesTable[[#This Row],[Channel_Raw]])), "Market Place", "Marketplace")</f>
        <v>Retail Store</v>
      </c>
      <c r="P191" t="str">
        <f>TRIM(RawSalesTable[[#This Row],[Store_Raw]])</f>
        <v>Vancouver West</v>
      </c>
      <c r="Q191" t="str">
        <f>IF(TRIM(RawSalesTable[[#This Row],[Payment_Method_Raw]])="","Non renseigné",SUBSTITUTE(TRIM(RawSalesTable[[#This Row],[Payment_Method_Raw]]),"CC","Credit Card"))</f>
        <v>Debit Card</v>
      </c>
      <c r="R191" s="8" t="str">
        <f>UPPER(PROPER(RawSalesTable[[#This Row],[Customer_ID]]))</f>
        <v>C0039</v>
      </c>
      <c r="S191" s="8" t="str">
        <f>TRIM(LEFT(RawSalesTable[[#This Row],[Customer_Info]],FIND(",",RawSalesTable[[#This Row],[Customer_Info]]) -1))</f>
        <v>Sarah Wilson</v>
      </c>
      <c r="T191" s="8" t="str">
        <f>TRIM(MID(RawSalesTable[[#This Row],[Customer_Info]],FIND(",",RawSalesTable[[#This Row],[Customer_Info]])+1,FIND(",",RawSalesTable[[#This Row],[Customer_Info]],FIND(",",RawSalesTable[[#This Row],[Customer_Info]])+1)-FIND(",",RawSalesTable[[#This Row],[Customer_Info]])-1))</f>
        <v>Halifax</v>
      </c>
      <c r="U191" s="8" t="str">
        <f>TRIM(RIGHT(RawSalesTable[[#This Row],[Customer_Info]], LEN(RawSalesTable[[#This Row],[Customer_Info]])-FIND(",",RawSalesTable[[#This Row],[Customer_Info]],FIND(",",RawSalesTable[[#This Row],[Customer_Info]])+1)))</f>
        <v>Consumer</v>
      </c>
      <c r="V191" s="8" t="str">
        <f>VLOOKUP(RawSalesTable[[#This Row],[Product_ID]],ProductsTable[],2,FALSE)</f>
        <v>Desk Pad</v>
      </c>
      <c r="W191" s="8" t="str">
        <f>VLOOKUP(RawSalesTable[[#This Row],[Product_ID]],ProductsTable[],3,FALSE)</f>
        <v>Accessories</v>
      </c>
      <c r="X191" s="8">
        <f>VLOOKUP(RawSalesTable[[#This Row],[Product_ID]],ProductsTable[],5,FALSE)</f>
        <v>177.57</v>
      </c>
      <c r="Y191" s="8">
        <f>RawSalesTable[[#This Row],[Quantity]]*RawSalesTable[[#This Row],[Unit_Price]]</f>
        <v>618.24</v>
      </c>
      <c r="Z191" s="8">
        <f>RawSalesTable[[#This Row],[Gross_Sales]]*RawSalesTable[[#This Row],[Discount_Pct]]</f>
        <v>30.912000000000003</v>
      </c>
      <c r="AA191" s="8">
        <f>RawSalesTable[[#This Row],[Gross_Sales]]-RawSalesTable[[#This Row],[Discount_Amount]]</f>
        <v>587.32799999999997</v>
      </c>
      <c r="AB191" s="8">
        <f>RawSalesTable[[#This Row],[Unit_Cost]]*RawSalesTable[[#This Row],[Quantity]]</f>
        <v>355.14</v>
      </c>
      <c r="AC191" s="8">
        <f>RawSalesTable[[#This Row],[Net_Sales]]-RawSalesTable[[#This Row],[Total_Cost]]</f>
        <v>232.18799999999999</v>
      </c>
      <c r="AD191" s="9">
        <f>RawSalesTable[[#This Row],[Profit]]/RawSalesTable[[#This Row],[Net_Sales]]</f>
        <v>0.3953293559986924</v>
      </c>
      <c r="AE191" s="8">
        <f>IF(RawSalesTable[[#This Row],[Return_Status]]="Yes",1,0)</f>
        <v>1</v>
      </c>
      <c r="AF191" s="8">
        <f>YEAR(RawSalesTable[[#This Row],[Order_Date]])</f>
        <v>2025</v>
      </c>
      <c r="AG191" s="8">
        <f>MONTH(RawSalesTable[[#This Row],[Order_Date]])</f>
        <v>5</v>
      </c>
      <c r="AH191" s="8" t="str">
        <f>TEXT(RawSalesTable[[#This Row],[Order_Date]],"mmmm")</f>
        <v>mai</v>
      </c>
      <c r="AI191" s="8" t="str">
        <f>IF(RawSalesTable[[#This Row],[Month_Number]]&lt;=3,"Q1",IF(RawSalesTable[[#This Row],[Month_Number]]&lt;=6,"Q2",IF(RawSalesTable[[#This Row],[Month_Number]]&lt;=9,"Q3","Q4")))</f>
        <v>Q2</v>
      </c>
      <c r="AJ191" s="13">
        <f>DATE(YEAR(RawSalesTable[[#This Row],[Order_Date]]),MONTH(RawSalesTable[[#This Row],[Order_Date]]),1)</f>
        <v>45778</v>
      </c>
      <c r="AK191" s="8" t="str">
        <f>VLOOKUP(RawSalesTable[[#This Row],[Customer_ID_clean]],CustomersTable[],4,FALSE)</f>
        <v>Nova Scotia</v>
      </c>
    </row>
    <row r="192" spans="1:37">
      <c r="A192" t="s">
        <v>537</v>
      </c>
      <c r="B192" s="3">
        <v>45933</v>
      </c>
      <c r="C192" t="s">
        <v>538</v>
      </c>
      <c r="D192" t="s">
        <v>165</v>
      </c>
      <c r="E192" t="s">
        <v>539</v>
      </c>
      <c r="F192" t="s">
        <v>111</v>
      </c>
      <c r="G192" t="s">
        <v>171</v>
      </c>
      <c r="H192" t="s">
        <v>89</v>
      </c>
      <c r="I192">
        <v>1</v>
      </c>
      <c r="J192" s="2">
        <v>104.87</v>
      </c>
      <c r="K192" s="4">
        <v>0.1</v>
      </c>
      <c r="L192" t="s">
        <v>106</v>
      </c>
      <c r="M192">
        <v>5</v>
      </c>
      <c r="N192" t="s">
        <v>91</v>
      </c>
      <c r="O192" t="str">
        <f>SUBSTITUTE(PROPER(TRIM(RawSalesTable[[#This Row],[Channel_Raw]])), "Market Place", "Marketplace")</f>
        <v>Online</v>
      </c>
      <c r="P192" t="str">
        <f>TRIM(RawSalesTable[[#This Row],[Store_Raw]])</f>
        <v>Montreal Central</v>
      </c>
      <c r="Q192" t="str">
        <f>IF(TRIM(RawSalesTable[[#This Row],[Payment_Method_Raw]])="","Non renseigné",SUBSTITUTE(TRIM(RawSalesTable[[#This Row],[Payment_Method_Raw]]),"CC","Credit Card"))</f>
        <v>Credit Card</v>
      </c>
      <c r="R192" s="8" t="str">
        <f>UPPER(PROPER(RawSalesTable[[#This Row],[Customer_ID]]))</f>
        <v>C0086</v>
      </c>
      <c r="S192" s="8" t="str">
        <f>TRIM(LEFT(RawSalesTable[[#This Row],[Customer_Info]],FIND(",",RawSalesTable[[#This Row],[Customer_Info]]) -1))</f>
        <v>Adam Gagnon</v>
      </c>
      <c r="T192" s="8" t="str">
        <f>TRIM(MID(RawSalesTable[[#This Row],[Customer_Info]],FIND(",",RawSalesTable[[#This Row],[Customer_Info]])+1,FIND(",",RawSalesTable[[#This Row],[Customer_Info]],FIND(",",RawSalesTable[[#This Row],[Customer_Info]])+1)-FIND(",",RawSalesTable[[#This Row],[Customer_Info]])-1))</f>
        <v>Winnipeg</v>
      </c>
      <c r="U192" s="8" t="str">
        <f>TRIM(RIGHT(RawSalesTable[[#This Row],[Customer_Info]], LEN(RawSalesTable[[#This Row],[Customer_Info]])-FIND(",",RawSalesTable[[#This Row],[Customer_Info]],FIND(",",RawSalesTable[[#This Row],[Customer_Info]])+1)))</f>
        <v>Consumer</v>
      </c>
      <c r="V192" s="8" t="str">
        <f>VLOOKUP(RawSalesTable[[#This Row],[Product_ID]],ProductsTable[],2,FALSE)</f>
        <v>Food Scale</v>
      </c>
      <c r="W192" s="8" t="str">
        <f>VLOOKUP(RawSalesTable[[#This Row],[Product_ID]],ProductsTable[],3,FALSE)</f>
        <v>Home</v>
      </c>
      <c r="X192" s="8">
        <f>VLOOKUP(RawSalesTable[[#This Row],[Product_ID]],ProductsTable[],5,FALSE)</f>
        <v>46.07</v>
      </c>
      <c r="Y192" s="8">
        <f>RawSalesTable[[#This Row],[Quantity]]*RawSalesTable[[#This Row],[Unit_Price]]</f>
        <v>104.87</v>
      </c>
      <c r="Z192" s="8">
        <f>RawSalesTable[[#This Row],[Gross_Sales]]*RawSalesTable[[#This Row],[Discount_Pct]]</f>
        <v>10.487000000000002</v>
      </c>
      <c r="AA192" s="8">
        <f>RawSalesTable[[#This Row],[Gross_Sales]]-RawSalesTable[[#This Row],[Discount_Amount]]</f>
        <v>94.38300000000001</v>
      </c>
      <c r="AB192" s="8">
        <f>RawSalesTable[[#This Row],[Unit_Cost]]*RawSalesTable[[#This Row],[Quantity]]</f>
        <v>46.07</v>
      </c>
      <c r="AC192" s="8">
        <f>RawSalesTable[[#This Row],[Net_Sales]]-RawSalesTable[[#This Row],[Total_Cost]]</f>
        <v>48.313000000000009</v>
      </c>
      <c r="AD192" s="9">
        <f>RawSalesTable[[#This Row],[Profit]]/RawSalesTable[[#This Row],[Net_Sales]]</f>
        <v>0.51188243645571774</v>
      </c>
      <c r="AE192" s="8">
        <f>IF(RawSalesTable[[#This Row],[Return_Status]]="Yes",1,0)</f>
        <v>0</v>
      </c>
      <c r="AF192" s="8">
        <f>YEAR(RawSalesTable[[#This Row],[Order_Date]])</f>
        <v>2025</v>
      </c>
      <c r="AG192" s="8">
        <f>MONTH(RawSalesTable[[#This Row],[Order_Date]])</f>
        <v>10</v>
      </c>
      <c r="AH192" s="8" t="str">
        <f>TEXT(RawSalesTable[[#This Row],[Order_Date]],"mmmm")</f>
        <v>octobre</v>
      </c>
      <c r="AI192" s="8" t="str">
        <f>IF(RawSalesTable[[#This Row],[Month_Number]]&lt;=3,"Q1",IF(RawSalesTable[[#This Row],[Month_Number]]&lt;=6,"Q2",IF(RawSalesTable[[#This Row],[Month_Number]]&lt;=9,"Q3","Q4")))</f>
        <v>Q4</v>
      </c>
      <c r="AJ192" s="13">
        <f>DATE(YEAR(RawSalesTable[[#This Row],[Order_Date]]),MONTH(RawSalesTable[[#This Row],[Order_Date]]),1)</f>
        <v>45931</v>
      </c>
      <c r="AK192" s="8" t="str">
        <f>VLOOKUP(RawSalesTable[[#This Row],[Customer_ID_clean]],CustomersTable[],4,FALSE)</f>
        <v>Manitoba</v>
      </c>
    </row>
    <row r="193" spans="1:37">
      <c r="A193" t="s">
        <v>540</v>
      </c>
      <c r="B193" s="3">
        <v>45875</v>
      </c>
      <c r="C193" t="s">
        <v>410</v>
      </c>
      <c r="D193" t="s">
        <v>503</v>
      </c>
      <c r="E193" t="s">
        <v>411</v>
      </c>
      <c r="F193" t="s">
        <v>87</v>
      </c>
      <c r="G193" t="s">
        <v>130</v>
      </c>
      <c r="H193" t="s">
        <v>89</v>
      </c>
      <c r="I193">
        <v>1</v>
      </c>
      <c r="J193" s="2">
        <v>128.6</v>
      </c>
      <c r="K193" s="4">
        <v>0.05</v>
      </c>
      <c r="L193" t="s">
        <v>90</v>
      </c>
      <c r="M193">
        <v>3</v>
      </c>
      <c r="N193" t="s">
        <v>91</v>
      </c>
      <c r="O193" t="str">
        <f>SUBSTITUTE(PROPER(TRIM(RawSalesTable[[#This Row],[Channel_Raw]])), "Market Place", "Marketplace")</f>
        <v>Online</v>
      </c>
      <c r="P193" t="str">
        <f>TRIM(RawSalesTable[[#This Row],[Store_Raw]])</f>
        <v>Online Fulfillment</v>
      </c>
      <c r="Q193" t="str">
        <f>IF(TRIM(RawSalesTable[[#This Row],[Payment_Method_Raw]])="","Non renseigné",SUBSTITUTE(TRIM(RawSalesTable[[#This Row],[Payment_Method_Raw]]),"CC","Credit Card"))</f>
        <v>PayPal</v>
      </c>
      <c r="R193" s="8" t="str">
        <f>UPPER(PROPER(RawSalesTable[[#This Row],[Customer_ID]]))</f>
        <v>C0093</v>
      </c>
      <c r="S193" s="8" t="str">
        <f>TRIM(LEFT(RawSalesTable[[#This Row],[Customer_Info]],FIND(",",RawSalesTable[[#This Row],[Customer_Info]]) -1))</f>
        <v>Ethan Roy</v>
      </c>
      <c r="T193" s="8" t="str">
        <f>TRIM(MID(RawSalesTable[[#This Row],[Customer_Info]],FIND(",",RawSalesTable[[#This Row],[Customer_Info]])+1,FIND(",",RawSalesTable[[#This Row],[Customer_Info]],FIND(",",RawSalesTable[[#This Row],[Customer_Info]])+1)-FIND(",",RawSalesTable[[#This Row],[Customer_Info]])-1))</f>
        <v>Winnipeg</v>
      </c>
      <c r="U193" s="8" t="str">
        <f>TRIM(RIGHT(RawSalesTable[[#This Row],[Customer_Info]], LEN(RawSalesTable[[#This Row],[Customer_Info]])-FIND(",",RawSalesTable[[#This Row],[Customer_Info]],FIND(",",RawSalesTable[[#This Row],[Customer_Info]])+1)))</f>
        <v>Consumer</v>
      </c>
      <c r="V193" s="8" t="str">
        <f>VLOOKUP(RawSalesTable[[#This Row],[Product_ID]],ProductsTable[],2,FALSE)</f>
        <v>Whiteboard</v>
      </c>
      <c r="W193" s="8" t="str">
        <f>VLOOKUP(RawSalesTable[[#This Row],[Product_ID]],ProductsTable[],3,FALSE)</f>
        <v>Office</v>
      </c>
      <c r="X193" s="8">
        <f>VLOOKUP(RawSalesTable[[#This Row],[Product_ID]],ProductsTable[],5,FALSE)</f>
        <v>85.73</v>
      </c>
      <c r="Y193" s="8">
        <f>RawSalesTable[[#This Row],[Quantity]]*RawSalesTable[[#This Row],[Unit_Price]]</f>
        <v>128.6</v>
      </c>
      <c r="Z193" s="8">
        <f>RawSalesTable[[#This Row],[Gross_Sales]]*RawSalesTable[[#This Row],[Discount_Pct]]</f>
        <v>6.43</v>
      </c>
      <c r="AA193" s="8">
        <f>RawSalesTable[[#This Row],[Gross_Sales]]-RawSalesTable[[#This Row],[Discount_Amount]]</f>
        <v>122.16999999999999</v>
      </c>
      <c r="AB193" s="8">
        <f>RawSalesTable[[#This Row],[Unit_Cost]]*RawSalesTable[[#This Row],[Quantity]]</f>
        <v>85.73</v>
      </c>
      <c r="AC193" s="8">
        <f>RawSalesTable[[#This Row],[Net_Sales]]-RawSalesTable[[#This Row],[Total_Cost]]</f>
        <v>36.439999999999984</v>
      </c>
      <c r="AD193" s="9">
        <f>RawSalesTable[[#This Row],[Profit]]/RawSalesTable[[#This Row],[Net_Sales]]</f>
        <v>0.29827289842023402</v>
      </c>
      <c r="AE193" s="8">
        <f>IF(RawSalesTable[[#This Row],[Return_Status]]="Yes",1,0)</f>
        <v>0</v>
      </c>
      <c r="AF193" s="8">
        <f>YEAR(RawSalesTable[[#This Row],[Order_Date]])</f>
        <v>2025</v>
      </c>
      <c r="AG193" s="8">
        <f>MONTH(RawSalesTable[[#This Row],[Order_Date]])</f>
        <v>8</v>
      </c>
      <c r="AH193" s="8" t="str">
        <f>TEXT(RawSalesTable[[#This Row],[Order_Date]],"mmmm")</f>
        <v>août</v>
      </c>
      <c r="AI193" s="8" t="str">
        <f>IF(RawSalesTable[[#This Row],[Month_Number]]&lt;=3,"Q1",IF(RawSalesTable[[#This Row],[Month_Number]]&lt;=6,"Q2",IF(RawSalesTable[[#This Row],[Month_Number]]&lt;=9,"Q3","Q4")))</f>
        <v>Q3</v>
      </c>
      <c r="AJ193" s="13">
        <f>DATE(YEAR(RawSalesTable[[#This Row],[Order_Date]]),MONTH(RawSalesTable[[#This Row],[Order_Date]]),1)</f>
        <v>45870</v>
      </c>
      <c r="AK193" s="8" t="str">
        <f>VLOOKUP(RawSalesTable[[#This Row],[Customer_ID_clean]],CustomersTable[],4,FALSE)</f>
        <v>Manitoba</v>
      </c>
    </row>
    <row r="194" spans="1:37">
      <c r="A194" t="s">
        <v>541</v>
      </c>
      <c r="B194" s="3">
        <v>45948</v>
      </c>
      <c r="C194" t="s">
        <v>160</v>
      </c>
      <c r="D194" t="s">
        <v>244</v>
      </c>
      <c r="E194" t="s">
        <v>161</v>
      </c>
      <c r="F194" t="s">
        <v>87</v>
      </c>
      <c r="G194" t="s">
        <v>171</v>
      </c>
      <c r="H194" t="s">
        <v>97</v>
      </c>
      <c r="I194">
        <v>1</v>
      </c>
      <c r="J194" s="2">
        <v>252.34</v>
      </c>
      <c r="K194" s="4">
        <v>0.2</v>
      </c>
      <c r="L194" t="s">
        <v>90</v>
      </c>
      <c r="M194">
        <v>4</v>
      </c>
      <c r="N194" t="s">
        <v>147</v>
      </c>
      <c r="O194" t="str">
        <f>SUBSTITUTE(PROPER(TRIM(RawSalesTable[[#This Row],[Channel_Raw]])), "Market Place", "Marketplace")</f>
        <v>Retail Store</v>
      </c>
      <c r="P194" t="str">
        <f>TRIM(RawSalesTable[[#This Row],[Store_Raw]])</f>
        <v>Online Fulfillment</v>
      </c>
      <c r="Q194" t="str">
        <f>IF(TRIM(RawSalesTable[[#This Row],[Payment_Method_Raw]])="","Non renseigné",SUBSTITUTE(TRIM(RawSalesTable[[#This Row],[Payment_Method_Raw]]),"CC","Credit Card"))</f>
        <v>PayPal</v>
      </c>
      <c r="R194" s="8" t="str">
        <f>UPPER(PROPER(RawSalesTable[[#This Row],[Customer_ID]]))</f>
        <v>C0073</v>
      </c>
      <c r="S194" s="8" t="str">
        <f>TRIM(LEFT(RawSalesTable[[#This Row],[Customer_Info]],FIND(",",RawSalesTable[[#This Row],[Customer_Info]]) -1))</f>
        <v>Olivia Singh</v>
      </c>
      <c r="T194" s="8" t="str">
        <f>TRIM(MID(RawSalesTable[[#This Row],[Customer_Info]],FIND(",",RawSalesTable[[#This Row],[Customer_Info]])+1,FIND(",",RawSalesTable[[#This Row],[Customer_Info]],FIND(",",RawSalesTable[[#This Row],[Customer_Info]])+1)-FIND(",",RawSalesTable[[#This Row],[Customer_Info]])-1))</f>
        <v>Mississauga</v>
      </c>
      <c r="U194" s="8" t="str">
        <f>TRIM(RIGHT(RawSalesTable[[#This Row],[Customer_Info]], LEN(RawSalesTable[[#This Row],[Customer_Info]])-FIND(",",RawSalesTable[[#This Row],[Customer_Info]],FIND(",",RawSalesTable[[#This Row],[Customer_Info]])+1)))</f>
        <v>Consumer</v>
      </c>
      <c r="V194" s="8" t="str">
        <f>VLOOKUP(RawSalesTable[[#This Row],[Product_ID]],ProductsTable[],2,FALSE)</f>
        <v>Portable SSD</v>
      </c>
      <c r="W194" s="8" t="str">
        <f>VLOOKUP(RawSalesTable[[#This Row],[Product_ID]],ProductsTable[],3,FALSE)</f>
        <v>Electronics</v>
      </c>
      <c r="X194" s="8">
        <f>VLOOKUP(RawSalesTable[[#This Row],[Product_ID]],ProductsTable[],5,FALSE)</f>
        <v>131.19</v>
      </c>
      <c r="Y194" s="8">
        <f>RawSalesTable[[#This Row],[Quantity]]*RawSalesTable[[#This Row],[Unit_Price]]</f>
        <v>252.34</v>
      </c>
      <c r="Z194" s="8">
        <f>RawSalesTable[[#This Row],[Gross_Sales]]*RawSalesTable[[#This Row],[Discount_Pct]]</f>
        <v>50.468000000000004</v>
      </c>
      <c r="AA194" s="8">
        <f>RawSalesTable[[#This Row],[Gross_Sales]]-RawSalesTable[[#This Row],[Discount_Amount]]</f>
        <v>201.87200000000001</v>
      </c>
      <c r="AB194" s="8">
        <f>RawSalesTable[[#This Row],[Unit_Cost]]*RawSalesTable[[#This Row],[Quantity]]</f>
        <v>131.19</v>
      </c>
      <c r="AC194" s="8">
        <f>RawSalesTable[[#This Row],[Net_Sales]]-RawSalesTable[[#This Row],[Total_Cost]]</f>
        <v>70.682000000000016</v>
      </c>
      <c r="AD194" s="9">
        <f>RawSalesTable[[#This Row],[Profit]]/RawSalesTable[[#This Row],[Net_Sales]]</f>
        <v>0.35013275739082195</v>
      </c>
      <c r="AE194" s="8">
        <f>IF(RawSalesTable[[#This Row],[Return_Status]]="Yes",1,0)</f>
        <v>1</v>
      </c>
      <c r="AF194" s="8">
        <f>YEAR(RawSalesTable[[#This Row],[Order_Date]])</f>
        <v>2025</v>
      </c>
      <c r="AG194" s="8">
        <f>MONTH(RawSalesTable[[#This Row],[Order_Date]])</f>
        <v>10</v>
      </c>
      <c r="AH194" s="8" t="str">
        <f>TEXT(RawSalesTable[[#This Row],[Order_Date]],"mmmm")</f>
        <v>octobre</v>
      </c>
      <c r="AI194" s="8" t="str">
        <f>IF(RawSalesTable[[#This Row],[Month_Number]]&lt;=3,"Q1",IF(RawSalesTable[[#This Row],[Month_Number]]&lt;=6,"Q2",IF(RawSalesTable[[#This Row],[Month_Number]]&lt;=9,"Q3","Q4")))</f>
        <v>Q4</v>
      </c>
      <c r="AJ194" s="13">
        <f>DATE(YEAR(RawSalesTable[[#This Row],[Order_Date]]),MONTH(RawSalesTable[[#This Row],[Order_Date]]),1)</f>
        <v>45931</v>
      </c>
      <c r="AK194" s="8" t="str">
        <f>VLOOKUP(RawSalesTable[[#This Row],[Customer_ID_clean]],CustomersTable[],4,FALSE)</f>
        <v>Ontario</v>
      </c>
    </row>
    <row r="195" spans="1:37">
      <c r="A195" t="s">
        <v>542</v>
      </c>
      <c r="B195" s="3">
        <v>45864</v>
      </c>
      <c r="C195" t="s">
        <v>543</v>
      </c>
      <c r="D195" t="s">
        <v>165</v>
      </c>
      <c r="E195" t="s">
        <v>544</v>
      </c>
      <c r="F195" t="s">
        <v>145</v>
      </c>
      <c r="G195" t="s">
        <v>122</v>
      </c>
      <c r="H195" t="s">
        <v>89</v>
      </c>
      <c r="I195">
        <v>3</v>
      </c>
      <c r="J195" s="2">
        <v>107.18</v>
      </c>
      <c r="K195" s="4">
        <v>0</v>
      </c>
      <c r="L195" t="s">
        <v>98</v>
      </c>
      <c r="M195">
        <v>5</v>
      </c>
      <c r="N195" t="s">
        <v>91</v>
      </c>
      <c r="O195" t="str">
        <f>SUBSTITUTE(PROPER(TRIM(RawSalesTable[[#This Row],[Channel_Raw]])), "Market Place", "Marketplace")</f>
        <v>Online</v>
      </c>
      <c r="P195" t="str">
        <f>TRIM(RawSalesTable[[#This Row],[Store_Raw]])</f>
        <v>Calgary North</v>
      </c>
      <c r="Q195" t="str">
        <f>IF(TRIM(RawSalesTable[[#This Row],[Payment_Method_Raw]])="","Non renseigné",SUBSTITUTE(TRIM(RawSalesTable[[#This Row],[Payment_Method_Raw]]),"CC","Credit Card"))</f>
        <v>Debit Card</v>
      </c>
      <c r="R195" s="8" t="str">
        <f>UPPER(PROPER(RawSalesTable[[#This Row],[Customer_ID]]))</f>
        <v>C0031</v>
      </c>
      <c r="S195" s="8" t="str">
        <f>TRIM(LEFT(RawSalesTable[[#This Row],[Customer_Info]],FIND(",",RawSalesTable[[#This Row],[Customer_Info]]) -1))</f>
        <v>Leo Gagnon</v>
      </c>
      <c r="T195" s="8" t="str">
        <f>TRIM(MID(RawSalesTable[[#This Row],[Customer_Info]],FIND(",",RawSalesTable[[#This Row],[Customer_Info]])+1,FIND(",",RawSalesTable[[#This Row],[Customer_Info]],FIND(",",RawSalesTable[[#This Row],[Customer_Info]])+1)-FIND(",",RawSalesTable[[#This Row],[Customer_Info]])-1))</f>
        <v>Surrey</v>
      </c>
      <c r="U195" s="8" t="str">
        <f>TRIM(RIGHT(RawSalesTable[[#This Row],[Customer_Info]], LEN(RawSalesTable[[#This Row],[Customer_Info]])-FIND(",",RawSalesTable[[#This Row],[Customer_Info]],FIND(",",RawSalesTable[[#This Row],[Customer_Info]])+1)))</f>
        <v>Small Business</v>
      </c>
      <c r="V195" s="8" t="str">
        <f>VLOOKUP(RawSalesTable[[#This Row],[Product_ID]],ProductsTable[],2,FALSE)</f>
        <v>Food Scale</v>
      </c>
      <c r="W195" s="8" t="str">
        <f>VLOOKUP(RawSalesTable[[#This Row],[Product_ID]],ProductsTable[],3,FALSE)</f>
        <v>Home</v>
      </c>
      <c r="X195" s="8">
        <f>VLOOKUP(RawSalesTable[[#This Row],[Product_ID]],ProductsTable[],5,FALSE)</f>
        <v>46.07</v>
      </c>
      <c r="Y195" s="8">
        <f>RawSalesTable[[#This Row],[Quantity]]*RawSalesTable[[#This Row],[Unit_Price]]</f>
        <v>321.54000000000002</v>
      </c>
      <c r="Z195" s="8">
        <f>RawSalesTable[[#This Row],[Gross_Sales]]*RawSalesTable[[#This Row],[Discount_Pct]]</f>
        <v>0</v>
      </c>
      <c r="AA195" s="8">
        <f>RawSalesTable[[#This Row],[Gross_Sales]]-RawSalesTable[[#This Row],[Discount_Amount]]</f>
        <v>321.54000000000002</v>
      </c>
      <c r="AB195" s="8">
        <f>RawSalesTable[[#This Row],[Unit_Cost]]*RawSalesTable[[#This Row],[Quantity]]</f>
        <v>138.21</v>
      </c>
      <c r="AC195" s="8">
        <f>RawSalesTable[[#This Row],[Net_Sales]]-RawSalesTable[[#This Row],[Total_Cost]]</f>
        <v>183.33</v>
      </c>
      <c r="AD195" s="9">
        <f>RawSalesTable[[#This Row],[Profit]]/RawSalesTable[[#This Row],[Net_Sales]]</f>
        <v>0.5701623437208434</v>
      </c>
      <c r="AE195" s="8">
        <f>IF(RawSalesTable[[#This Row],[Return_Status]]="Yes",1,0)</f>
        <v>0</v>
      </c>
      <c r="AF195" s="8">
        <f>YEAR(RawSalesTable[[#This Row],[Order_Date]])</f>
        <v>2025</v>
      </c>
      <c r="AG195" s="8">
        <f>MONTH(RawSalesTable[[#This Row],[Order_Date]])</f>
        <v>7</v>
      </c>
      <c r="AH195" s="8" t="str">
        <f>TEXT(RawSalesTable[[#This Row],[Order_Date]],"mmmm")</f>
        <v>juillet</v>
      </c>
      <c r="AI195" s="8" t="str">
        <f>IF(RawSalesTable[[#This Row],[Month_Number]]&lt;=3,"Q1",IF(RawSalesTable[[#This Row],[Month_Number]]&lt;=6,"Q2",IF(RawSalesTable[[#This Row],[Month_Number]]&lt;=9,"Q3","Q4")))</f>
        <v>Q3</v>
      </c>
      <c r="AJ195" s="13">
        <f>DATE(YEAR(RawSalesTable[[#This Row],[Order_Date]]),MONTH(RawSalesTable[[#This Row],[Order_Date]]),1)</f>
        <v>45839</v>
      </c>
      <c r="AK195" s="8" t="str">
        <f>VLOOKUP(RawSalesTable[[#This Row],[Customer_ID_clean]],CustomersTable[],4,FALSE)</f>
        <v>British Columbia</v>
      </c>
    </row>
    <row r="196" spans="1:37">
      <c r="A196" t="s">
        <v>545</v>
      </c>
      <c r="B196" s="3">
        <v>45981</v>
      </c>
      <c r="C196" t="s">
        <v>430</v>
      </c>
      <c r="D196" t="s">
        <v>85</v>
      </c>
      <c r="E196" t="s">
        <v>431</v>
      </c>
      <c r="F196" t="s">
        <v>103</v>
      </c>
      <c r="G196" t="s">
        <v>171</v>
      </c>
      <c r="H196" t="s">
        <v>105</v>
      </c>
      <c r="I196">
        <v>3</v>
      </c>
      <c r="J196" s="2">
        <v>306.68</v>
      </c>
      <c r="K196" s="4">
        <v>0.1</v>
      </c>
      <c r="L196" t="s">
        <v>90</v>
      </c>
      <c r="M196">
        <v>8</v>
      </c>
      <c r="N196" t="s">
        <v>91</v>
      </c>
      <c r="O196" t="str">
        <f>SUBSTITUTE(PROPER(TRIM(RawSalesTable[[#This Row],[Channel_Raw]])), "Market Place", "Marketplace")</f>
        <v>Marketplace</v>
      </c>
      <c r="P196" t="str">
        <f>TRIM(RawSalesTable[[#This Row],[Store_Raw]])</f>
        <v>Vancouver West</v>
      </c>
      <c r="Q196" t="str">
        <f>IF(TRIM(RawSalesTable[[#This Row],[Payment_Method_Raw]])="","Non renseigné",SUBSTITUTE(TRIM(RawSalesTable[[#This Row],[Payment_Method_Raw]]),"CC","Credit Card"))</f>
        <v>PayPal</v>
      </c>
      <c r="R196" s="8" t="str">
        <f>UPPER(PROPER(RawSalesTable[[#This Row],[Customer_ID]]))</f>
        <v>C0056</v>
      </c>
      <c r="S196" s="8" t="str">
        <f>TRIM(LEFT(RawSalesTable[[#This Row],[Customer_Info]],FIND(",",RawSalesTable[[#This Row],[Customer_Info]]) -1))</f>
        <v>Sarah Wilson</v>
      </c>
      <c r="T196" s="8" t="str">
        <f>TRIM(MID(RawSalesTable[[#This Row],[Customer_Info]],FIND(",",RawSalesTable[[#This Row],[Customer_Info]])+1,FIND(",",RawSalesTable[[#This Row],[Customer_Info]],FIND(",",RawSalesTable[[#This Row],[Customer_Info]])+1)-FIND(",",RawSalesTable[[#This Row],[Customer_Info]])-1))</f>
        <v>Halifax</v>
      </c>
      <c r="U196" s="8" t="str">
        <f>TRIM(RIGHT(RawSalesTable[[#This Row],[Customer_Info]], LEN(RawSalesTable[[#This Row],[Customer_Info]])-FIND(",",RawSalesTable[[#This Row],[Customer_Info]],FIND(",",RawSalesTable[[#This Row],[Customer_Info]])+1)))</f>
        <v>Consumer</v>
      </c>
      <c r="V196" s="8" t="str">
        <f>VLOOKUP(RawSalesTable[[#This Row],[Product_ID]],ProductsTable[],2,FALSE)</f>
        <v>Yoga Mat</v>
      </c>
      <c r="W196" s="8" t="str">
        <f>VLOOKUP(RawSalesTable[[#This Row],[Product_ID]],ProductsTable[],3,FALSE)</f>
        <v>Fitness</v>
      </c>
      <c r="X196" s="8">
        <f>VLOOKUP(RawSalesTable[[#This Row],[Product_ID]],ProductsTable[],5,FALSE)</f>
        <v>197.33</v>
      </c>
      <c r="Y196" s="8">
        <f>RawSalesTable[[#This Row],[Quantity]]*RawSalesTable[[#This Row],[Unit_Price]]</f>
        <v>920.04</v>
      </c>
      <c r="Z196" s="8">
        <f>RawSalesTable[[#This Row],[Gross_Sales]]*RawSalesTable[[#This Row],[Discount_Pct]]</f>
        <v>92.004000000000005</v>
      </c>
      <c r="AA196" s="8">
        <f>RawSalesTable[[#This Row],[Gross_Sales]]-RawSalesTable[[#This Row],[Discount_Amount]]</f>
        <v>828.03599999999994</v>
      </c>
      <c r="AB196" s="8">
        <f>RawSalesTable[[#This Row],[Unit_Cost]]*RawSalesTable[[#This Row],[Quantity]]</f>
        <v>591.99</v>
      </c>
      <c r="AC196" s="8">
        <f>RawSalesTable[[#This Row],[Net_Sales]]-RawSalesTable[[#This Row],[Total_Cost]]</f>
        <v>236.04599999999994</v>
      </c>
      <c r="AD196" s="9">
        <f>RawSalesTable[[#This Row],[Profit]]/RawSalesTable[[#This Row],[Net_Sales]]</f>
        <v>0.2850673159138008</v>
      </c>
      <c r="AE196" s="8">
        <f>IF(RawSalesTable[[#This Row],[Return_Status]]="Yes",1,0)</f>
        <v>0</v>
      </c>
      <c r="AF196" s="8">
        <f>YEAR(RawSalesTable[[#This Row],[Order_Date]])</f>
        <v>2025</v>
      </c>
      <c r="AG196" s="8">
        <f>MONTH(RawSalesTable[[#This Row],[Order_Date]])</f>
        <v>11</v>
      </c>
      <c r="AH196" s="8" t="str">
        <f>TEXT(RawSalesTable[[#This Row],[Order_Date]],"mmmm")</f>
        <v>novembre</v>
      </c>
      <c r="AI196" s="8" t="str">
        <f>IF(RawSalesTable[[#This Row],[Month_Number]]&lt;=3,"Q1",IF(RawSalesTable[[#This Row],[Month_Number]]&lt;=6,"Q2",IF(RawSalesTable[[#This Row],[Month_Number]]&lt;=9,"Q3","Q4")))</f>
        <v>Q4</v>
      </c>
      <c r="AJ196" s="13">
        <f>DATE(YEAR(RawSalesTable[[#This Row],[Order_Date]]),MONTH(RawSalesTable[[#This Row],[Order_Date]]),1)</f>
        <v>45962</v>
      </c>
      <c r="AK196" s="8" t="str">
        <f>VLOOKUP(RawSalesTable[[#This Row],[Customer_ID_clean]],CustomersTable[],4,FALSE)</f>
        <v>Nova Scotia</v>
      </c>
    </row>
    <row r="197" spans="1:37">
      <c r="A197" t="s">
        <v>546</v>
      </c>
      <c r="B197" s="3">
        <v>45897</v>
      </c>
      <c r="C197" t="s">
        <v>313</v>
      </c>
      <c r="D197" t="s">
        <v>94</v>
      </c>
      <c r="E197" t="s">
        <v>314</v>
      </c>
      <c r="F197" t="s">
        <v>145</v>
      </c>
      <c r="G197" t="s">
        <v>122</v>
      </c>
      <c r="H197" t="s">
        <v>97</v>
      </c>
      <c r="I197">
        <v>1</v>
      </c>
      <c r="J197" s="2">
        <v>317.25</v>
      </c>
      <c r="K197" s="4">
        <v>0</v>
      </c>
      <c r="L197" t="s">
        <v>106</v>
      </c>
      <c r="M197">
        <v>4</v>
      </c>
      <c r="N197" t="s">
        <v>91</v>
      </c>
      <c r="O197" t="str">
        <f>SUBSTITUTE(PROPER(TRIM(RawSalesTable[[#This Row],[Channel_Raw]])), "Market Place", "Marketplace")</f>
        <v>Retail Store</v>
      </c>
      <c r="P197" t="str">
        <f>TRIM(RawSalesTable[[#This Row],[Store_Raw]])</f>
        <v>Calgary North</v>
      </c>
      <c r="Q197" t="str">
        <f>IF(TRIM(RawSalesTable[[#This Row],[Payment_Method_Raw]])="","Non renseigné",SUBSTITUTE(TRIM(RawSalesTable[[#This Row],[Payment_Method_Raw]]),"CC","Credit Card"))</f>
        <v>Credit Card</v>
      </c>
      <c r="R197" s="8" t="str">
        <f>UPPER(PROPER(RawSalesTable[[#This Row],[Customer_ID]]))</f>
        <v>C0080</v>
      </c>
      <c r="S197" s="8" t="str">
        <f>TRIM(LEFT(RawSalesTable[[#This Row],[Customer_Info]],FIND(",",RawSalesTable[[#This Row],[Customer_Info]]) -1))</f>
        <v>Sarah Smith</v>
      </c>
      <c r="T197" s="8" t="str">
        <f>TRIM(MID(RawSalesTable[[#This Row],[Customer_Info]],FIND(",",RawSalesTable[[#This Row],[Customer_Info]])+1,FIND(",",RawSalesTable[[#This Row],[Customer_Info]],FIND(",",RawSalesTable[[#This Row],[Customer_Info]])+1)-FIND(",",RawSalesTable[[#This Row],[Customer_Info]])-1))</f>
        <v>Mississauga</v>
      </c>
      <c r="U197" s="8" t="str">
        <f>TRIM(RIGHT(RawSalesTable[[#This Row],[Customer_Info]], LEN(RawSalesTable[[#This Row],[Customer_Info]])-FIND(",",RawSalesTable[[#This Row],[Customer_Info]],FIND(",",RawSalesTable[[#This Row],[Customer_Info]])+1)))</f>
        <v>Corporate</v>
      </c>
      <c r="V197" s="8" t="str">
        <f>VLOOKUP(RawSalesTable[[#This Row],[Product_ID]],ProductsTable[],2,FALSE)</f>
        <v>Backpack</v>
      </c>
      <c r="W197" s="8" t="str">
        <f>VLOOKUP(RawSalesTable[[#This Row],[Product_ID]],ProductsTable[],3,FALSE)</f>
        <v>Accessories</v>
      </c>
      <c r="X197" s="8">
        <f>VLOOKUP(RawSalesTable[[#This Row],[Product_ID]],ProductsTable[],5,FALSE)</f>
        <v>152.55000000000001</v>
      </c>
      <c r="Y197" s="8">
        <f>RawSalesTable[[#This Row],[Quantity]]*RawSalesTable[[#This Row],[Unit_Price]]</f>
        <v>317.25</v>
      </c>
      <c r="Z197" s="8">
        <f>RawSalesTable[[#This Row],[Gross_Sales]]*RawSalesTable[[#This Row],[Discount_Pct]]</f>
        <v>0</v>
      </c>
      <c r="AA197" s="8">
        <f>RawSalesTable[[#This Row],[Gross_Sales]]-RawSalesTable[[#This Row],[Discount_Amount]]</f>
        <v>317.25</v>
      </c>
      <c r="AB197" s="8">
        <f>RawSalesTable[[#This Row],[Unit_Cost]]*RawSalesTable[[#This Row],[Quantity]]</f>
        <v>152.55000000000001</v>
      </c>
      <c r="AC197" s="8">
        <f>RawSalesTable[[#This Row],[Net_Sales]]-RawSalesTable[[#This Row],[Total_Cost]]</f>
        <v>164.7</v>
      </c>
      <c r="AD197" s="9">
        <f>RawSalesTable[[#This Row],[Profit]]/RawSalesTable[[#This Row],[Net_Sales]]</f>
        <v>0.51914893617021274</v>
      </c>
      <c r="AE197" s="8">
        <f>IF(RawSalesTable[[#This Row],[Return_Status]]="Yes",1,0)</f>
        <v>0</v>
      </c>
      <c r="AF197" s="8">
        <f>YEAR(RawSalesTable[[#This Row],[Order_Date]])</f>
        <v>2025</v>
      </c>
      <c r="AG197" s="8">
        <f>MONTH(RawSalesTable[[#This Row],[Order_Date]])</f>
        <v>8</v>
      </c>
      <c r="AH197" s="8" t="str">
        <f>TEXT(RawSalesTable[[#This Row],[Order_Date]],"mmmm")</f>
        <v>août</v>
      </c>
      <c r="AI197" s="8" t="str">
        <f>IF(RawSalesTable[[#This Row],[Month_Number]]&lt;=3,"Q1",IF(RawSalesTable[[#This Row],[Month_Number]]&lt;=6,"Q2",IF(RawSalesTable[[#This Row],[Month_Number]]&lt;=9,"Q3","Q4")))</f>
        <v>Q3</v>
      </c>
      <c r="AJ197" s="13">
        <f>DATE(YEAR(RawSalesTable[[#This Row],[Order_Date]]),MONTH(RawSalesTable[[#This Row],[Order_Date]]),1)</f>
        <v>45870</v>
      </c>
      <c r="AK197" s="8" t="str">
        <f>VLOOKUP(RawSalesTable[[#This Row],[Customer_ID_clean]],CustomersTable[],4,FALSE)</f>
        <v>Ontario</v>
      </c>
    </row>
    <row r="198" spans="1:37">
      <c r="A198" t="s">
        <v>547</v>
      </c>
      <c r="B198" s="3">
        <v>45948</v>
      </c>
      <c r="C198" t="s">
        <v>548</v>
      </c>
      <c r="D198" t="s">
        <v>125</v>
      </c>
      <c r="E198" t="s">
        <v>549</v>
      </c>
      <c r="F198" t="s">
        <v>87</v>
      </c>
      <c r="G198" t="s">
        <v>88</v>
      </c>
      <c r="H198" t="s">
        <v>97</v>
      </c>
      <c r="I198">
        <v>5</v>
      </c>
      <c r="J198" s="2">
        <v>54.02</v>
      </c>
      <c r="K198" s="4">
        <v>0.2</v>
      </c>
      <c r="L198" t="s">
        <v>253</v>
      </c>
      <c r="M198">
        <v>3</v>
      </c>
      <c r="N198" t="s">
        <v>147</v>
      </c>
      <c r="O198" t="str">
        <f>SUBSTITUTE(PROPER(TRIM(RawSalesTable[[#This Row],[Channel_Raw]])), "Market Place", "Marketplace")</f>
        <v>Retail Store</v>
      </c>
      <c r="P198" t="str">
        <f>TRIM(RawSalesTable[[#This Row],[Store_Raw]])</f>
        <v>Online Fulfillment</v>
      </c>
      <c r="Q198" t="str">
        <f>IF(TRIM(RawSalesTable[[#This Row],[Payment_Method_Raw]])="","Non renseigné",SUBSTITUTE(TRIM(RawSalesTable[[#This Row],[Payment_Method_Raw]]),"CC","Credit Card"))</f>
        <v>Credit Card</v>
      </c>
      <c r="R198" s="8" t="str">
        <f>UPPER(PROPER(RawSalesTable[[#This Row],[Customer_ID]]))</f>
        <v>C0099</v>
      </c>
      <c r="S198" s="8" t="str">
        <f>TRIM(LEFT(RawSalesTable[[#This Row],[Customer_Info]],FIND(",",RawSalesTable[[#This Row],[Customer_Info]]) -1))</f>
        <v>Amine Gagnon</v>
      </c>
      <c r="T198" s="8" t="str">
        <f>TRIM(MID(RawSalesTable[[#This Row],[Customer_Info]],FIND(",",RawSalesTable[[#This Row],[Customer_Info]])+1,FIND(",",RawSalesTable[[#This Row],[Customer_Info]],FIND(",",RawSalesTable[[#This Row],[Customer_Info]])+1)-FIND(",",RawSalesTable[[#This Row],[Customer_Info]])-1))</f>
        <v>Laval</v>
      </c>
      <c r="U198" s="8" t="str">
        <f>TRIM(RIGHT(RawSalesTable[[#This Row],[Customer_Info]], LEN(RawSalesTable[[#This Row],[Customer_Info]])-FIND(",",RawSalesTable[[#This Row],[Customer_Info]],FIND(",",RawSalesTable[[#This Row],[Customer_Info]])+1)))</f>
        <v>Small Business</v>
      </c>
      <c r="V198" s="8" t="str">
        <f>VLOOKUP(RawSalesTable[[#This Row],[Product_ID]],ProductsTable[],2,FALSE)</f>
        <v>Kettlebell</v>
      </c>
      <c r="W198" s="8" t="str">
        <f>VLOOKUP(RawSalesTable[[#This Row],[Product_ID]],ProductsTable[],3,FALSE)</f>
        <v>Fitness</v>
      </c>
      <c r="X198" s="8">
        <f>VLOOKUP(RawSalesTable[[#This Row],[Product_ID]],ProductsTable[],5,FALSE)</f>
        <v>25.97</v>
      </c>
      <c r="Y198" s="8">
        <f>RawSalesTable[[#This Row],[Quantity]]*RawSalesTable[[#This Row],[Unit_Price]]</f>
        <v>270.10000000000002</v>
      </c>
      <c r="Z198" s="8">
        <f>RawSalesTable[[#This Row],[Gross_Sales]]*RawSalesTable[[#This Row],[Discount_Pct]]</f>
        <v>54.02000000000001</v>
      </c>
      <c r="AA198" s="8">
        <f>RawSalesTable[[#This Row],[Gross_Sales]]-RawSalesTable[[#This Row],[Discount_Amount]]</f>
        <v>216.08</v>
      </c>
      <c r="AB198" s="8">
        <f>RawSalesTable[[#This Row],[Unit_Cost]]*RawSalesTable[[#This Row],[Quantity]]</f>
        <v>129.85</v>
      </c>
      <c r="AC198" s="8">
        <f>RawSalesTable[[#This Row],[Net_Sales]]-RawSalesTable[[#This Row],[Total_Cost]]</f>
        <v>86.230000000000018</v>
      </c>
      <c r="AD198" s="9">
        <f>RawSalesTable[[#This Row],[Profit]]/RawSalesTable[[#This Row],[Net_Sales]]</f>
        <v>0.3990651610514625</v>
      </c>
      <c r="AE198" s="8">
        <f>IF(RawSalesTable[[#This Row],[Return_Status]]="Yes",1,0)</f>
        <v>1</v>
      </c>
      <c r="AF198" s="8">
        <f>YEAR(RawSalesTable[[#This Row],[Order_Date]])</f>
        <v>2025</v>
      </c>
      <c r="AG198" s="8">
        <f>MONTH(RawSalesTable[[#This Row],[Order_Date]])</f>
        <v>10</v>
      </c>
      <c r="AH198" s="8" t="str">
        <f>TEXT(RawSalesTable[[#This Row],[Order_Date]],"mmmm")</f>
        <v>octobre</v>
      </c>
      <c r="AI198" s="8" t="str">
        <f>IF(RawSalesTable[[#This Row],[Month_Number]]&lt;=3,"Q1",IF(RawSalesTable[[#This Row],[Month_Number]]&lt;=6,"Q2",IF(RawSalesTable[[#This Row],[Month_Number]]&lt;=9,"Q3","Q4")))</f>
        <v>Q4</v>
      </c>
      <c r="AJ198" s="13">
        <f>DATE(YEAR(RawSalesTable[[#This Row],[Order_Date]]),MONTH(RawSalesTable[[#This Row],[Order_Date]]),1)</f>
        <v>45931</v>
      </c>
      <c r="AK198" s="8" t="str">
        <f>VLOOKUP(RawSalesTable[[#This Row],[Customer_ID_clean]],CustomersTable[],4,FALSE)</f>
        <v>Quebec</v>
      </c>
    </row>
    <row r="199" spans="1:37">
      <c r="A199" t="s">
        <v>550</v>
      </c>
      <c r="B199" s="3">
        <v>45889</v>
      </c>
      <c r="C199" t="s">
        <v>551</v>
      </c>
      <c r="D199" t="s">
        <v>94</v>
      </c>
      <c r="E199" t="s">
        <v>552</v>
      </c>
      <c r="F199" t="s">
        <v>116</v>
      </c>
      <c r="G199" t="s">
        <v>117</v>
      </c>
      <c r="H199" t="s">
        <v>105</v>
      </c>
      <c r="I199">
        <v>3</v>
      </c>
      <c r="J199" s="2">
        <v>294.42</v>
      </c>
      <c r="K199" s="4">
        <v>0.05</v>
      </c>
      <c r="L199" t="s">
        <v>90</v>
      </c>
      <c r="M199">
        <v>3</v>
      </c>
      <c r="N199" t="s">
        <v>91</v>
      </c>
      <c r="O199" t="str">
        <f>SUBSTITUTE(PROPER(TRIM(RawSalesTable[[#This Row],[Channel_Raw]])), "Market Place", "Marketplace")</f>
        <v>Marketplace</v>
      </c>
      <c r="P199" t="str">
        <f>TRIM(RawSalesTable[[#This Row],[Store_Raw]])</f>
        <v>Toronto Downtown</v>
      </c>
      <c r="Q199" t="str">
        <f>IF(TRIM(RawSalesTable[[#This Row],[Payment_Method_Raw]])="","Non renseigné",SUBSTITUTE(TRIM(RawSalesTable[[#This Row],[Payment_Method_Raw]]),"CC","Credit Card"))</f>
        <v>PayPal</v>
      </c>
      <c r="R199" s="8" t="str">
        <f>UPPER(PROPER(RawSalesTable[[#This Row],[Customer_ID]]))</f>
        <v>C0094</v>
      </c>
      <c r="S199" s="8" t="str">
        <f>TRIM(LEFT(RawSalesTable[[#This Row],[Customer_Info]],FIND(",",RawSalesTable[[#This Row],[Customer_Info]]) -1))</f>
        <v>Mia Singh</v>
      </c>
      <c r="T199" s="8" t="str">
        <f>TRIM(MID(RawSalesTable[[#This Row],[Customer_Info]],FIND(",",RawSalesTable[[#This Row],[Customer_Info]])+1,FIND(",",RawSalesTable[[#This Row],[Customer_Info]],FIND(",",RawSalesTable[[#This Row],[Customer_Info]])+1)-FIND(",",RawSalesTable[[#This Row],[Customer_Info]])-1))</f>
        <v>Quebec City</v>
      </c>
      <c r="U199" s="8" t="str">
        <f>TRIM(RIGHT(RawSalesTable[[#This Row],[Customer_Info]], LEN(RawSalesTable[[#This Row],[Customer_Info]])-FIND(",",RawSalesTable[[#This Row],[Customer_Info]],FIND(",",RawSalesTable[[#This Row],[Customer_Info]])+1)))</f>
        <v>Consumer</v>
      </c>
      <c r="V199" s="8" t="str">
        <f>VLOOKUP(RawSalesTable[[#This Row],[Product_ID]],ProductsTable[],2,FALSE)</f>
        <v>Backpack</v>
      </c>
      <c r="W199" s="8" t="str">
        <f>VLOOKUP(RawSalesTable[[#This Row],[Product_ID]],ProductsTable[],3,FALSE)</f>
        <v>Accessories</v>
      </c>
      <c r="X199" s="8">
        <f>VLOOKUP(RawSalesTable[[#This Row],[Product_ID]],ProductsTable[],5,FALSE)</f>
        <v>152.55000000000001</v>
      </c>
      <c r="Y199" s="8">
        <f>RawSalesTable[[#This Row],[Quantity]]*RawSalesTable[[#This Row],[Unit_Price]]</f>
        <v>883.26</v>
      </c>
      <c r="Z199" s="8">
        <f>RawSalesTable[[#This Row],[Gross_Sales]]*RawSalesTable[[#This Row],[Discount_Pct]]</f>
        <v>44.163000000000004</v>
      </c>
      <c r="AA199" s="8">
        <f>RawSalesTable[[#This Row],[Gross_Sales]]-RawSalesTable[[#This Row],[Discount_Amount]]</f>
        <v>839.09699999999998</v>
      </c>
      <c r="AB199" s="8">
        <f>RawSalesTable[[#This Row],[Unit_Cost]]*RawSalesTable[[#This Row],[Quantity]]</f>
        <v>457.65000000000003</v>
      </c>
      <c r="AC199" s="8">
        <f>RawSalesTable[[#This Row],[Net_Sales]]-RawSalesTable[[#This Row],[Total_Cost]]</f>
        <v>381.44699999999995</v>
      </c>
      <c r="AD199" s="9">
        <f>RawSalesTable[[#This Row],[Profit]]/RawSalesTable[[#This Row],[Net_Sales]]</f>
        <v>0.45459225810603537</v>
      </c>
      <c r="AE199" s="8">
        <f>IF(RawSalesTable[[#This Row],[Return_Status]]="Yes",1,0)</f>
        <v>0</v>
      </c>
      <c r="AF199" s="8">
        <f>YEAR(RawSalesTable[[#This Row],[Order_Date]])</f>
        <v>2025</v>
      </c>
      <c r="AG199" s="8">
        <f>MONTH(RawSalesTable[[#This Row],[Order_Date]])</f>
        <v>8</v>
      </c>
      <c r="AH199" s="8" t="str">
        <f>TEXT(RawSalesTable[[#This Row],[Order_Date]],"mmmm")</f>
        <v>août</v>
      </c>
      <c r="AI199" s="8" t="str">
        <f>IF(RawSalesTable[[#This Row],[Month_Number]]&lt;=3,"Q1",IF(RawSalesTable[[#This Row],[Month_Number]]&lt;=6,"Q2",IF(RawSalesTable[[#This Row],[Month_Number]]&lt;=9,"Q3","Q4")))</f>
        <v>Q3</v>
      </c>
      <c r="AJ199" s="13">
        <f>DATE(YEAR(RawSalesTable[[#This Row],[Order_Date]]),MONTH(RawSalesTable[[#This Row],[Order_Date]]),1)</f>
        <v>45870</v>
      </c>
      <c r="AK199" s="8" t="str">
        <f>VLOOKUP(RawSalesTable[[#This Row],[Customer_ID_clean]],CustomersTable[],4,FALSE)</f>
        <v>Quebec</v>
      </c>
    </row>
    <row r="200" spans="1:37">
      <c r="A200" t="s">
        <v>553</v>
      </c>
      <c r="B200" s="3">
        <v>45998</v>
      </c>
      <c r="C200" t="s">
        <v>531</v>
      </c>
      <c r="D200" t="s">
        <v>323</v>
      </c>
      <c r="E200" t="s">
        <v>532</v>
      </c>
      <c r="F200" t="s">
        <v>111</v>
      </c>
      <c r="G200" t="s">
        <v>117</v>
      </c>
      <c r="H200" t="s">
        <v>308</v>
      </c>
      <c r="I200">
        <v>3</v>
      </c>
      <c r="J200" s="2">
        <v>327.55</v>
      </c>
      <c r="K200" s="4">
        <v>0.05</v>
      </c>
      <c r="L200" t="s">
        <v>90</v>
      </c>
      <c r="M200">
        <v>1</v>
      </c>
      <c r="N200" t="s">
        <v>91</v>
      </c>
      <c r="O200" t="str">
        <f>SUBSTITUTE(PROPER(TRIM(RawSalesTable[[#This Row],[Channel_Raw]])), "Market Place", "Marketplace")</f>
        <v>Online</v>
      </c>
      <c r="P200" t="str">
        <f>TRIM(RawSalesTable[[#This Row],[Store_Raw]])</f>
        <v>Montreal Central</v>
      </c>
      <c r="Q200" t="str">
        <f>IF(TRIM(RawSalesTable[[#This Row],[Payment_Method_Raw]])="","Non renseigné",SUBSTITUTE(TRIM(RawSalesTable[[#This Row],[Payment_Method_Raw]]),"CC","Credit Card"))</f>
        <v>PayPal</v>
      </c>
      <c r="R200" s="8" t="str">
        <f>UPPER(PROPER(RawSalesTable[[#This Row],[Customer_ID]]))</f>
        <v>C0042</v>
      </c>
      <c r="S200" s="8" t="str">
        <f>TRIM(LEFT(RawSalesTable[[#This Row],[Customer_Info]],FIND(",",RawSalesTable[[#This Row],[Customer_Info]]) -1))</f>
        <v>Emma King</v>
      </c>
      <c r="T200" s="8" t="str">
        <f>TRIM(MID(RawSalesTable[[#This Row],[Customer_Info]],FIND(",",RawSalesTable[[#This Row],[Customer_Info]])+1,FIND(",",RawSalesTable[[#This Row],[Customer_Info]],FIND(",",RawSalesTable[[#This Row],[Customer_Info]])+1)-FIND(",",RawSalesTable[[#This Row],[Customer_Info]])-1))</f>
        <v>Quebec City</v>
      </c>
      <c r="U200" s="8" t="str">
        <f>TRIM(RIGHT(RawSalesTable[[#This Row],[Customer_Info]], LEN(RawSalesTable[[#This Row],[Customer_Info]])-FIND(",",RawSalesTable[[#This Row],[Customer_Info]],FIND(",",RawSalesTable[[#This Row],[Customer_Info]])+1)))</f>
        <v>Consumer</v>
      </c>
      <c r="V200" s="8" t="str">
        <f>VLOOKUP(RawSalesTable[[#This Row],[Product_ID]],ProductsTable[],2,FALSE)</f>
        <v>Toaster</v>
      </c>
      <c r="W200" s="8" t="str">
        <f>VLOOKUP(RawSalesTable[[#This Row],[Product_ID]],ProductsTable[],3,FALSE)</f>
        <v>Home</v>
      </c>
      <c r="X200" s="8">
        <f>VLOOKUP(RawSalesTable[[#This Row],[Product_ID]],ProductsTable[],5,FALSE)</f>
        <v>152.88</v>
      </c>
      <c r="Y200" s="8">
        <f>RawSalesTable[[#This Row],[Quantity]]*RawSalesTable[[#This Row],[Unit_Price]]</f>
        <v>982.65000000000009</v>
      </c>
      <c r="Z200" s="8">
        <f>RawSalesTable[[#This Row],[Gross_Sales]]*RawSalesTable[[#This Row],[Discount_Pct]]</f>
        <v>49.132500000000007</v>
      </c>
      <c r="AA200" s="8">
        <f>RawSalesTable[[#This Row],[Gross_Sales]]-RawSalesTable[[#This Row],[Discount_Amount]]</f>
        <v>933.51750000000004</v>
      </c>
      <c r="AB200" s="8">
        <f>RawSalesTable[[#This Row],[Unit_Cost]]*RawSalesTable[[#This Row],[Quantity]]</f>
        <v>458.64</v>
      </c>
      <c r="AC200" s="8">
        <f>RawSalesTable[[#This Row],[Net_Sales]]-RawSalesTable[[#This Row],[Total_Cost]]</f>
        <v>474.87750000000005</v>
      </c>
      <c r="AD200" s="9">
        <f>RawSalesTable[[#This Row],[Profit]]/RawSalesTable[[#This Row],[Net_Sales]]</f>
        <v>0.50869694462074899</v>
      </c>
      <c r="AE200" s="8">
        <f>IF(RawSalesTable[[#This Row],[Return_Status]]="Yes",1,0)</f>
        <v>0</v>
      </c>
      <c r="AF200" s="8">
        <f>YEAR(RawSalesTable[[#This Row],[Order_Date]])</f>
        <v>2025</v>
      </c>
      <c r="AG200" s="8">
        <f>MONTH(RawSalesTable[[#This Row],[Order_Date]])</f>
        <v>12</v>
      </c>
      <c r="AH200" s="8" t="str">
        <f>TEXT(RawSalesTable[[#This Row],[Order_Date]],"mmmm")</f>
        <v>décembre</v>
      </c>
      <c r="AI200" s="8" t="str">
        <f>IF(RawSalesTable[[#This Row],[Month_Number]]&lt;=3,"Q1",IF(RawSalesTable[[#This Row],[Month_Number]]&lt;=6,"Q2",IF(RawSalesTable[[#This Row],[Month_Number]]&lt;=9,"Q3","Q4")))</f>
        <v>Q4</v>
      </c>
      <c r="AJ200" s="13">
        <f>DATE(YEAR(RawSalesTable[[#This Row],[Order_Date]]),MONTH(RawSalesTable[[#This Row],[Order_Date]]),1)</f>
        <v>45992</v>
      </c>
      <c r="AK200" s="8" t="str">
        <f>VLOOKUP(RawSalesTable[[#This Row],[Customer_ID_clean]],CustomersTable[],4,FALSE)</f>
        <v>Quebec</v>
      </c>
    </row>
    <row r="201" spans="1:37">
      <c r="A201" t="s">
        <v>554</v>
      </c>
      <c r="B201" s="3">
        <v>45980</v>
      </c>
      <c r="C201" t="s">
        <v>239</v>
      </c>
      <c r="D201" t="s">
        <v>303</v>
      </c>
      <c r="E201" t="s">
        <v>240</v>
      </c>
      <c r="F201" t="s">
        <v>111</v>
      </c>
      <c r="G201" t="s">
        <v>88</v>
      </c>
      <c r="H201" t="s">
        <v>89</v>
      </c>
      <c r="I201">
        <v>1</v>
      </c>
      <c r="J201" s="2">
        <v>165.76</v>
      </c>
      <c r="K201" s="4">
        <v>0</v>
      </c>
      <c r="L201" t="s">
        <v>106</v>
      </c>
      <c r="M201">
        <v>2</v>
      </c>
      <c r="N201" t="s">
        <v>91</v>
      </c>
      <c r="O201" t="str">
        <f>SUBSTITUTE(PROPER(TRIM(RawSalesTable[[#This Row],[Channel_Raw]])), "Market Place", "Marketplace")</f>
        <v>Online</v>
      </c>
      <c r="P201" t="str">
        <f>TRIM(RawSalesTable[[#This Row],[Store_Raw]])</f>
        <v>Montreal Central</v>
      </c>
      <c r="Q201" t="str">
        <f>IF(TRIM(RawSalesTable[[#This Row],[Payment_Method_Raw]])="","Non renseigné",SUBSTITUTE(TRIM(RawSalesTable[[#This Row],[Payment_Method_Raw]]),"CC","Credit Card"))</f>
        <v>Credit Card</v>
      </c>
      <c r="R201" s="8" t="str">
        <f>UPPER(PROPER(RawSalesTable[[#This Row],[Customer_ID]]))</f>
        <v>C0089</v>
      </c>
      <c r="S201" s="8" t="str">
        <f>TRIM(LEFT(RawSalesTable[[#This Row],[Customer_Info]],FIND(",",RawSalesTable[[#This Row],[Customer_Info]]) -1))</f>
        <v>Lucas Martin</v>
      </c>
      <c r="T201" s="8" t="str">
        <f>TRIM(MID(RawSalesTable[[#This Row],[Customer_Info]],FIND(",",RawSalesTable[[#This Row],[Customer_Info]])+1,FIND(",",RawSalesTable[[#This Row],[Customer_Info]],FIND(",",RawSalesTable[[#This Row],[Customer_Info]])+1)-FIND(",",RawSalesTable[[#This Row],[Customer_Info]])-1))</f>
        <v>Vancouver</v>
      </c>
      <c r="U201" s="8" t="str">
        <f>TRIM(RIGHT(RawSalesTable[[#This Row],[Customer_Info]], LEN(RawSalesTable[[#This Row],[Customer_Info]])-FIND(",",RawSalesTable[[#This Row],[Customer_Info]],FIND(",",RawSalesTable[[#This Row],[Customer_Info]])+1)))</f>
        <v>Consumer</v>
      </c>
      <c r="V201" s="8" t="str">
        <f>VLOOKUP(RawSalesTable[[#This Row],[Product_ID]],ProductsTable[],2,FALSE)</f>
        <v>Power Bank</v>
      </c>
      <c r="W201" s="8" t="str">
        <f>VLOOKUP(RawSalesTable[[#This Row],[Product_ID]],ProductsTable[],3,FALSE)</f>
        <v>Accessories</v>
      </c>
      <c r="X201" s="8">
        <f>VLOOKUP(RawSalesTable[[#This Row],[Product_ID]],ProductsTable[],5,FALSE)</f>
        <v>76.97</v>
      </c>
      <c r="Y201" s="8">
        <f>RawSalesTable[[#This Row],[Quantity]]*RawSalesTable[[#This Row],[Unit_Price]]</f>
        <v>165.76</v>
      </c>
      <c r="Z201" s="8">
        <f>RawSalesTable[[#This Row],[Gross_Sales]]*RawSalesTable[[#This Row],[Discount_Pct]]</f>
        <v>0</v>
      </c>
      <c r="AA201" s="8">
        <f>RawSalesTable[[#This Row],[Gross_Sales]]-RawSalesTable[[#This Row],[Discount_Amount]]</f>
        <v>165.76</v>
      </c>
      <c r="AB201" s="8">
        <f>RawSalesTable[[#This Row],[Unit_Cost]]*RawSalesTable[[#This Row],[Quantity]]</f>
        <v>76.97</v>
      </c>
      <c r="AC201" s="8">
        <f>RawSalesTable[[#This Row],[Net_Sales]]-RawSalesTable[[#This Row],[Total_Cost]]</f>
        <v>88.789999999999992</v>
      </c>
      <c r="AD201" s="9">
        <f>RawSalesTable[[#This Row],[Profit]]/RawSalesTable[[#This Row],[Net_Sales]]</f>
        <v>0.5356539575289575</v>
      </c>
      <c r="AE201" s="8">
        <f>IF(RawSalesTable[[#This Row],[Return_Status]]="Yes",1,0)</f>
        <v>0</v>
      </c>
      <c r="AF201" s="8">
        <f>YEAR(RawSalesTable[[#This Row],[Order_Date]])</f>
        <v>2025</v>
      </c>
      <c r="AG201" s="8">
        <f>MONTH(RawSalesTable[[#This Row],[Order_Date]])</f>
        <v>11</v>
      </c>
      <c r="AH201" s="8" t="str">
        <f>TEXT(RawSalesTable[[#This Row],[Order_Date]],"mmmm")</f>
        <v>novembre</v>
      </c>
      <c r="AI201" s="8" t="str">
        <f>IF(RawSalesTable[[#This Row],[Month_Number]]&lt;=3,"Q1",IF(RawSalesTable[[#This Row],[Month_Number]]&lt;=6,"Q2",IF(RawSalesTable[[#This Row],[Month_Number]]&lt;=9,"Q3","Q4")))</f>
        <v>Q4</v>
      </c>
      <c r="AJ201" s="13">
        <f>DATE(YEAR(RawSalesTable[[#This Row],[Order_Date]]),MONTH(RawSalesTable[[#This Row],[Order_Date]]),1)</f>
        <v>45962</v>
      </c>
      <c r="AK201" s="8" t="str">
        <f>VLOOKUP(RawSalesTable[[#This Row],[Customer_ID_clean]],CustomersTable[],4,FALSE)</f>
        <v>British Columbia</v>
      </c>
    </row>
    <row r="202" spans="1:37">
      <c r="A202" t="s">
        <v>555</v>
      </c>
      <c r="B202" s="3">
        <v>45741</v>
      </c>
      <c r="C202" t="s">
        <v>193</v>
      </c>
      <c r="D202" t="s">
        <v>252</v>
      </c>
      <c r="E202" t="s">
        <v>195</v>
      </c>
      <c r="F202" t="s">
        <v>87</v>
      </c>
      <c r="G202" t="s">
        <v>122</v>
      </c>
      <c r="H202" t="s">
        <v>228</v>
      </c>
      <c r="I202">
        <v>1</v>
      </c>
      <c r="J202" s="2">
        <v>279.27</v>
      </c>
      <c r="K202" s="4">
        <v>0.2</v>
      </c>
      <c r="L202" t="s">
        <v>353</v>
      </c>
      <c r="M202">
        <v>1</v>
      </c>
      <c r="N202" t="s">
        <v>91</v>
      </c>
      <c r="O202" t="str">
        <f>SUBSTITUTE(PROPER(TRIM(RawSalesTable[[#This Row],[Channel_Raw]])), "Market Place", "Marketplace")</f>
        <v>Online</v>
      </c>
      <c r="P202" t="str">
        <f>TRIM(RawSalesTable[[#This Row],[Store_Raw]])</f>
        <v>Online Fulfillment</v>
      </c>
      <c r="Q202" t="str">
        <f>IF(TRIM(RawSalesTable[[#This Row],[Payment_Method_Raw]])="","Non renseigné",SUBSTITUTE(TRIM(RawSalesTable[[#This Row],[Payment_Method_Raw]]),"CC","Credit Card"))</f>
        <v>Credit Card</v>
      </c>
      <c r="R202" s="8" t="str">
        <f>UPPER(PROPER(RawSalesTable[[#This Row],[Customer_ID]]))</f>
        <v>C0023</v>
      </c>
      <c r="S202" s="8" t="str">
        <f>TRIM(LEFT(RawSalesTable[[#This Row],[Customer_Info]],FIND(",",RawSalesTable[[#This Row],[Customer_Info]]) -1))</f>
        <v>Ryan Gagnon</v>
      </c>
      <c r="T202" s="8" t="str">
        <f>TRIM(MID(RawSalesTable[[#This Row],[Customer_Info]],FIND(",",RawSalesTable[[#This Row],[Customer_Info]])+1,FIND(",",RawSalesTable[[#This Row],[Customer_Info]],FIND(",",RawSalesTable[[#This Row],[Customer_Info]])+1)-FIND(",",RawSalesTable[[#This Row],[Customer_Info]])-1))</f>
        <v>Ottawa</v>
      </c>
      <c r="U202" s="8" t="str">
        <f>TRIM(RIGHT(RawSalesTable[[#This Row],[Customer_Info]], LEN(RawSalesTable[[#This Row],[Customer_Info]])-FIND(",",RawSalesTable[[#This Row],[Customer_Info]],FIND(",",RawSalesTable[[#This Row],[Customer_Info]])+1)))</f>
        <v>Small Business</v>
      </c>
      <c r="V202" s="8" t="str">
        <f>VLOOKUP(RawSalesTable[[#This Row],[Product_ID]],ProductsTable[],2,FALSE)</f>
        <v>Vacuum</v>
      </c>
      <c r="W202" s="8" t="str">
        <f>VLOOKUP(RawSalesTable[[#This Row],[Product_ID]],ProductsTable[],3,FALSE)</f>
        <v>Home</v>
      </c>
      <c r="X202" s="8">
        <f>VLOOKUP(RawSalesTable[[#This Row],[Product_ID]],ProductsTable[],5,FALSE)</f>
        <v>186.94</v>
      </c>
      <c r="Y202" s="8">
        <f>RawSalesTable[[#This Row],[Quantity]]*RawSalesTable[[#This Row],[Unit_Price]]</f>
        <v>279.27</v>
      </c>
      <c r="Z202" s="8">
        <f>RawSalesTable[[#This Row],[Gross_Sales]]*RawSalesTable[[#This Row],[Discount_Pct]]</f>
        <v>55.853999999999999</v>
      </c>
      <c r="AA202" s="8">
        <f>RawSalesTable[[#This Row],[Gross_Sales]]-RawSalesTable[[#This Row],[Discount_Amount]]</f>
        <v>223.416</v>
      </c>
      <c r="AB202" s="8">
        <f>RawSalesTable[[#This Row],[Unit_Cost]]*RawSalesTable[[#This Row],[Quantity]]</f>
        <v>186.94</v>
      </c>
      <c r="AC202" s="8">
        <f>RawSalesTable[[#This Row],[Net_Sales]]-RawSalesTable[[#This Row],[Total_Cost]]</f>
        <v>36.475999999999999</v>
      </c>
      <c r="AD202" s="9">
        <f>RawSalesTable[[#This Row],[Profit]]/RawSalesTable[[#This Row],[Net_Sales]]</f>
        <v>0.16326494073835357</v>
      </c>
      <c r="AE202" s="8">
        <f>IF(RawSalesTable[[#This Row],[Return_Status]]="Yes",1,0)</f>
        <v>0</v>
      </c>
      <c r="AF202" s="8">
        <f>YEAR(RawSalesTable[[#This Row],[Order_Date]])</f>
        <v>2025</v>
      </c>
      <c r="AG202" s="8">
        <f>MONTH(RawSalesTable[[#This Row],[Order_Date]])</f>
        <v>3</v>
      </c>
      <c r="AH202" s="8" t="str">
        <f>TEXT(RawSalesTable[[#This Row],[Order_Date]],"mmmm")</f>
        <v>mars</v>
      </c>
      <c r="AI202" s="8" t="str">
        <f>IF(RawSalesTable[[#This Row],[Month_Number]]&lt;=3,"Q1",IF(RawSalesTable[[#This Row],[Month_Number]]&lt;=6,"Q2",IF(RawSalesTable[[#This Row],[Month_Number]]&lt;=9,"Q3","Q4")))</f>
        <v>Q1</v>
      </c>
      <c r="AJ202" s="13">
        <f>DATE(YEAR(RawSalesTable[[#This Row],[Order_Date]]),MONTH(RawSalesTable[[#This Row],[Order_Date]]),1)</f>
        <v>45717</v>
      </c>
      <c r="AK202" s="8" t="str">
        <f>VLOOKUP(RawSalesTable[[#This Row],[Customer_ID_clean]],CustomersTable[],4,FALSE)</f>
        <v>Ontario</v>
      </c>
    </row>
    <row r="203" spans="1:37">
      <c r="A203" t="s">
        <v>556</v>
      </c>
      <c r="B203" s="3">
        <v>45772</v>
      </c>
      <c r="C203" t="s">
        <v>305</v>
      </c>
      <c r="D203" t="s">
        <v>226</v>
      </c>
      <c r="E203" t="s">
        <v>306</v>
      </c>
      <c r="F203" t="s">
        <v>103</v>
      </c>
      <c r="G203" t="s">
        <v>183</v>
      </c>
      <c r="H203" t="s">
        <v>89</v>
      </c>
      <c r="I203">
        <v>2</v>
      </c>
      <c r="J203" s="2">
        <v>216.07</v>
      </c>
      <c r="K203" s="4">
        <v>0.1</v>
      </c>
      <c r="L203" t="s">
        <v>90</v>
      </c>
      <c r="M203">
        <v>9</v>
      </c>
      <c r="N203" t="s">
        <v>91</v>
      </c>
      <c r="O203" t="str">
        <f>SUBSTITUTE(PROPER(TRIM(RawSalesTable[[#This Row],[Channel_Raw]])), "Market Place", "Marketplace")</f>
        <v>Online</v>
      </c>
      <c r="P203" t="str">
        <f>TRIM(RawSalesTable[[#This Row],[Store_Raw]])</f>
        <v>Vancouver West</v>
      </c>
      <c r="Q203" t="str">
        <f>IF(TRIM(RawSalesTable[[#This Row],[Payment_Method_Raw]])="","Non renseigné",SUBSTITUTE(TRIM(RawSalesTable[[#This Row],[Payment_Method_Raw]]),"CC","Credit Card"))</f>
        <v>PayPal</v>
      </c>
      <c r="R203" s="8" t="str">
        <f>UPPER(PROPER(RawSalesTable[[#This Row],[Customer_ID]]))</f>
        <v>C0055</v>
      </c>
      <c r="S203" s="8" t="str">
        <f>TRIM(LEFT(RawSalesTable[[#This Row],[Customer_Info]],FIND(",",RawSalesTable[[#This Row],[Customer_Info]]) -1))</f>
        <v>Sarah Scott</v>
      </c>
      <c r="T203" s="8" t="str">
        <f>TRIM(MID(RawSalesTable[[#This Row],[Customer_Info]],FIND(",",RawSalesTable[[#This Row],[Customer_Info]])+1,FIND(",",RawSalesTable[[#This Row],[Customer_Info]],FIND(",",RawSalesTable[[#This Row],[Customer_Info]])+1)-FIND(",",RawSalesTable[[#This Row],[Customer_Info]])-1))</f>
        <v>Surrey</v>
      </c>
      <c r="U203" s="8" t="str">
        <f>TRIM(RIGHT(RawSalesTable[[#This Row],[Customer_Info]], LEN(RawSalesTable[[#This Row],[Customer_Info]])-FIND(",",RawSalesTable[[#This Row],[Customer_Info]],FIND(",",RawSalesTable[[#This Row],[Customer_Info]])+1)))</f>
        <v>Consumer</v>
      </c>
      <c r="V203" s="8" t="str">
        <f>VLOOKUP(RawSalesTable[[#This Row],[Product_ID]],ProductsTable[],2,FALSE)</f>
        <v>Desk Lamp</v>
      </c>
      <c r="W203" s="8" t="str">
        <f>VLOOKUP(RawSalesTable[[#This Row],[Product_ID]],ProductsTable[],3,FALSE)</f>
        <v>Office</v>
      </c>
      <c r="X203" s="8">
        <f>VLOOKUP(RawSalesTable[[#This Row],[Product_ID]],ProductsTable[],5,FALSE)</f>
        <v>127.21</v>
      </c>
      <c r="Y203" s="8">
        <f>RawSalesTable[[#This Row],[Quantity]]*RawSalesTable[[#This Row],[Unit_Price]]</f>
        <v>432.14</v>
      </c>
      <c r="Z203" s="8">
        <f>RawSalesTable[[#This Row],[Gross_Sales]]*RawSalesTable[[#This Row],[Discount_Pct]]</f>
        <v>43.213999999999999</v>
      </c>
      <c r="AA203" s="8">
        <f>RawSalesTable[[#This Row],[Gross_Sales]]-RawSalesTable[[#This Row],[Discount_Amount]]</f>
        <v>388.92599999999999</v>
      </c>
      <c r="AB203" s="8">
        <f>RawSalesTable[[#This Row],[Unit_Cost]]*RawSalesTable[[#This Row],[Quantity]]</f>
        <v>254.42</v>
      </c>
      <c r="AC203" s="8">
        <f>RawSalesTable[[#This Row],[Net_Sales]]-RawSalesTable[[#This Row],[Total_Cost]]</f>
        <v>134.506</v>
      </c>
      <c r="AD203" s="9">
        <f>RawSalesTable[[#This Row],[Profit]]/RawSalesTable[[#This Row],[Net_Sales]]</f>
        <v>0.34583956845261055</v>
      </c>
      <c r="AE203" s="8">
        <f>IF(RawSalesTable[[#This Row],[Return_Status]]="Yes",1,0)</f>
        <v>0</v>
      </c>
      <c r="AF203" s="8">
        <f>YEAR(RawSalesTable[[#This Row],[Order_Date]])</f>
        <v>2025</v>
      </c>
      <c r="AG203" s="8">
        <f>MONTH(RawSalesTable[[#This Row],[Order_Date]])</f>
        <v>4</v>
      </c>
      <c r="AH203" s="8" t="str">
        <f>TEXT(RawSalesTable[[#This Row],[Order_Date]],"mmmm")</f>
        <v>avril</v>
      </c>
      <c r="AI203" s="8" t="str">
        <f>IF(RawSalesTable[[#This Row],[Month_Number]]&lt;=3,"Q1",IF(RawSalesTable[[#This Row],[Month_Number]]&lt;=6,"Q2",IF(RawSalesTable[[#This Row],[Month_Number]]&lt;=9,"Q3","Q4")))</f>
        <v>Q2</v>
      </c>
      <c r="AJ203" s="13">
        <f>DATE(YEAR(RawSalesTable[[#This Row],[Order_Date]]),MONTH(RawSalesTable[[#This Row],[Order_Date]]),1)</f>
        <v>45748</v>
      </c>
      <c r="AK203" s="8" t="str">
        <f>VLOOKUP(RawSalesTable[[#This Row],[Customer_ID_clean]],CustomersTable[],4,FALSE)</f>
        <v>British Columbia</v>
      </c>
    </row>
    <row r="204" spans="1:37">
      <c r="A204" t="s">
        <v>557</v>
      </c>
      <c r="B204" s="3">
        <v>45966</v>
      </c>
      <c r="C204" t="s">
        <v>305</v>
      </c>
      <c r="D204" t="s">
        <v>136</v>
      </c>
      <c r="E204" t="s">
        <v>306</v>
      </c>
      <c r="F204" t="s">
        <v>103</v>
      </c>
      <c r="G204" t="s">
        <v>104</v>
      </c>
      <c r="H204" t="s">
        <v>97</v>
      </c>
      <c r="I204">
        <v>3</v>
      </c>
      <c r="J204" s="2">
        <v>163.24</v>
      </c>
      <c r="K204" s="4">
        <v>0.2</v>
      </c>
      <c r="L204" t="s">
        <v>106</v>
      </c>
      <c r="M204">
        <v>1</v>
      </c>
      <c r="N204" t="s">
        <v>91</v>
      </c>
      <c r="O204" t="str">
        <f>SUBSTITUTE(PROPER(TRIM(RawSalesTable[[#This Row],[Channel_Raw]])), "Market Place", "Marketplace")</f>
        <v>Retail Store</v>
      </c>
      <c r="P204" t="str">
        <f>TRIM(RawSalesTable[[#This Row],[Store_Raw]])</f>
        <v>Vancouver West</v>
      </c>
      <c r="Q204" t="str">
        <f>IF(TRIM(RawSalesTable[[#This Row],[Payment_Method_Raw]])="","Non renseigné",SUBSTITUTE(TRIM(RawSalesTable[[#This Row],[Payment_Method_Raw]]),"CC","Credit Card"))</f>
        <v>Credit Card</v>
      </c>
      <c r="R204" s="8" t="str">
        <f>UPPER(PROPER(RawSalesTable[[#This Row],[Customer_ID]]))</f>
        <v>C0055</v>
      </c>
      <c r="S204" s="8" t="str">
        <f>TRIM(LEFT(RawSalesTable[[#This Row],[Customer_Info]],FIND(",",RawSalesTable[[#This Row],[Customer_Info]]) -1))</f>
        <v>Sarah Scott</v>
      </c>
      <c r="T204" s="8" t="str">
        <f>TRIM(MID(RawSalesTable[[#This Row],[Customer_Info]],FIND(",",RawSalesTable[[#This Row],[Customer_Info]])+1,FIND(",",RawSalesTable[[#This Row],[Customer_Info]],FIND(",",RawSalesTable[[#This Row],[Customer_Info]])+1)-FIND(",",RawSalesTable[[#This Row],[Customer_Info]])-1))</f>
        <v>Surrey</v>
      </c>
      <c r="U204" s="8" t="str">
        <f>TRIM(RIGHT(RawSalesTable[[#This Row],[Customer_Info]], LEN(RawSalesTable[[#This Row],[Customer_Info]])-FIND(",",RawSalesTable[[#This Row],[Customer_Info]],FIND(",",RawSalesTable[[#This Row],[Customer_Info]])+1)))</f>
        <v>Consumer</v>
      </c>
      <c r="V204" s="8" t="str">
        <f>VLOOKUP(RawSalesTable[[#This Row],[Product_ID]],ProductsTable[],2,FALSE)</f>
        <v>Mouse</v>
      </c>
      <c r="W204" s="8" t="str">
        <f>VLOOKUP(RawSalesTable[[#This Row],[Product_ID]],ProductsTable[],3,FALSE)</f>
        <v>Electronics</v>
      </c>
      <c r="X204" s="8">
        <f>VLOOKUP(RawSalesTable[[#This Row],[Product_ID]],ProductsTable[],5,FALSE)</f>
        <v>106.4</v>
      </c>
      <c r="Y204" s="8">
        <f>RawSalesTable[[#This Row],[Quantity]]*RawSalesTable[[#This Row],[Unit_Price]]</f>
        <v>489.72</v>
      </c>
      <c r="Z204" s="8">
        <f>RawSalesTable[[#This Row],[Gross_Sales]]*RawSalesTable[[#This Row],[Discount_Pct]]</f>
        <v>97.944000000000017</v>
      </c>
      <c r="AA204" s="8">
        <f>RawSalesTable[[#This Row],[Gross_Sales]]-RawSalesTable[[#This Row],[Discount_Amount]]</f>
        <v>391.77600000000001</v>
      </c>
      <c r="AB204" s="8">
        <f>RawSalesTable[[#This Row],[Unit_Cost]]*RawSalesTable[[#This Row],[Quantity]]</f>
        <v>319.20000000000005</v>
      </c>
      <c r="AC204" s="8">
        <f>RawSalesTable[[#This Row],[Net_Sales]]-RawSalesTable[[#This Row],[Total_Cost]]</f>
        <v>72.575999999999965</v>
      </c>
      <c r="AD204" s="9">
        <f>RawSalesTable[[#This Row],[Profit]]/RawSalesTable[[#This Row],[Net_Sales]]</f>
        <v>0.18524871355060024</v>
      </c>
      <c r="AE204" s="8">
        <f>IF(RawSalesTable[[#This Row],[Return_Status]]="Yes",1,0)</f>
        <v>0</v>
      </c>
      <c r="AF204" s="8">
        <f>YEAR(RawSalesTable[[#This Row],[Order_Date]])</f>
        <v>2025</v>
      </c>
      <c r="AG204" s="8">
        <f>MONTH(RawSalesTable[[#This Row],[Order_Date]])</f>
        <v>11</v>
      </c>
      <c r="AH204" s="8" t="str">
        <f>TEXT(RawSalesTable[[#This Row],[Order_Date]],"mmmm")</f>
        <v>novembre</v>
      </c>
      <c r="AI204" s="8" t="str">
        <f>IF(RawSalesTable[[#This Row],[Month_Number]]&lt;=3,"Q1",IF(RawSalesTable[[#This Row],[Month_Number]]&lt;=6,"Q2",IF(RawSalesTable[[#This Row],[Month_Number]]&lt;=9,"Q3","Q4")))</f>
        <v>Q4</v>
      </c>
      <c r="AJ204" s="13">
        <f>DATE(YEAR(RawSalesTable[[#This Row],[Order_Date]]),MONTH(RawSalesTable[[#This Row],[Order_Date]]),1)</f>
        <v>45962</v>
      </c>
      <c r="AK204" s="8" t="str">
        <f>VLOOKUP(RawSalesTable[[#This Row],[Customer_ID_clean]],CustomersTable[],4,FALSE)</f>
        <v>British Columbia</v>
      </c>
    </row>
    <row r="205" spans="1:37">
      <c r="A205" t="s">
        <v>558</v>
      </c>
      <c r="B205" s="3">
        <v>45962</v>
      </c>
      <c r="C205" t="s">
        <v>330</v>
      </c>
      <c r="D205" t="s">
        <v>190</v>
      </c>
      <c r="E205" t="s">
        <v>424</v>
      </c>
      <c r="F205" t="s">
        <v>87</v>
      </c>
      <c r="G205" t="s">
        <v>96</v>
      </c>
      <c r="H205" t="s">
        <v>89</v>
      </c>
      <c r="I205">
        <v>2</v>
      </c>
      <c r="J205" s="2">
        <v>286.33</v>
      </c>
      <c r="K205" s="4">
        <v>0</v>
      </c>
      <c r="L205" t="s">
        <v>106</v>
      </c>
      <c r="M205">
        <v>9</v>
      </c>
      <c r="N205" t="s">
        <v>91</v>
      </c>
      <c r="O205" t="str">
        <f>SUBSTITUTE(PROPER(TRIM(RawSalesTable[[#This Row],[Channel_Raw]])), "Market Place", "Marketplace")</f>
        <v>Online</v>
      </c>
      <c r="P205" t="str">
        <f>TRIM(RawSalesTable[[#This Row],[Store_Raw]])</f>
        <v>Online Fulfillment</v>
      </c>
      <c r="Q205" t="str">
        <f>IF(TRIM(RawSalesTable[[#This Row],[Payment_Method_Raw]])="","Non renseigné",SUBSTITUTE(TRIM(RawSalesTable[[#This Row],[Payment_Method_Raw]]),"CC","Credit Card"))</f>
        <v>Credit Card</v>
      </c>
      <c r="R205" s="8" t="str">
        <f>UPPER(PROPER(RawSalesTable[[#This Row],[Customer_ID]]))</f>
        <v>C0108</v>
      </c>
      <c r="S205" s="8" t="str">
        <f>TRIM(LEFT(RawSalesTable[[#This Row],[Customer_Info]],FIND(",",RawSalesTable[[#This Row],[Customer_Info]]) -1))</f>
        <v>Noah Lee</v>
      </c>
      <c r="T205" s="8" t="str">
        <f>TRIM(MID(RawSalesTable[[#This Row],[Customer_Info]],FIND(",",RawSalesTable[[#This Row],[Customer_Info]])+1,FIND(",",RawSalesTable[[#This Row],[Customer_Info]],FIND(",",RawSalesTable[[#This Row],[Customer_Info]])+1)-FIND(",",RawSalesTable[[#This Row],[Customer_Info]])-1))</f>
        <v>Surrey</v>
      </c>
      <c r="U205" s="8" t="str">
        <f>TRIM(RIGHT(RawSalesTable[[#This Row],[Customer_Info]], LEN(RawSalesTable[[#This Row],[Customer_Info]])-FIND(",",RawSalesTable[[#This Row],[Customer_Info]],FIND(",",RawSalesTable[[#This Row],[Customer_Info]])+1)))</f>
        <v>Consumer</v>
      </c>
      <c r="V205" s="8" t="str">
        <f>VLOOKUP(RawSalesTable[[#This Row],[Product_ID]],ProductsTable[],2,FALSE)</f>
        <v>Webcam</v>
      </c>
      <c r="W205" s="8" t="str">
        <f>VLOOKUP(RawSalesTable[[#This Row],[Product_ID]],ProductsTable[],3,FALSE)</f>
        <v>Electronics</v>
      </c>
      <c r="X205" s="8">
        <f>VLOOKUP(RawSalesTable[[#This Row],[Product_ID]],ProductsTable[],5,FALSE)</f>
        <v>154.72999999999999</v>
      </c>
      <c r="Y205" s="8">
        <f>RawSalesTable[[#This Row],[Quantity]]*RawSalesTable[[#This Row],[Unit_Price]]</f>
        <v>572.66</v>
      </c>
      <c r="Z205" s="8">
        <f>RawSalesTable[[#This Row],[Gross_Sales]]*RawSalesTable[[#This Row],[Discount_Pct]]</f>
        <v>0</v>
      </c>
      <c r="AA205" s="8">
        <f>RawSalesTable[[#This Row],[Gross_Sales]]-RawSalesTable[[#This Row],[Discount_Amount]]</f>
        <v>572.66</v>
      </c>
      <c r="AB205" s="8">
        <f>RawSalesTable[[#This Row],[Unit_Cost]]*RawSalesTable[[#This Row],[Quantity]]</f>
        <v>309.45999999999998</v>
      </c>
      <c r="AC205" s="8">
        <f>RawSalesTable[[#This Row],[Net_Sales]]-RawSalesTable[[#This Row],[Total_Cost]]</f>
        <v>263.2</v>
      </c>
      <c r="AD205" s="9">
        <f>RawSalesTable[[#This Row],[Profit]]/RawSalesTable[[#This Row],[Net_Sales]]</f>
        <v>0.45960954143820071</v>
      </c>
      <c r="AE205" s="8">
        <f>IF(RawSalesTable[[#This Row],[Return_Status]]="Yes",1,0)</f>
        <v>0</v>
      </c>
      <c r="AF205" s="8">
        <f>YEAR(RawSalesTable[[#This Row],[Order_Date]])</f>
        <v>2025</v>
      </c>
      <c r="AG205" s="8">
        <f>MONTH(RawSalesTable[[#This Row],[Order_Date]])</f>
        <v>11</v>
      </c>
      <c r="AH205" s="8" t="str">
        <f>TEXT(RawSalesTable[[#This Row],[Order_Date]],"mmmm")</f>
        <v>novembre</v>
      </c>
      <c r="AI205" s="8" t="str">
        <f>IF(RawSalesTable[[#This Row],[Month_Number]]&lt;=3,"Q1",IF(RawSalesTable[[#This Row],[Month_Number]]&lt;=6,"Q2",IF(RawSalesTable[[#This Row],[Month_Number]]&lt;=9,"Q3","Q4")))</f>
        <v>Q4</v>
      </c>
      <c r="AJ205" s="13">
        <f>DATE(YEAR(RawSalesTable[[#This Row],[Order_Date]]),MONTH(RawSalesTable[[#This Row],[Order_Date]]),1)</f>
        <v>45962</v>
      </c>
      <c r="AK205" s="8" t="str">
        <f>VLOOKUP(RawSalesTable[[#This Row],[Customer_ID_clean]],CustomersTable[],4,FALSE)</f>
        <v>British Columbia</v>
      </c>
    </row>
    <row r="206" spans="1:37">
      <c r="A206" t="s">
        <v>559</v>
      </c>
      <c r="B206" s="3">
        <v>45940</v>
      </c>
      <c r="C206" t="s">
        <v>239</v>
      </c>
      <c r="D206" t="s">
        <v>323</v>
      </c>
      <c r="E206" t="s">
        <v>560</v>
      </c>
      <c r="F206" t="s">
        <v>116</v>
      </c>
      <c r="G206" t="s">
        <v>88</v>
      </c>
      <c r="H206" t="s">
        <v>105</v>
      </c>
      <c r="I206">
        <v>2</v>
      </c>
      <c r="J206" s="2">
        <v>332.58</v>
      </c>
      <c r="K206" s="4">
        <v>0</v>
      </c>
      <c r="L206" t="s">
        <v>90</v>
      </c>
      <c r="M206">
        <v>2</v>
      </c>
      <c r="N206" t="s">
        <v>91</v>
      </c>
      <c r="O206" t="str">
        <f>SUBSTITUTE(PROPER(TRIM(RawSalesTable[[#This Row],[Channel_Raw]])), "Market Place", "Marketplace")</f>
        <v>Marketplace</v>
      </c>
      <c r="P206" t="str">
        <f>TRIM(RawSalesTable[[#This Row],[Store_Raw]])</f>
        <v>Toronto Downtown</v>
      </c>
      <c r="Q206" t="str">
        <f>IF(TRIM(RawSalesTable[[#This Row],[Payment_Method_Raw]])="","Non renseigné",SUBSTITUTE(TRIM(RawSalesTable[[#This Row],[Payment_Method_Raw]]),"CC","Credit Card"))</f>
        <v>PayPal</v>
      </c>
      <c r="R206" s="8" t="str">
        <f>UPPER(PROPER(RawSalesTable[[#This Row],[Customer_ID]]))</f>
        <v>C0089</v>
      </c>
      <c r="S206" s="8" t="str">
        <f>TRIM(LEFT(RawSalesTable[[#This Row],[Customer_Info]],FIND(",",RawSalesTable[[#This Row],[Customer_Info]]) -1))</f>
        <v>Lucas Martin</v>
      </c>
      <c r="T206" s="8" t="str">
        <f>TRIM(MID(RawSalesTable[[#This Row],[Customer_Info]],FIND(",",RawSalesTable[[#This Row],[Customer_Info]])+1,FIND(",",RawSalesTable[[#This Row],[Customer_Info]],FIND(",",RawSalesTable[[#This Row],[Customer_Info]])+1)-FIND(",",RawSalesTable[[#This Row],[Customer_Info]])-1))</f>
        <v>Vancouver</v>
      </c>
      <c r="U206" s="8" t="str">
        <f>TRIM(RIGHT(RawSalesTable[[#This Row],[Customer_Info]], LEN(RawSalesTable[[#This Row],[Customer_Info]])-FIND(",",RawSalesTable[[#This Row],[Customer_Info]],FIND(",",RawSalesTable[[#This Row],[Customer_Info]])+1)))</f>
        <v>Consumer</v>
      </c>
      <c r="V206" s="8" t="str">
        <f>VLOOKUP(RawSalesTable[[#This Row],[Product_ID]],ProductsTable[],2,FALSE)</f>
        <v>Toaster</v>
      </c>
      <c r="W206" s="8" t="str">
        <f>VLOOKUP(RawSalesTable[[#This Row],[Product_ID]],ProductsTable[],3,FALSE)</f>
        <v>Home</v>
      </c>
      <c r="X206" s="8">
        <f>VLOOKUP(RawSalesTable[[#This Row],[Product_ID]],ProductsTable[],5,FALSE)</f>
        <v>152.88</v>
      </c>
      <c r="Y206" s="8">
        <f>RawSalesTable[[#This Row],[Quantity]]*RawSalesTable[[#This Row],[Unit_Price]]</f>
        <v>665.16</v>
      </c>
      <c r="Z206" s="8">
        <f>RawSalesTable[[#This Row],[Gross_Sales]]*RawSalesTable[[#This Row],[Discount_Pct]]</f>
        <v>0</v>
      </c>
      <c r="AA206" s="8">
        <f>RawSalesTable[[#This Row],[Gross_Sales]]-RawSalesTable[[#This Row],[Discount_Amount]]</f>
        <v>665.16</v>
      </c>
      <c r="AB206" s="8">
        <f>RawSalesTable[[#This Row],[Unit_Cost]]*RawSalesTable[[#This Row],[Quantity]]</f>
        <v>305.76</v>
      </c>
      <c r="AC206" s="8">
        <f>RawSalesTable[[#This Row],[Net_Sales]]-RawSalesTable[[#This Row],[Total_Cost]]</f>
        <v>359.4</v>
      </c>
      <c r="AD206" s="9">
        <f>RawSalesTable[[#This Row],[Profit]]/RawSalesTable[[#This Row],[Net_Sales]]</f>
        <v>0.5403211257441819</v>
      </c>
      <c r="AE206" s="8">
        <f>IF(RawSalesTable[[#This Row],[Return_Status]]="Yes",1,0)</f>
        <v>0</v>
      </c>
      <c r="AF206" s="8">
        <f>YEAR(RawSalesTable[[#This Row],[Order_Date]])</f>
        <v>2025</v>
      </c>
      <c r="AG206" s="8">
        <f>MONTH(RawSalesTable[[#This Row],[Order_Date]])</f>
        <v>10</v>
      </c>
      <c r="AH206" s="8" t="str">
        <f>TEXT(RawSalesTable[[#This Row],[Order_Date]],"mmmm")</f>
        <v>octobre</v>
      </c>
      <c r="AI206" s="8" t="str">
        <f>IF(RawSalesTable[[#This Row],[Month_Number]]&lt;=3,"Q1",IF(RawSalesTable[[#This Row],[Month_Number]]&lt;=6,"Q2",IF(RawSalesTable[[#This Row],[Month_Number]]&lt;=9,"Q3","Q4")))</f>
        <v>Q4</v>
      </c>
      <c r="AJ206" s="13">
        <f>DATE(YEAR(RawSalesTable[[#This Row],[Order_Date]]),MONTH(RawSalesTable[[#This Row],[Order_Date]]),1)</f>
        <v>45931</v>
      </c>
      <c r="AK206" s="8" t="str">
        <f>VLOOKUP(RawSalesTable[[#This Row],[Customer_ID_clean]],CustomersTable[],4,FALSE)</f>
        <v>British Columbia</v>
      </c>
    </row>
    <row r="207" spans="1:37">
      <c r="A207" t="s">
        <v>561</v>
      </c>
      <c r="B207" s="3">
        <v>45809</v>
      </c>
      <c r="C207" t="s">
        <v>260</v>
      </c>
      <c r="D207" t="s">
        <v>469</v>
      </c>
      <c r="E207" t="s">
        <v>562</v>
      </c>
      <c r="F207" t="s">
        <v>116</v>
      </c>
      <c r="G207" t="s">
        <v>183</v>
      </c>
      <c r="H207" t="s">
        <v>97</v>
      </c>
      <c r="I207">
        <v>5</v>
      </c>
      <c r="J207" s="2">
        <v>88.5</v>
      </c>
      <c r="K207" s="4">
        <v>0</v>
      </c>
      <c r="L207" t="s">
        <v>98</v>
      </c>
      <c r="M207">
        <v>4</v>
      </c>
      <c r="N207" t="s">
        <v>91</v>
      </c>
      <c r="O207" t="str">
        <f>SUBSTITUTE(PROPER(TRIM(RawSalesTable[[#This Row],[Channel_Raw]])), "Market Place", "Marketplace")</f>
        <v>Retail Store</v>
      </c>
      <c r="P207" t="str">
        <f>TRIM(RawSalesTable[[#This Row],[Store_Raw]])</f>
        <v>Toronto Downtown</v>
      </c>
      <c r="Q207" t="str">
        <f>IF(TRIM(RawSalesTable[[#This Row],[Payment_Method_Raw]])="","Non renseigné",SUBSTITUTE(TRIM(RawSalesTable[[#This Row],[Payment_Method_Raw]]),"CC","Credit Card"))</f>
        <v>Debit Card</v>
      </c>
      <c r="R207" s="8" t="str">
        <f>UPPER(PROPER(RawSalesTable[[#This Row],[Customer_ID]]))</f>
        <v>C0076</v>
      </c>
      <c r="S207" s="8" t="str">
        <f>TRIM(LEFT(RawSalesTable[[#This Row],[Customer_Info]],FIND(",",RawSalesTable[[#This Row],[Customer_Info]]) -1))</f>
        <v>Maya Taylor</v>
      </c>
      <c r="T207" s="8" t="str">
        <f>TRIM(MID(RawSalesTable[[#This Row],[Customer_Info]],FIND(",",RawSalesTable[[#This Row],[Customer_Info]])+1,FIND(",",RawSalesTable[[#This Row],[Customer_Info]],FIND(",",RawSalesTable[[#This Row],[Customer_Info]])+1)-FIND(",",RawSalesTable[[#This Row],[Customer_Info]])-1))</f>
        <v>Saskatoon</v>
      </c>
      <c r="U207" s="8" t="str">
        <f>TRIM(RIGHT(RawSalesTable[[#This Row],[Customer_Info]], LEN(RawSalesTable[[#This Row],[Customer_Info]])-FIND(",",RawSalesTable[[#This Row],[Customer_Info]],FIND(",",RawSalesTable[[#This Row],[Customer_Info]])+1)))</f>
        <v>Corporate</v>
      </c>
      <c r="V207" s="8" t="str">
        <f>VLOOKUP(RawSalesTable[[#This Row],[Product_ID]],ProductsTable[],2,FALSE)</f>
        <v>Phone Stand</v>
      </c>
      <c r="W207" s="8" t="str">
        <f>VLOOKUP(RawSalesTable[[#This Row],[Product_ID]],ProductsTable[],3,FALSE)</f>
        <v>Accessories</v>
      </c>
      <c r="X207" s="8">
        <f>VLOOKUP(RawSalesTable[[#This Row],[Product_ID]],ProductsTable[],5,FALSE)</f>
        <v>59.85</v>
      </c>
      <c r="Y207" s="8">
        <f>RawSalesTable[[#This Row],[Quantity]]*RawSalesTable[[#This Row],[Unit_Price]]</f>
        <v>442.5</v>
      </c>
      <c r="Z207" s="8">
        <f>RawSalesTable[[#This Row],[Gross_Sales]]*RawSalesTable[[#This Row],[Discount_Pct]]</f>
        <v>0</v>
      </c>
      <c r="AA207" s="8">
        <f>RawSalesTable[[#This Row],[Gross_Sales]]-RawSalesTable[[#This Row],[Discount_Amount]]</f>
        <v>442.5</v>
      </c>
      <c r="AB207" s="8">
        <f>RawSalesTable[[#This Row],[Unit_Cost]]*RawSalesTable[[#This Row],[Quantity]]</f>
        <v>299.25</v>
      </c>
      <c r="AC207" s="8">
        <f>RawSalesTable[[#This Row],[Net_Sales]]-RawSalesTable[[#This Row],[Total_Cost]]</f>
        <v>143.25</v>
      </c>
      <c r="AD207" s="9">
        <f>RawSalesTable[[#This Row],[Profit]]/RawSalesTable[[#This Row],[Net_Sales]]</f>
        <v>0.32372881355932204</v>
      </c>
      <c r="AE207" s="8">
        <f>IF(RawSalesTable[[#This Row],[Return_Status]]="Yes",1,0)</f>
        <v>0</v>
      </c>
      <c r="AF207" s="8">
        <f>YEAR(RawSalesTable[[#This Row],[Order_Date]])</f>
        <v>2025</v>
      </c>
      <c r="AG207" s="8">
        <f>MONTH(RawSalesTable[[#This Row],[Order_Date]])</f>
        <v>6</v>
      </c>
      <c r="AH207" s="8" t="str">
        <f>TEXT(RawSalesTable[[#This Row],[Order_Date]],"mmmm")</f>
        <v>juin</v>
      </c>
      <c r="AI207" s="8" t="str">
        <f>IF(RawSalesTable[[#This Row],[Month_Number]]&lt;=3,"Q1",IF(RawSalesTable[[#This Row],[Month_Number]]&lt;=6,"Q2",IF(RawSalesTable[[#This Row],[Month_Number]]&lt;=9,"Q3","Q4")))</f>
        <v>Q2</v>
      </c>
      <c r="AJ207" s="13">
        <f>DATE(YEAR(RawSalesTable[[#This Row],[Order_Date]]),MONTH(RawSalesTable[[#This Row],[Order_Date]]),1)</f>
        <v>45809</v>
      </c>
      <c r="AK207" s="8" t="str">
        <f>VLOOKUP(RawSalesTable[[#This Row],[Customer_ID_clean]],CustomersTable[],4,FALSE)</f>
        <v>Saskatchewan</v>
      </c>
    </row>
    <row r="208" spans="1:37">
      <c r="A208" t="s">
        <v>563</v>
      </c>
      <c r="B208" s="3">
        <v>45728</v>
      </c>
      <c r="C208" t="s">
        <v>564</v>
      </c>
      <c r="D208" t="s">
        <v>221</v>
      </c>
      <c r="E208" t="s">
        <v>565</v>
      </c>
      <c r="F208" t="s">
        <v>111</v>
      </c>
      <c r="G208" t="s">
        <v>96</v>
      </c>
      <c r="H208" t="s">
        <v>308</v>
      </c>
      <c r="I208">
        <v>1</v>
      </c>
      <c r="J208" s="2">
        <v>29.43</v>
      </c>
      <c r="K208" s="4">
        <v>0</v>
      </c>
      <c r="L208" t="s">
        <v>90</v>
      </c>
      <c r="M208">
        <v>6</v>
      </c>
      <c r="N208" t="s">
        <v>91</v>
      </c>
      <c r="O208" t="str">
        <f>SUBSTITUTE(PROPER(TRIM(RawSalesTable[[#This Row],[Channel_Raw]])), "Market Place", "Marketplace")</f>
        <v>Online</v>
      </c>
      <c r="P208" t="str">
        <f>TRIM(RawSalesTable[[#This Row],[Store_Raw]])</f>
        <v>Montreal Central</v>
      </c>
      <c r="Q208" t="str">
        <f>IF(TRIM(RawSalesTable[[#This Row],[Payment_Method_Raw]])="","Non renseigné",SUBSTITUTE(TRIM(RawSalesTable[[#This Row],[Payment_Method_Raw]]),"CC","Credit Card"))</f>
        <v>PayPal</v>
      </c>
      <c r="R208" s="8" t="str">
        <f>UPPER(PROPER(RawSalesTable[[#This Row],[Customer_ID]]))</f>
        <v>C0095</v>
      </c>
      <c r="S208" s="8" t="str">
        <f>TRIM(LEFT(RawSalesTable[[#This Row],[Customer_Info]],FIND(",",RawSalesTable[[#This Row],[Customer_Info]]) -1))</f>
        <v>Maya White</v>
      </c>
      <c r="T208" s="8" t="str">
        <f>TRIM(MID(RawSalesTable[[#This Row],[Customer_Info]],FIND(",",RawSalesTable[[#This Row],[Customer_Info]])+1,FIND(",",RawSalesTable[[#This Row],[Customer_Info]],FIND(",",RawSalesTable[[#This Row],[Customer_Info]])+1)-FIND(",",RawSalesTable[[#This Row],[Customer_Info]])-1))</f>
        <v>Quebec City</v>
      </c>
      <c r="U208" s="8" t="str">
        <f>TRIM(RIGHT(RawSalesTable[[#This Row],[Customer_Info]], LEN(RawSalesTable[[#This Row],[Customer_Info]])-FIND(",",RawSalesTable[[#This Row],[Customer_Info]],FIND(",",RawSalesTable[[#This Row],[Customer_Info]])+1)))</f>
        <v>Corporate</v>
      </c>
      <c r="V208" s="8" t="str">
        <f>VLOOKUP(RawSalesTable[[#This Row],[Product_ID]],ProductsTable[],2,FALSE)</f>
        <v>Air Fryer</v>
      </c>
      <c r="W208" s="8" t="str">
        <f>VLOOKUP(RawSalesTable[[#This Row],[Product_ID]],ProductsTable[],3,FALSE)</f>
        <v>Home</v>
      </c>
      <c r="X208" s="8">
        <f>VLOOKUP(RawSalesTable[[#This Row],[Product_ID]],ProductsTable[],5,FALSE)</f>
        <v>14.58</v>
      </c>
      <c r="Y208" s="8">
        <f>RawSalesTable[[#This Row],[Quantity]]*RawSalesTable[[#This Row],[Unit_Price]]</f>
        <v>29.43</v>
      </c>
      <c r="Z208" s="8">
        <f>RawSalesTable[[#This Row],[Gross_Sales]]*RawSalesTable[[#This Row],[Discount_Pct]]</f>
        <v>0</v>
      </c>
      <c r="AA208" s="8">
        <f>RawSalesTable[[#This Row],[Gross_Sales]]-RawSalesTable[[#This Row],[Discount_Amount]]</f>
        <v>29.43</v>
      </c>
      <c r="AB208" s="8">
        <f>RawSalesTable[[#This Row],[Unit_Cost]]*RawSalesTable[[#This Row],[Quantity]]</f>
        <v>14.58</v>
      </c>
      <c r="AC208" s="8">
        <f>RawSalesTable[[#This Row],[Net_Sales]]-RawSalesTable[[#This Row],[Total_Cost]]</f>
        <v>14.85</v>
      </c>
      <c r="AD208" s="9">
        <f>RawSalesTable[[#This Row],[Profit]]/RawSalesTable[[#This Row],[Net_Sales]]</f>
        <v>0.50458715596330272</v>
      </c>
      <c r="AE208" s="8">
        <f>IF(RawSalesTable[[#This Row],[Return_Status]]="Yes",1,0)</f>
        <v>0</v>
      </c>
      <c r="AF208" s="8">
        <f>YEAR(RawSalesTable[[#This Row],[Order_Date]])</f>
        <v>2025</v>
      </c>
      <c r="AG208" s="8">
        <f>MONTH(RawSalesTable[[#This Row],[Order_Date]])</f>
        <v>3</v>
      </c>
      <c r="AH208" s="8" t="str">
        <f>TEXT(RawSalesTable[[#This Row],[Order_Date]],"mmmm")</f>
        <v>mars</v>
      </c>
      <c r="AI208" s="8" t="str">
        <f>IF(RawSalesTable[[#This Row],[Month_Number]]&lt;=3,"Q1",IF(RawSalesTable[[#This Row],[Month_Number]]&lt;=6,"Q2",IF(RawSalesTable[[#This Row],[Month_Number]]&lt;=9,"Q3","Q4")))</f>
        <v>Q1</v>
      </c>
      <c r="AJ208" s="13">
        <f>DATE(YEAR(RawSalesTable[[#This Row],[Order_Date]]),MONTH(RawSalesTable[[#This Row],[Order_Date]]),1)</f>
        <v>45717</v>
      </c>
      <c r="AK208" s="8" t="str">
        <f>VLOOKUP(RawSalesTable[[#This Row],[Customer_ID_clean]],CustomersTable[],4,FALSE)</f>
        <v>Quebec</v>
      </c>
    </row>
    <row r="209" spans="1:37">
      <c r="A209" t="s">
        <v>566</v>
      </c>
      <c r="B209" s="3">
        <v>45992</v>
      </c>
      <c r="C209" t="s">
        <v>551</v>
      </c>
      <c r="D209" t="s">
        <v>174</v>
      </c>
      <c r="E209" t="s">
        <v>552</v>
      </c>
      <c r="F209" t="s">
        <v>116</v>
      </c>
      <c r="G209" t="s">
        <v>122</v>
      </c>
      <c r="H209" t="s">
        <v>97</v>
      </c>
      <c r="I209">
        <v>2</v>
      </c>
      <c r="J209" s="2">
        <v>36.86</v>
      </c>
      <c r="K209" s="4">
        <v>0.05</v>
      </c>
      <c r="L209" t="s">
        <v>106</v>
      </c>
      <c r="M209">
        <v>4</v>
      </c>
      <c r="N209" t="s">
        <v>91</v>
      </c>
      <c r="O209" t="str">
        <f>SUBSTITUTE(PROPER(TRIM(RawSalesTable[[#This Row],[Channel_Raw]])), "Market Place", "Marketplace")</f>
        <v>Retail Store</v>
      </c>
      <c r="P209" t="str">
        <f>TRIM(RawSalesTable[[#This Row],[Store_Raw]])</f>
        <v>Toronto Downtown</v>
      </c>
      <c r="Q209" t="str">
        <f>IF(TRIM(RawSalesTable[[#This Row],[Payment_Method_Raw]])="","Non renseigné",SUBSTITUTE(TRIM(RawSalesTable[[#This Row],[Payment_Method_Raw]]),"CC","Credit Card"))</f>
        <v>Credit Card</v>
      </c>
      <c r="R209" s="8" t="str">
        <f>UPPER(PROPER(RawSalesTable[[#This Row],[Customer_ID]]))</f>
        <v>C0094</v>
      </c>
      <c r="S209" s="8" t="str">
        <f>TRIM(LEFT(RawSalesTable[[#This Row],[Customer_Info]],FIND(",",RawSalesTable[[#This Row],[Customer_Info]]) -1))</f>
        <v>Mia Singh</v>
      </c>
      <c r="T209" s="8" t="str">
        <f>TRIM(MID(RawSalesTable[[#This Row],[Customer_Info]],FIND(",",RawSalesTable[[#This Row],[Customer_Info]])+1,FIND(",",RawSalesTable[[#This Row],[Customer_Info]],FIND(",",RawSalesTable[[#This Row],[Customer_Info]])+1)-FIND(",",RawSalesTable[[#This Row],[Customer_Info]])-1))</f>
        <v>Quebec City</v>
      </c>
      <c r="U209" s="8" t="str">
        <f>TRIM(RIGHT(RawSalesTable[[#This Row],[Customer_Info]], LEN(RawSalesTable[[#This Row],[Customer_Info]])-FIND(",",RawSalesTable[[#This Row],[Customer_Info]],FIND(",",RawSalesTable[[#This Row],[Customer_Info]])+1)))</f>
        <v>Consumer</v>
      </c>
      <c r="V209" s="8" t="str">
        <f>VLOOKUP(RawSalesTable[[#This Row],[Product_ID]],ProductsTable[],2,FALSE)</f>
        <v>Keyboard</v>
      </c>
      <c r="W209" s="8" t="str">
        <f>VLOOKUP(RawSalesTable[[#This Row],[Product_ID]],ProductsTable[],3,FALSE)</f>
        <v>Electronics</v>
      </c>
      <c r="X209" s="8">
        <f>VLOOKUP(RawSalesTable[[#This Row],[Product_ID]],ProductsTable[],5,FALSE)</f>
        <v>23.5</v>
      </c>
      <c r="Y209" s="8">
        <f>RawSalesTable[[#This Row],[Quantity]]*RawSalesTable[[#This Row],[Unit_Price]]</f>
        <v>73.72</v>
      </c>
      <c r="Z209" s="8">
        <f>RawSalesTable[[#This Row],[Gross_Sales]]*RawSalesTable[[#This Row],[Discount_Pct]]</f>
        <v>3.6859999999999999</v>
      </c>
      <c r="AA209" s="8">
        <f>RawSalesTable[[#This Row],[Gross_Sales]]-RawSalesTable[[#This Row],[Discount_Amount]]</f>
        <v>70.033999999999992</v>
      </c>
      <c r="AB209" s="8">
        <f>RawSalesTable[[#This Row],[Unit_Cost]]*RawSalesTable[[#This Row],[Quantity]]</f>
        <v>47</v>
      </c>
      <c r="AC209" s="8">
        <f>RawSalesTable[[#This Row],[Net_Sales]]-RawSalesTable[[#This Row],[Total_Cost]]</f>
        <v>23.033999999999992</v>
      </c>
      <c r="AD209" s="9">
        <f>RawSalesTable[[#This Row],[Profit]]/RawSalesTable[[#This Row],[Net_Sales]]</f>
        <v>0.32889739269497664</v>
      </c>
      <c r="AE209" s="8">
        <f>IF(RawSalesTable[[#This Row],[Return_Status]]="Yes",1,0)</f>
        <v>0</v>
      </c>
      <c r="AF209" s="8">
        <f>YEAR(RawSalesTable[[#This Row],[Order_Date]])</f>
        <v>2025</v>
      </c>
      <c r="AG209" s="8">
        <f>MONTH(RawSalesTable[[#This Row],[Order_Date]])</f>
        <v>12</v>
      </c>
      <c r="AH209" s="8" t="str">
        <f>TEXT(RawSalesTable[[#This Row],[Order_Date]],"mmmm")</f>
        <v>décembre</v>
      </c>
      <c r="AI209" s="8" t="str">
        <f>IF(RawSalesTable[[#This Row],[Month_Number]]&lt;=3,"Q1",IF(RawSalesTable[[#This Row],[Month_Number]]&lt;=6,"Q2",IF(RawSalesTable[[#This Row],[Month_Number]]&lt;=9,"Q3","Q4")))</f>
        <v>Q4</v>
      </c>
      <c r="AJ209" s="13">
        <f>DATE(YEAR(RawSalesTable[[#This Row],[Order_Date]]),MONTH(RawSalesTable[[#This Row],[Order_Date]]),1)</f>
        <v>45992</v>
      </c>
      <c r="AK209" s="8" t="str">
        <f>VLOOKUP(RawSalesTable[[#This Row],[Customer_ID_clean]],CustomersTable[],4,FALSE)</f>
        <v>Quebec</v>
      </c>
    </row>
    <row r="210" spans="1:37">
      <c r="A210" t="s">
        <v>567</v>
      </c>
      <c r="B210" s="3">
        <v>45790</v>
      </c>
      <c r="C210" t="s">
        <v>100</v>
      </c>
      <c r="D210" t="s">
        <v>303</v>
      </c>
      <c r="E210" t="s">
        <v>102</v>
      </c>
      <c r="F210" t="s">
        <v>87</v>
      </c>
      <c r="G210" t="s">
        <v>88</v>
      </c>
      <c r="H210" t="s">
        <v>89</v>
      </c>
      <c r="I210">
        <v>3</v>
      </c>
      <c r="J210" s="2">
        <v>163.46</v>
      </c>
      <c r="K210" s="4">
        <v>0.05</v>
      </c>
      <c r="L210" t="s">
        <v>90</v>
      </c>
      <c r="M210">
        <v>3</v>
      </c>
      <c r="N210" t="s">
        <v>91</v>
      </c>
      <c r="O210" t="str">
        <f>SUBSTITUTE(PROPER(TRIM(RawSalesTable[[#This Row],[Channel_Raw]])), "Market Place", "Marketplace")</f>
        <v>Online</v>
      </c>
      <c r="P210" t="str">
        <f>TRIM(RawSalesTable[[#This Row],[Store_Raw]])</f>
        <v>Online Fulfillment</v>
      </c>
      <c r="Q210" t="str">
        <f>IF(TRIM(RawSalesTable[[#This Row],[Payment_Method_Raw]])="","Non renseigné",SUBSTITUTE(TRIM(RawSalesTable[[#This Row],[Payment_Method_Raw]]),"CC","Credit Card"))</f>
        <v>PayPal</v>
      </c>
      <c r="R210" s="8" t="str">
        <f>UPPER(PROPER(RawSalesTable[[#This Row],[Customer_ID]]))</f>
        <v>C0003</v>
      </c>
      <c r="S210" s="8" t="str">
        <f>TRIM(LEFT(RawSalesTable[[#This Row],[Customer_Info]],FIND(",",RawSalesTable[[#This Row],[Customer_Info]]) -1))</f>
        <v>Amelia Young</v>
      </c>
      <c r="T210" s="8" t="str">
        <f>TRIM(MID(RawSalesTable[[#This Row],[Customer_Info]],FIND(",",RawSalesTable[[#This Row],[Customer_Info]])+1,FIND(",",RawSalesTable[[#This Row],[Customer_Info]],FIND(",",RawSalesTable[[#This Row],[Customer_Info]])+1)-FIND(",",RawSalesTable[[#This Row],[Customer_Info]])-1))</f>
        <v>Ottawa</v>
      </c>
      <c r="U210" s="8" t="str">
        <f>TRIM(RIGHT(RawSalesTable[[#This Row],[Customer_Info]], LEN(RawSalesTable[[#This Row],[Customer_Info]])-FIND(",",RawSalesTable[[#This Row],[Customer_Info]],FIND(",",RawSalesTable[[#This Row],[Customer_Info]])+1)))</f>
        <v>Corporate</v>
      </c>
      <c r="V210" s="8" t="str">
        <f>VLOOKUP(RawSalesTable[[#This Row],[Product_ID]],ProductsTable[],2,FALSE)</f>
        <v>Power Bank</v>
      </c>
      <c r="W210" s="8" t="str">
        <f>VLOOKUP(RawSalesTable[[#This Row],[Product_ID]],ProductsTable[],3,FALSE)</f>
        <v>Accessories</v>
      </c>
      <c r="X210" s="8">
        <f>VLOOKUP(RawSalesTable[[#This Row],[Product_ID]],ProductsTable[],5,FALSE)</f>
        <v>76.97</v>
      </c>
      <c r="Y210" s="8">
        <f>RawSalesTable[[#This Row],[Quantity]]*RawSalesTable[[#This Row],[Unit_Price]]</f>
        <v>490.38</v>
      </c>
      <c r="Z210" s="8">
        <f>RawSalesTable[[#This Row],[Gross_Sales]]*RawSalesTable[[#This Row],[Discount_Pct]]</f>
        <v>24.519000000000002</v>
      </c>
      <c r="AA210" s="8">
        <f>RawSalesTable[[#This Row],[Gross_Sales]]-RawSalesTable[[#This Row],[Discount_Amount]]</f>
        <v>465.86099999999999</v>
      </c>
      <c r="AB210" s="8">
        <f>RawSalesTable[[#This Row],[Unit_Cost]]*RawSalesTable[[#This Row],[Quantity]]</f>
        <v>230.91</v>
      </c>
      <c r="AC210" s="8">
        <f>RawSalesTable[[#This Row],[Net_Sales]]-RawSalesTable[[#This Row],[Total_Cost]]</f>
        <v>234.95099999999999</v>
      </c>
      <c r="AD210" s="9">
        <f>RawSalesTable[[#This Row],[Profit]]/RawSalesTable[[#This Row],[Net_Sales]]</f>
        <v>0.50433713060333452</v>
      </c>
      <c r="AE210" s="8">
        <f>IF(RawSalesTable[[#This Row],[Return_Status]]="Yes",1,0)</f>
        <v>0</v>
      </c>
      <c r="AF210" s="8">
        <f>YEAR(RawSalesTable[[#This Row],[Order_Date]])</f>
        <v>2025</v>
      </c>
      <c r="AG210" s="8">
        <f>MONTH(RawSalesTable[[#This Row],[Order_Date]])</f>
        <v>5</v>
      </c>
      <c r="AH210" s="8" t="str">
        <f>TEXT(RawSalesTable[[#This Row],[Order_Date]],"mmmm")</f>
        <v>mai</v>
      </c>
      <c r="AI210" s="8" t="str">
        <f>IF(RawSalesTable[[#This Row],[Month_Number]]&lt;=3,"Q1",IF(RawSalesTable[[#This Row],[Month_Number]]&lt;=6,"Q2",IF(RawSalesTable[[#This Row],[Month_Number]]&lt;=9,"Q3","Q4")))</f>
        <v>Q2</v>
      </c>
      <c r="AJ210" s="13">
        <f>DATE(YEAR(RawSalesTable[[#This Row],[Order_Date]]),MONTH(RawSalesTable[[#This Row],[Order_Date]]),1)</f>
        <v>45778</v>
      </c>
      <c r="AK210" s="8" t="str">
        <f>VLOOKUP(RawSalesTable[[#This Row],[Customer_ID_clean]],CustomersTable[],4,FALSE)</f>
        <v>Ontario</v>
      </c>
    </row>
    <row r="211" spans="1:37">
      <c r="A211" t="s">
        <v>568</v>
      </c>
      <c r="B211" s="3">
        <v>45812</v>
      </c>
      <c r="C211" t="s">
        <v>569</v>
      </c>
      <c r="D211" t="s">
        <v>120</v>
      </c>
      <c r="E211" t="s">
        <v>570</v>
      </c>
      <c r="F211" t="s">
        <v>116</v>
      </c>
      <c r="G211" t="s">
        <v>88</v>
      </c>
      <c r="H211" t="s">
        <v>228</v>
      </c>
      <c r="I211">
        <v>2</v>
      </c>
      <c r="J211" s="2">
        <v>388.34</v>
      </c>
      <c r="K211" s="4">
        <v>0.05</v>
      </c>
      <c r="L211" t="s">
        <v>90</v>
      </c>
      <c r="M211">
        <v>5</v>
      </c>
      <c r="N211" t="s">
        <v>147</v>
      </c>
      <c r="O211" t="str">
        <f>SUBSTITUTE(PROPER(TRIM(RawSalesTable[[#This Row],[Channel_Raw]])), "Market Place", "Marketplace")</f>
        <v>Online</v>
      </c>
      <c r="P211" t="str">
        <f>TRIM(RawSalesTable[[#This Row],[Store_Raw]])</f>
        <v>Toronto Downtown</v>
      </c>
      <c r="Q211" t="str">
        <f>IF(TRIM(RawSalesTable[[#This Row],[Payment_Method_Raw]])="","Non renseigné",SUBSTITUTE(TRIM(RawSalesTable[[#This Row],[Payment_Method_Raw]]),"CC","Credit Card"))</f>
        <v>PayPal</v>
      </c>
      <c r="R211" s="8" t="str">
        <f>UPPER(PROPER(RawSalesTable[[#This Row],[Customer_ID]]))</f>
        <v>C0087</v>
      </c>
      <c r="S211" s="8" t="str">
        <f>TRIM(LEFT(RawSalesTable[[#This Row],[Customer_Info]],FIND(",",RawSalesTable[[#This Row],[Customer_Info]]) -1))</f>
        <v>Daniel Johnson</v>
      </c>
      <c r="T211" s="8" t="str">
        <f>TRIM(MID(RawSalesTable[[#This Row],[Customer_Info]],FIND(",",RawSalesTable[[#This Row],[Customer_Info]])+1,FIND(",",RawSalesTable[[#This Row],[Customer_Info]],FIND(",",RawSalesTable[[#This Row],[Customer_Info]])+1)-FIND(",",RawSalesTable[[#This Row],[Customer_Info]])-1))</f>
        <v>Halifax</v>
      </c>
      <c r="U211" s="8" t="str">
        <f>TRIM(RIGHT(RawSalesTable[[#This Row],[Customer_Info]], LEN(RawSalesTable[[#This Row],[Customer_Info]])-FIND(",",RawSalesTable[[#This Row],[Customer_Info]],FIND(",",RawSalesTable[[#This Row],[Customer_Info]])+1)))</f>
        <v>Consumer</v>
      </c>
      <c r="V211" s="8" t="str">
        <f>VLOOKUP(RawSalesTable[[#This Row],[Product_ID]],ProductsTable[],2,FALSE)</f>
        <v>Desk Organizer</v>
      </c>
      <c r="W211" s="8" t="str">
        <f>VLOOKUP(RawSalesTable[[#This Row],[Product_ID]],ProductsTable[],3,FALSE)</f>
        <v>Office</v>
      </c>
      <c r="X211" s="8">
        <f>VLOOKUP(RawSalesTable[[#This Row],[Product_ID]],ProductsTable[],5,FALSE)</f>
        <v>235.76</v>
      </c>
      <c r="Y211" s="8">
        <f>RawSalesTable[[#This Row],[Quantity]]*RawSalesTable[[#This Row],[Unit_Price]]</f>
        <v>776.68</v>
      </c>
      <c r="Z211" s="8">
        <f>RawSalesTable[[#This Row],[Gross_Sales]]*RawSalesTable[[#This Row],[Discount_Pct]]</f>
        <v>38.834000000000003</v>
      </c>
      <c r="AA211" s="8">
        <f>RawSalesTable[[#This Row],[Gross_Sales]]-RawSalesTable[[#This Row],[Discount_Amount]]</f>
        <v>737.846</v>
      </c>
      <c r="AB211" s="8">
        <f>RawSalesTable[[#This Row],[Unit_Cost]]*RawSalesTable[[#This Row],[Quantity]]</f>
        <v>471.52</v>
      </c>
      <c r="AC211" s="8">
        <f>RawSalesTable[[#This Row],[Net_Sales]]-RawSalesTable[[#This Row],[Total_Cost]]</f>
        <v>266.32600000000002</v>
      </c>
      <c r="AD211" s="9">
        <f>RawSalesTable[[#This Row],[Profit]]/RawSalesTable[[#This Row],[Net_Sales]]</f>
        <v>0.36095065908062118</v>
      </c>
      <c r="AE211" s="8">
        <f>IF(RawSalesTable[[#This Row],[Return_Status]]="Yes",1,0)</f>
        <v>1</v>
      </c>
      <c r="AF211" s="8">
        <f>YEAR(RawSalesTable[[#This Row],[Order_Date]])</f>
        <v>2025</v>
      </c>
      <c r="AG211" s="8">
        <f>MONTH(RawSalesTable[[#This Row],[Order_Date]])</f>
        <v>6</v>
      </c>
      <c r="AH211" s="8" t="str">
        <f>TEXT(RawSalesTable[[#This Row],[Order_Date]],"mmmm")</f>
        <v>juin</v>
      </c>
      <c r="AI211" s="8" t="str">
        <f>IF(RawSalesTable[[#This Row],[Month_Number]]&lt;=3,"Q1",IF(RawSalesTable[[#This Row],[Month_Number]]&lt;=6,"Q2",IF(RawSalesTable[[#This Row],[Month_Number]]&lt;=9,"Q3","Q4")))</f>
        <v>Q2</v>
      </c>
      <c r="AJ211" s="13">
        <f>DATE(YEAR(RawSalesTable[[#This Row],[Order_Date]]),MONTH(RawSalesTable[[#This Row],[Order_Date]]),1)</f>
        <v>45809</v>
      </c>
      <c r="AK211" s="8" t="str">
        <f>VLOOKUP(RawSalesTable[[#This Row],[Customer_ID_clean]],CustomersTable[],4,FALSE)</f>
        <v>Nova Scotia</v>
      </c>
    </row>
    <row r="212" spans="1:37">
      <c r="A212" t="s">
        <v>571</v>
      </c>
      <c r="B212" s="3">
        <v>45691</v>
      </c>
      <c r="C212" t="s">
        <v>119</v>
      </c>
      <c r="D212" t="s">
        <v>165</v>
      </c>
      <c r="E212" t="s">
        <v>121</v>
      </c>
      <c r="F212" t="s">
        <v>103</v>
      </c>
      <c r="G212" t="s">
        <v>130</v>
      </c>
      <c r="H212" t="s">
        <v>89</v>
      </c>
      <c r="I212">
        <v>1</v>
      </c>
      <c r="J212" s="2">
        <v>105.22</v>
      </c>
      <c r="K212" s="4">
        <v>0.15</v>
      </c>
      <c r="L212" t="s">
        <v>106</v>
      </c>
      <c r="M212">
        <v>5</v>
      </c>
      <c r="N212" t="s">
        <v>91</v>
      </c>
      <c r="O212" t="str">
        <f>SUBSTITUTE(PROPER(TRIM(RawSalesTable[[#This Row],[Channel_Raw]])), "Market Place", "Marketplace")</f>
        <v>Online</v>
      </c>
      <c r="P212" t="str">
        <f>TRIM(RawSalesTable[[#This Row],[Store_Raw]])</f>
        <v>Vancouver West</v>
      </c>
      <c r="Q212" t="str">
        <f>IF(TRIM(RawSalesTable[[#This Row],[Payment_Method_Raw]])="","Non renseigné",SUBSTITUTE(TRIM(RawSalesTable[[#This Row],[Payment_Method_Raw]]),"CC","Credit Card"))</f>
        <v>Credit Card</v>
      </c>
      <c r="R212" s="8" t="str">
        <f>UPPER(PROPER(RawSalesTable[[#This Row],[Customer_ID]]))</f>
        <v>C0057</v>
      </c>
      <c r="S212" s="8" t="str">
        <f>TRIM(LEFT(RawSalesTable[[#This Row],[Customer_Info]],FIND(",",RawSalesTable[[#This Row],[Customer_Info]]) -1))</f>
        <v>Adam Khan</v>
      </c>
      <c r="T212" s="8" t="str">
        <f>TRIM(MID(RawSalesTable[[#This Row],[Customer_Info]],FIND(",",RawSalesTable[[#This Row],[Customer_Info]])+1,FIND(",",RawSalesTable[[#This Row],[Customer_Info]],FIND(",",RawSalesTable[[#This Row],[Customer_Info]])+1)-FIND(",",RawSalesTable[[#This Row],[Customer_Info]])-1))</f>
        <v>Edmonton</v>
      </c>
      <c r="U212" s="8" t="str">
        <f>TRIM(RIGHT(RawSalesTable[[#This Row],[Customer_Info]], LEN(RawSalesTable[[#This Row],[Customer_Info]])-FIND(",",RawSalesTable[[#This Row],[Customer_Info]],FIND(",",RawSalesTable[[#This Row],[Customer_Info]])+1)))</f>
        <v>Small Business</v>
      </c>
      <c r="V212" s="8" t="str">
        <f>VLOOKUP(RawSalesTable[[#This Row],[Product_ID]],ProductsTable[],2,FALSE)</f>
        <v>Food Scale</v>
      </c>
      <c r="W212" s="8" t="str">
        <f>VLOOKUP(RawSalesTable[[#This Row],[Product_ID]],ProductsTable[],3,FALSE)</f>
        <v>Home</v>
      </c>
      <c r="X212" s="8">
        <f>VLOOKUP(RawSalesTable[[#This Row],[Product_ID]],ProductsTable[],5,FALSE)</f>
        <v>46.07</v>
      </c>
      <c r="Y212" s="8">
        <f>RawSalesTable[[#This Row],[Quantity]]*RawSalesTable[[#This Row],[Unit_Price]]</f>
        <v>105.22</v>
      </c>
      <c r="Z212" s="8">
        <f>RawSalesTable[[#This Row],[Gross_Sales]]*RawSalesTable[[#This Row],[Discount_Pct]]</f>
        <v>15.782999999999999</v>
      </c>
      <c r="AA212" s="8">
        <f>RawSalesTable[[#This Row],[Gross_Sales]]-RawSalesTable[[#This Row],[Discount_Amount]]</f>
        <v>89.436999999999998</v>
      </c>
      <c r="AB212" s="8">
        <f>RawSalesTable[[#This Row],[Unit_Cost]]*RawSalesTable[[#This Row],[Quantity]]</f>
        <v>46.07</v>
      </c>
      <c r="AC212" s="8">
        <f>RawSalesTable[[#This Row],[Net_Sales]]-RawSalesTable[[#This Row],[Total_Cost]]</f>
        <v>43.366999999999997</v>
      </c>
      <c r="AD212" s="9">
        <f>RawSalesTable[[#This Row],[Profit]]/RawSalesTable[[#This Row],[Net_Sales]]</f>
        <v>0.48488880440980803</v>
      </c>
      <c r="AE212" s="8">
        <f>IF(RawSalesTable[[#This Row],[Return_Status]]="Yes",1,0)</f>
        <v>0</v>
      </c>
      <c r="AF212" s="8">
        <f>YEAR(RawSalesTable[[#This Row],[Order_Date]])</f>
        <v>2025</v>
      </c>
      <c r="AG212" s="8">
        <f>MONTH(RawSalesTable[[#This Row],[Order_Date]])</f>
        <v>2</v>
      </c>
      <c r="AH212" s="8" t="str">
        <f>TEXT(RawSalesTable[[#This Row],[Order_Date]],"mmmm")</f>
        <v>février</v>
      </c>
      <c r="AI212" s="8" t="str">
        <f>IF(RawSalesTable[[#This Row],[Month_Number]]&lt;=3,"Q1",IF(RawSalesTable[[#This Row],[Month_Number]]&lt;=6,"Q2",IF(RawSalesTable[[#This Row],[Month_Number]]&lt;=9,"Q3","Q4")))</f>
        <v>Q1</v>
      </c>
      <c r="AJ212" s="13">
        <f>DATE(YEAR(RawSalesTable[[#This Row],[Order_Date]]),MONTH(RawSalesTable[[#This Row],[Order_Date]]),1)</f>
        <v>45689</v>
      </c>
      <c r="AK212" s="8" t="str">
        <f>VLOOKUP(RawSalesTable[[#This Row],[Customer_ID_clean]],CustomersTable[],4,FALSE)</f>
        <v>Alberta</v>
      </c>
    </row>
    <row r="213" spans="1:37">
      <c r="A213" t="s">
        <v>572</v>
      </c>
      <c r="B213" s="3">
        <v>45675</v>
      </c>
      <c r="C213" t="s">
        <v>203</v>
      </c>
      <c r="D213" t="s">
        <v>226</v>
      </c>
      <c r="E213" t="s">
        <v>573</v>
      </c>
      <c r="F213" t="s">
        <v>145</v>
      </c>
      <c r="G213" t="s">
        <v>88</v>
      </c>
      <c r="H213" t="s">
        <v>89</v>
      </c>
      <c r="I213">
        <v>1</v>
      </c>
      <c r="J213" s="2">
        <v>211.08</v>
      </c>
      <c r="K213" s="4">
        <v>0.05</v>
      </c>
      <c r="L213" t="s">
        <v>106</v>
      </c>
      <c r="M213">
        <v>4</v>
      </c>
      <c r="N213" t="s">
        <v>91</v>
      </c>
      <c r="O213" t="str">
        <f>SUBSTITUTE(PROPER(TRIM(RawSalesTable[[#This Row],[Channel_Raw]])), "Market Place", "Marketplace")</f>
        <v>Online</v>
      </c>
      <c r="P213" t="str">
        <f>TRIM(RawSalesTable[[#This Row],[Store_Raw]])</f>
        <v>Calgary North</v>
      </c>
      <c r="Q213" t="str">
        <f>IF(TRIM(RawSalesTable[[#This Row],[Payment_Method_Raw]])="","Non renseigné",SUBSTITUTE(TRIM(RawSalesTable[[#This Row],[Payment_Method_Raw]]),"CC","Credit Card"))</f>
        <v>Credit Card</v>
      </c>
      <c r="R213" s="8" t="str">
        <f>UPPER(PROPER(RawSalesTable[[#This Row],[Customer_ID]]))</f>
        <v>C0029</v>
      </c>
      <c r="S213" s="8" t="str">
        <f>TRIM(LEFT(RawSalesTable[[#This Row],[Customer_Info]],FIND(",",RawSalesTable[[#This Row],[Customer_Info]]) -1))</f>
        <v>Olivia White</v>
      </c>
      <c r="T213" s="8" t="str">
        <f>TRIM(MID(RawSalesTable[[#This Row],[Customer_Info]],FIND(",",RawSalesTable[[#This Row],[Customer_Info]])+1,FIND(",",RawSalesTable[[#This Row],[Customer_Info]],FIND(",",RawSalesTable[[#This Row],[Customer_Info]])+1)-FIND(",",RawSalesTable[[#This Row],[Customer_Info]])-1))</f>
        <v>Victoria</v>
      </c>
      <c r="U213" s="8" t="str">
        <f>TRIM(RIGHT(RawSalesTable[[#This Row],[Customer_Info]], LEN(RawSalesTable[[#This Row],[Customer_Info]])-FIND(",",RawSalesTable[[#This Row],[Customer_Info]],FIND(",",RawSalesTable[[#This Row],[Customer_Info]])+1)))</f>
        <v>Consumer</v>
      </c>
      <c r="V213" s="8" t="str">
        <f>VLOOKUP(RawSalesTable[[#This Row],[Product_ID]],ProductsTable[],2,FALSE)</f>
        <v>Desk Lamp</v>
      </c>
      <c r="W213" s="8" t="str">
        <f>VLOOKUP(RawSalesTable[[#This Row],[Product_ID]],ProductsTable[],3,FALSE)</f>
        <v>Office</v>
      </c>
      <c r="X213" s="8">
        <f>VLOOKUP(RawSalesTable[[#This Row],[Product_ID]],ProductsTable[],5,FALSE)</f>
        <v>127.21</v>
      </c>
      <c r="Y213" s="8">
        <f>RawSalesTable[[#This Row],[Quantity]]*RawSalesTable[[#This Row],[Unit_Price]]</f>
        <v>211.08</v>
      </c>
      <c r="Z213" s="8">
        <f>RawSalesTable[[#This Row],[Gross_Sales]]*RawSalesTable[[#This Row],[Discount_Pct]]</f>
        <v>10.554000000000002</v>
      </c>
      <c r="AA213" s="8">
        <f>RawSalesTable[[#This Row],[Gross_Sales]]-RawSalesTable[[#This Row],[Discount_Amount]]</f>
        <v>200.52600000000001</v>
      </c>
      <c r="AB213" s="8">
        <f>RawSalesTable[[#This Row],[Unit_Cost]]*RawSalesTable[[#This Row],[Quantity]]</f>
        <v>127.21</v>
      </c>
      <c r="AC213" s="8">
        <f>RawSalesTable[[#This Row],[Net_Sales]]-RawSalesTable[[#This Row],[Total_Cost]]</f>
        <v>73.316000000000017</v>
      </c>
      <c r="AD213" s="9">
        <f>RawSalesTable[[#This Row],[Profit]]/RawSalesTable[[#This Row],[Net_Sales]]</f>
        <v>0.36561842354607388</v>
      </c>
      <c r="AE213" s="8">
        <f>IF(RawSalesTable[[#This Row],[Return_Status]]="Yes",1,0)</f>
        <v>0</v>
      </c>
      <c r="AF213" s="8">
        <f>YEAR(RawSalesTable[[#This Row],[Order_Date]])</f>
        <v>2025</v>
      </c>
      <c r="AG213" s="8">
        <f>MONTH(RawSalesTable[[#This Row],[Order_Date]])</f>
        <v>1</v>
      </c>
      <c r="AH213" s="8" t="str">
        <f>TEXT(RawSalesTable[[#This Row],[Order_Date]],"mmmm")</f>
        <v>janvier</v>
      </c>
      <c r="AI213" s="8" t="str">
        <f>IF(RawSalesTable[[#This Row],[Month_Number]]&lt;=3,"Q1",IF(RawSalesTable[[#This Row],[Month_Number]]&lt;=6,"Q2",IF(RawSalesTable[[#This Row],[Month_Number]]&lt;=9,"Q3","Q4")))</f>
        <v>Q1</v>
      </c>
      <c r="AJ213" s="13">
        <f>DATE(YEAR(RawSalesTable[[#This Row],[Order_Date]]),MONTH(RawSalesTable[[#This Row],[Order_Date]]),1)</f>
        <v>45658</v>
      </c>
      <c r="AK213" s="8" t="str">
        <f>VLOOKUP(RawSalesTable[[#This Row],[Customer_ID_clean]],CustomersTable[],4,FALSE)</f>
        <v>British Columbia</v>
      </c>
    </row>
    <row r="214" spans="1:37">
      <c r="A214" t="s">
        <v>574</v>
      </c>
      <c r="B214" s="3">
        <v>45724</v>
      </c>
      <c r="C214" t="s">
        <v>516</v>
      </c>
      <c r="D214" t="s">
        <v>139</v>
      </c>
      <c r="E214" t="s">
        <v>517</v>
      </c>
      <c r="F214" t="s">
        <v>116</v>
      </c>
      <c r="G214" t="s">
        <v>96</v>
      </c>
      <c r="H214" t="s">
        <v>105</v>
      </c>
      <c r="I214">
        <v>3</v>
      </c>
      <c r="J214" s="2">
        <v>79.849999999999994</v>
      </c>
      <c r="K214" s="4">
        <v>0.05</v>
      </c>
      <c r="L214" t="s">
        <v>98</v>
      </c>
      <c r="M214">
        <v>7</v>
      </c>
      <c r="N214" t="s">
        <v>91</v>
      </c>
      <c r="O214" t="str">
        <f>SUBSTITUTE(PROPER(TRIM(RawSalesTable[[#This Row],[Channel_Raw]])), "Market Place", "Marketplace")</f>
        <v>Marketplace</v>
      </c>
      <c r="P214" t="str">
        <f>TRIM(RawSalesTable[[#This Row],[Store_Raw]])</f>
        <v>Toronto Downtown</v>
      </c>
      <c r="Q214" t="str">
        <f>IF(TRIM(RawSalesTable[[#This Row],[Payment_Method_Raw]])="","Non renseigné",SUBSTITUTE(TRIM(RawSalesTable[[#This Row],[Payment_Method_Raw]]),"CC","Credit Card"))</f>
        <v>Debit Card</v>
      </c>
      <c r="R214" s="8" t="str">
        <f>UPPER(PROPER(RawSalesTable[[#This Row],[Customer_ID]]))</f>
        <v>C0120</v>
      </c>
      <c r="S214" s="8" t="str">
        <f>TRIM(LEFT(RawSalesTable[[#This Row],[Customer_Info]],FIND(",",RawSalesTable[[#This Row],[Customer_Info]]) -1))</f>
        <v>Ethan King</v>
      </c>
      <c r="T214" s="8" t="str">
        <f>TRIM(MID(RawSalesTable[[#This Row],[Customer_Info]],FIND(",",RawSalesTable[[#This Row],[Customer_Info]])+1,FIND(",",RawSalesTable[[#This Row],[Customer_Info]],FIND(",",RawSalesTable[[#This Row],[Customer_Info]])+1)-FIND(",",RawSalesTable[[#This Row],[Customer_Info]])-1))</f>
        <v>Mississauga</v>
      </c>
      <c r="U214" s="8" t="str">
        <f>TRIM(RIGHT(RawSalesTable[[#This Row],[Customer_Info]], LEN(RawSalesTable[[#This Row],[Customer_Info]])-FIND(",",RawSalesTable[[#This Row],[Customer_Info]],FIND(",",RawSalesTable[[#This Row],[Customer_Info]])+1)))</f>
        <v>Small Business</v>
      </c>
      <c r="V214" s="8" t="str">
        <f>VLOOKUP(RawSalesTable[[#This Row],[Product_ID]],ProductsTable[],2,FALSE)</f>
        <v>Standing Desk</v>
      </c>
      <c r="W214" s="8" t="str">
        <f>VLOOKUP(RawSalesTable[[#This Row],[Product_ID]],ProductsTable[],3,FALSE)</f>
        <v>Office</v>
      </c>
      <c r="X214" s="8">
        <f>VLOOKUP(RawSalesTable[[#This Row],[Product_ID]],ProductsTable[],5,FALSE)</f>
        <v>45.17</v>
      </c>
      <c r="Y214" s="8">
        <f>RawSalesTable[[#This Row],[Quantity]]*RawSalesTable[[#This Row],[Unit_Price]]</f>
        <v>239.54999999999998</v>
      </c>
      <c r="Z214" s="8">
        <f>RawSalesTable[[#This Row],[Gross_Sales]]*RawSalesTable[[#This Row],[Discount_Pct]]</f>
        <v>11.977499999999999</v>
      </c>
      <c r="AA214" s="8">
        <f>RawSalesTable[[#This Row],[Gross_Sales]]-RawSalesTable[[#This Row],[Discount_Amount]]</f>
        <v>227.57249999999999</v>
      </c>
      <c r="AB214" s="8">
        <f>RawSalesTable[[#This Row],[Unit_Cost]]*RawSalesTable[[#This Row],[Quantity]]</f>
        <v>135.51</v>
      </c>
      <c r="AC214" s="8">
        <f>RawSalesTable[[#This Row],[Net_Sales]]-RawSalesTable[[#This Row],[Total_Cost]]</f>
        <v>92.0625</v>
      </c>
      <c r="AD214" s="9">
        <f>RawSalesTable[[#This Row],[Profit]]/RawSalesTable[[#This Row],[Net_Sales]]</f>
        <v>0.4045414098803678</v>
      </c>
      <c r="AE214" s="8">
        <f>IF(RawSalesTable[[#This Row],[Return_Status]]="Yes",1,0)</f>
        <v>0</v>
      </c>
      <c r="AF214" s="8">
        <f>YEAR(RawSalesTable[[#This Row],[Order_Date]])</f>
        <v>2025</v>
      </c>
      <c r="AG214" s="8">
        <f>MONTH(RawSalesTable[[#This Row],[Order_Date]])</f>
        <v>3</v>
      </c>
      <c r="AH214" s="8" t="str">
        <f>TEXT(RawSalesTable[[#This Row],[Order_Date]],"mmmm")</f>
        <v>mars</v>
      </c>
      <c r="AI214" s="8" t="str">
        <f>IF(RawSalesTable[[#This Row],[Month_Number]]&lt;=3,"Q1",IF(RawSalesTable[[#This Row],[Month_Number]]&lt;=6,"Q2",IF(RawSalesTable[[#This Row],[Month_Number]]&lt;=9,"Q3","Q4")))</f>
        <v>Q1</v>
      </c>
      <c r="AJ214" s="13">
        <f>DATE(YEAR(RawSalesTable[[#This Row],[Order_Date]]),MONTH(RawSalesTable[[#This Row],[Order_Date]]),1)</f>
        <v>45717</v>
      </c>
      <c r="AK214" s="8" t="str">
        <f>VLOOKUP(RawSalesTable[[#This Row],[Customer_ID_clean]],CustomersTable[],4,FALSE)</f>
        <v>Ontario</v>
      </c>
    </row>
    <row r="215" spans="1:37">
      <c r="A215" t="s">
        <v>575</v>
      </c>
      <c r="B215" s="3">
        <v>45765</v>
      </c>
      <c r="C215" t="s">
        <v>386</v>
      </c>
      <c r="D215" t="s">
        <v>133</v>
      </c>
      <c r="E215" t="s">
        <v>576</v>
      </c>
      <c r="F215" t="s">
        <v>111</v>
      </c>
      <c r="G215" t="s">
        <v>130</v>
      </c>
      <c r="H215" t="s">
        <v>89</v>
      </c>
      <c r="I215">
        <v>3</v>
      </c>
      <c r="J215" s="2">
        <v>342.66</v>
      </c>
      <c r="K215" s="4">
        <v>0</v>
      </c>
      <c r="L215" t="s">
        <v>106</v>
      </c>
      <c r="M215">
        <v>2</v>
      </c>
      <c r="N215" t="s">
        <v>91</v>
      </c>
      <c r="O215" t="str">
        <f>SUBSTITUTE(PROPER(TRIM(RawSalesTable[[#This Row],[Channel_Raw]])), "Market Place", "Marketplace")</f>
        <v>Online</v>
      </c>
      <c r="P215" t="str">
        <f>TRIM(RawSalesTable[[#This Row],[Store_Raw]])</f>
        <v>Montreal Central</v>
      </c>
      <c r="Q215" t="str">
        <f>IF(TRIM(RawSalesTable[[#This Row],[Payment_Method_Raw]])="","Non renseigné",SUBSTITUTE(TRIM(RawSalesTable[[#This Row],[Payment_Method_Raw]]),"CC","Credit Card"))</f>
        <v>Credit Card</v>
      </c>
      <c r="R215" s="8" t="str">
        <f>UPPER(PROPER(RawSalesTable[[#This Row],[Customer_ID]]))</f>
        <v>C0009</v>
      </c>
      <c r="S215" s="8" t="str">
        <f>TRIM(LEFT(RawSalesTable[[#This Row],[Customer_Info]],FIND(",",RawSalesTable[[#This Row],[Customer_Info]]) -1))</f>
        <v>Ethan Tremblay</v>
      </c>
      <c r="T215" s="8" t="str">
        <f>TRIM(MID(RawSalesTable[[#This Row],[Customer_Info]],FIND(",",RawSalesTable[[#This Row],[Customer_Info]])+1,FIND(",",RawSalesTable[[#This Row],[Customer_Info]],FIND(",",RawSalesTable[[#This Row],[Customer_Info]])+1)-FIND(",",RawSalesTable[[#This Row],[Customer_Info]])-1))</f>
        <v>Mississauga</v>
      </c>
      <c r="U215" s="8" t="str">
        <f>TRIM(RIGHT(RawSalesTable[[#This Row],[Customer_Info]], LEN(RawSalesTable[[#This Row],[Customer_Info]])-FIND(",",RawSalesTable[[#This Row],[Customer_Info]],FIND(",",RawSalesTable[[#This Row],[Customer_Info]])+1)))</f>
        <v>Corporate</v>
      </c>
      <c r="V215" s="8" t="str">
        <f>VLOOKUP(RawSalesTable[[#This Row],[Product_ID]],ProductsTable[],2,FALSE)</f>
        <v>Travel Adapter</v>
      </c>
      <c r="W215" s="8" t="str">
        <f>VLOOKUP(RawSalesTable[[#This Row],[Product_ID]],ProductsTable[],3,FALSE)</f>
        <v>Accessories</v>
      </c>
      <c r="X215" s="8">
        <f>VLOOKUP(RawSalesTable[[#This Row],[Product_ID]],ProductsTable[],5,FALSE)</f>
        <v>229.86</v>
      </c>
      <c r="Y215" s="8">
        <f>RawSalesTable[[#This Row],[Quantity]]*RawSalesTable[[#This Row],[Unit_Price]]</f>
        <v>1027.98</v>
      </c>
      <c r="Z215" s="8">
        <f>RawSalesTable[[#This Row],[Gross_Sales]]*RawSalesTable[[#This Row],[Discount_Pct]]</f>
        <v>0</v>
      </c>
      <c r="AA215" s="8">
        <f>RawSalesTable[[#This Row],[Gross_Sales]]-RawSalesTable[[#This Row],[Discount_Amount]]</f>
        <v>1027.98</v>
      </c>
      <c r="AB215" s="8">
        <f>RawSalesTable[[#This Row],[Unit_Cost]]*RawSalesTable[[#This Row],[Quantity]]</f>
        <v>689.58</v>
      </c>
      <c r="AC215" s="8">
        <f>RawSalesTable[[#This Row],[Net_Sales]]-RawSalesTable[[#This Row],[Total_Cost]]</f>
        <v>338.4</v>
      </c>
      <c r="AD215" s="9">
        <f>RawSalesTable[[#This Row],[Profit]]/RawSalesTable[[#This Row],[Net_Sales]]</f>
        <v>0.32918928383820695</v>
      </c>
      <c r="AE215" s="8">
        <f>IF(RawSalesTable[[#This Row],[Return_Status]]="Yes",1,0)</f>
        <v>0</v>
      </c>
      <c r="AF215" s="8">
        <f>YEAR(RawSalesTable[[#This Row],[Order_Date]])</f>
        <v>2025</v>
      </c>
      <c r="AG215" s="8">
        <f>MONTH(RawSalesTable[[#This Row],[Order_Date]])</f>
        <v>4</v>
      </c>
      <c r="AH215" s="8" t="str">
        <f>TEXT(RawSalesTable[[#This Row],[Order_Date]],"mmmm")</f>
        <v>avril</v>
      </c>
      <c r="AI215" s="8" t="str">
        <f>IF(RawSalesTable[[#This Row],[Month_Number]]&lt;=3,"Q1",IF(RawSalesTable[[#This Row],[Month_Number]]&lt;=6,"Q2",IF(RawSalesTable[[#This Row],[Month_Number]]&lt;=9,"Q3","Q4")))</f>
        <v>Q2</v>
      </c>
      <c r="AJ215" s="13">
        <f>DATE(YEAR(RawSalesTable[[#This Row],[Order_Date]]),MONTH(RawSalesTable[[#This Row],[Order_Date]]),1)</f>
        <v>45748</v>
      </c>
      <c r="AK215" s="8" t="str">
        <f>VLOOKUP(RawSalesTable[[#This Row],[Customer_ID_clean]],CustomersTable[],4,FALSE)</f>
        <v>Ontario</v>
      </c>
    </row>
    <row r="216" spans="1:37">
      <c r="A216" t="s">
        <v>577</v>
      </c>
      <c r="B216" s="3">
        <v>45844</v>
      </c>
      <c r="C216" t="s">
        <v>265</v>
      </c>
      <c r="D216" t="s">
        <v>109</v>
      </c>
      <c r="E216" t="s">
        <v>266</v>
      </c>
      <c r="F216" t="s">
        <v>111</v>
      </c>
      <c r="G216" t="s">
        <v>122</v>
      </c>
      <c r="H216" t="s">
        <v>89</v>
      </c>
      <c r="I216">
        <v>1</v>
      </c>
      <c r="J216" s="2">
        <v>206.56</v>
      </c>
      <c r="K216" s="4">
        <v>0.2</v>
      </c>
      <c r="L216" t="s">
        <v>441</v>
      </c>
      <c r="M216">
        <v>7</v>
      </c>
      <c r="N216" t="s">
        <v>91</v>
      </c>
      <c r="O216" t="str">
        <f>SUBSTITUTE(PROPER(TRIM(RawSalesTable[[#This Row],[Channel_Raw]])), "Market Place", "Marketplace")</f>
        <v>Online</v>
      </c>
      <c r="P216" t="str">
        <f>TRIM(RawSalesTable[[#This Row],[Store_Raw]])</f>
        <v>Montreal Central</v>
      </c>
      <c r="Q216" t="str">
        <f>IF(TRIM(RawSalesTable[[#This Row],[Payment_Method_Raw]])="","Non renseigné",SUBSTITUTE(TRIM(RawSalesTable[[#This Row],[Payment_Method_Raw]]),"CC","Credit Card"))</f>
        <v>credit card</v>
      </c>
      <c r="R216" s="8" t="str">
        <f>UPPER(PROPER(RawSalesTable[[#This Row],[Customer_ID]]))</f>
        <v>C0020</v>
      </c>
      <c r="S216" s="8" t="str">
        <f>TRIM(LEFT(RawSalesTable[[#This Row],[Customer_Info]],FIND(",",RawSalesTable[[#This Row],[Customer_Info]]) -1))</f>
        <v>Nora Khan</v>
      </c>
      <c r="T216" s="8" t="str">
        <f>TRIM(MID(RawSalesTable[[#This Row],[Customer_Info]],FIND(",",RawSalesTable[[#This Row],[Customer_Info]])+1,FIND(",",RawSalesTable[[#This Row],[Customer_Info]],FIND(",",RawSalesTable[[#This Row],[Customer_Info]])+1)-FIND(",",RawSalesTable[[#This Row],[Customer_Info]])-1))</f>
        <v>Mississauga</v>
      </c>
      <c r="U216" s="8" t="str">
        <f>TRIM(RIGHT(RawSalesTable[[#This Row],[Customer_Info]], LEN(RawSalesTable[[#This Row],[Customer_Info]])-FIND(",",RawSalesTable[[#This Row],[Customer_Info]],FIND(",",RawSalesTable[[#This Row],[Customer_Info]])+1)))</f>
        <v>Consumer</v>
      </c>
      <c r="V216" s="8" t="str">
        <f>VLOOKUP(RawSalesTable[[#This Row],[Product_ID]],ProductsTable[],2,FALSE)</f>
        <v>Gym Bag</v>
      </c>
      <c r="W216" s="8" t="str">
        <f>VLOOKUP(RawSalesTable[[#This Row],[Product_ID]],ProductsTable[],3,FALSE)</f>
        <v>Fitness</v>
      </c>
      <c r="X216" s="8">
        <f>VLOOKUP(RawSalesTable[[#This Row],[Product_ID]],ProductsTable[],5,FALSE)</f>
        <v>132.72</v>
      </c>
      <c r="Y216" s="8">
        <f>RawSalesTable[[#This Row],[Quantity]]*RawSalesTable[[#This Row],[Unit_Price]]</f>
        <v>206.56</v>
      </c>
      <c r="Z216" s="8">
        <f>RawSalesTable[[#This Row],[Gross_Sales]]*RawSalesTable[[#This Row],[Discount_Pct]]</f>
        <v>41.312000000000005</v>
      </c>
      <c r="AA216" s="8">
        <f>RawSalesTable[[#This Row],[Gross_Sales]]-RawSalesTable[[#This Row],[Discount_Amount]]</f>
        <v>165.24799999999999</v>
      </c>
      <c r="AB216" s="8">
        <f>RawSalesTable[[#This Row],[Unit_Cost]]*RawSalesTable[[#This Row],[Quantity]]</f>
        <v>132.72</v>
      </c>
      <c r="AC216" s="8">
        <f>RawSalesTable[[#This Row],[Net_Sales]]-RawSalesTable[[#This Row],[Total_Cost]]</f>
        <v>32.527999999999992</v>
      </c>
      <c r="AD216" s="9">
        <f>RawSalesTable[[#This Row],[Profit]]/RawSalesTable[[#This Row],[Net_Sales]]</f>
        <v>0.1968435321456235</v>
      </c>
      <c r="AE216" s="8">
        <f>IF(RawSalesTable[[#This Row],[Return_Status]]="Yes",1,0)</f>
        <v>0</v>
      </c>
      <c r="AF216" s="8">
        <f>YEAR(RawSalesTable[[#This Row],[Order_Date]])</f>
        <v>2025</v>
      </c>
      <c r="AG216" s="8">
        <f>MONTH(RawSalesTable[[#This Row],[Order_Date]])</f>
        <v>7</v>
      </c>
      <c r="AH216" s="8" t="str">
        <f>TEXT(RawSalesTable[[#This Row],[Order_Date]],"mmmm")</f>
        <v>juillet</v>
      </c>
      <c r="AI216" s="8" t="str">
        <f>IF(RawSalesTable[[#This Row],[Month_Number]]&lt;=3,"Q1",IF(RawSalesTable[[#This Row],[Month_Number]]&lt;=6,"Q2",IF(RawSalesTable[[#This Row],[Month_Number]]&lt;=9,"Q3","Q4")))</f>
        <v>Q3</v>
      </c>
      <c r="AJ216" s="13">
        <f>DATE(YEAR(RawSalesTable[[#This Row],[Order_Date]]),MONTH(RawSalesTable[[#This Row],[Order_Date]]),1)</f>
        <v>45839</v>
      </c>
      <c r="AK216" s="8" t="str">
        <f>VLOOKUP(RawSalesTable[[#This Row],[Customer_ID_clean]],CustomersTable[],4,FALSE)</f>
        <v>Ontario</v>
      </c>
    </row>
    <row r="217" spans="1:37">
      <c r="A217" t="s">
        <v>578</v>
      </c>
      <c r="B217" s="3">
        <v>45774</v>
      </c>
      <c r="C217" t="s">
        <v>273</v>
      </c>
      <c r="D217" t="s">
        <v>323</v>
      </c>
      <c r="E217" t="s">
        <v>274</v>
      </c>
      <c r="F217" t="s">
        <v>87</v>
      </c>
      <c r="G217" t="s">
        <v>88</v>
      </c>
      <c r="H217" t="s">
        <v>97</v>
      </c>
      <c r="I217">
        <v>1</v>
      </c>
      <c r="J217" s="2">
        <v>328.44</v>
      </c>
      <c r="K217" s="4">
        <v>0</v>
      </c>
      <c r="L217" t="s">
        <v>106</v>
      </c>
      <c r="M217">
        <v>2</v>
      </c>
      <c r="N217" t="s">
        <v>91</v>
      </c>
      <c r="O217" t="str">
        <f>SUBSTITUTE(PROPER(TRIM(RawSalesTable[[#This Row],[Channel_Raw]])), "Market Place", "Marketplace")</f>
        <v>Retail Store</v>
      </c>
      <c r="P217" t="str">
        <f>TRIM(RawSalesTable[[#This Row],[Store_Raw]])</f>
        <v>Online Fulfillment</v>
      </c>
      <c r="Q217" t="str">
        <f>IF(TRIM(RawSalesTable[[#This Row],[Payment_Method_Raw]])="","Non renseigné",SUBSTITUTE(TRIM(RawSalesTable[[#This Row],[Payment_Method_Raw]]),"CC","Credit Card"))</f>
        <v>Credit Card</v>
      </c>
      <c r="R217" s="8" t="str">
        <f>UPPER(PROPER(RawSalesTable[[#This Row],[Customer_ID]]))</f>
        <v>C0066</v>
      </c>
      <c r="S217" s="8" t="str">
        <f>TRIM(LEFT(RawSalesTable[[#This Row],[Customer_Info]],FIND(",",RawSalesTable[[#This Row],[Customer_Info]]) -1))</f>
        <v>Noah Clark</v>
      </c>
      <c r="T217" s="8" t="str">
        <f>TRIM(MID(RawSalesTable[[#This Row],[Customer_Info]],FIND(",",RawSalesTable[[#This Row],[Customer_Info]])+1,FIND(",",RawSalesTable[[#This Row],[Customer_Info]],FIND(",",RawSalesTable[[#This Row],[Customer_Info]])+1)-FIND(",",RawSalesTable[[#This Row],[Customer_Info]])-1))</f>
        <v>Laval</v>
      </c>
      <c r="U217" s="8" t="str">
        <f>TRIM(RIGHT(RawSalesTable[[#This Row],[Customer_Info]], LEN(RawSalesTable[[#This Row],[Customer_Info]])-FIND(",",RawSalesTable[[#This Row],[Customer_Info]],FIND(",",RawSalesTable[[#This Row],[Customer_Info]])+1)))</f>
        <v>Consumer</v>
      </c>
      <c r="V217" s="8" t="str">
        <f>VLOOKUP(RawSalesTable[[#This Row],[Product_ID]],ProductsTable[],2,FALSE)</f>
        <v>Toaster</v>
      </c>
      <c r="W217" s="8" t="str">
        <f>VLOOKUP(RawSalesTable[[#This Row],[Product_ID]],ProductsTable[],3,FALSE)</f>
        <v>Home</v>
      </c>
      <c r="X217" s="8">
        <f>VLOOKUP(RawSalesTable[[#This Row],[Product_ID]],ProductsTable[],5,FALSE)</f>
        <v>152.88</v>
      </c>
      <c r="Y217" s="8">
        <f>RawSalesTable[[#This Row],[Quantity]]*RawSalesTable[[#This Row],[Unit_Price]]</f>
        <v>328.44</v>
      </c>
      <c r="Z217" s="8">
        <f>RawSalesTable[[#This Row],[Gross_Sales]]*RawSalesTable[[#This Row],[Discount_Pct]]</f>
        <v>0</v>
      </c>
      <c r="AA217" s="8">
        <f>RawSalesTable[[#This Row],[Gross_Sales]]-RawSalesTable[[#This Row],[Discount_Amount]]</f>
        <v>328.44</v>
      </c>
      <c r="AB217" s="8">
        <f>RawSalesTable[[#This Row],[Unit_Cost]]*RawSalesTable[[#This Row],[Quantity]]</f>
        <v>152.88</v>
      </c>
      <c r="AC217" s="8">
        <f>RawSalesTable[[#This Row],[Net_Sales]]-RawSalesTable[[#This Row],[Total_Cost]]</f>
        <v>175.56</v>
      </c>
      <c r="AD217" s="9">
        <f>RawSalesTable[[#This Row],[Profit]]/RawSalesTable[[#This Row],[Net_Sales]]</f>
        <v>0.53452685421994883</v>
      </c>
      <c r="AE217" s="8">
        <f>IF(RawSalesTable[[#This Row],[Return_Status]]="Yes",1,0)</f>
        <v>0</v>
      </c>
      <c r="AF217" s="8">
        <f>YEAR(RawSalesTable[[#This Row],[Order_Date]])</f>
        <v>2025</v>
      </c>
      <c r="AG217" s="8">
        <f>MONTH(RawSalesTable[[#This Row],[Order_Date]])</f>
        <v>4</v>
      </c>
      <c r="AH217" s="8" t="str">
        <f>TEXT(RawSalesTable[[#This Row],[Order_Date]],"mmmm")</f>
        <v>avril</v>
      </c>
      <c r="AI217" s="8" t="str">
        <f>IF(RawSalesTable[[#This Row],[Month_Number]]&lt;=3,"Q1",IF(RawSalesTable[[#This Row],[Month_Number]]&lt;=6,"Q2",IF(RawSalesTable[[#This Row],[Month_Number]]&lt;=9,"Q3","Q4")))</f>
        <v>Q2</v>
      </c>
      <c r="AJ217" s="13">
        <f>DATE(YEAR(RawSalesTable[[#This Row],[Order_Date]]),MONTH(RawSalesTable[[#This Row],[Order_Date]]),1)</f>
        <v>45748</v>
      </c>
      <c r="AK217" s="8" t="str">
        <f>VLOOKUP(RawSalesTable[[#This Row],[Customer_ID_clean]],CustomersTable[],4,FALSE)</f>
        <v>Quebec</v>
      </c>
    </row>
    <row r="218" spans="1:37">
      <c r="A218" t="s">
        <v>579</v>
      </c>
      <c r="B218" s="3">
        <v>45666</v>
      </c>
      <c r="C218" t="s">
        <v>453</v>
      </c>
      <c r="D218" t="s">
        <v>226</v>
      </c>
      <c r="E218" t="s">
        <v>454</v>
      </c>
      <c r="F218" t="s">
        <v>103</v>
      </c>
      <c r="G218" t="s">
        <v>171</v>
      </c>
      <c r="H218" t="s">
        <v>89</v>
      </c>
      <c r="I218">
        <v>4</v>
      </c>
      <c r="J218" s="2">
        <v>215.38</v>
      </c>
      <c r="K218" s="4">
        <v>0</v>
      </c>
      <c r="L218" t="s">
        <v>106</v>
      </c>
      <c r="M218">
        <v>3</v>
      </c>
      <c r="N218" t="s">
        <v>147</v>
      </c>
      <c r="O218" t="str">
        <f>SUBSTITUTE(PROPER(TRIM(RawSalesTable[[#This Row],[Channel_Raw]])), "Market Place", "Marketplace")</f>
        <v>Online</v>
      </c>
      <c r="P218" t="str">
        <f>TRIM(RawSalesTable[[#This Row],[Store_Raw]])</f>
        <v>Vancouver West</v>
      </c>
      <c r="Q218" t="str">
        <f>IF(TRIM(RawSalesTable[[#This Row],[Payment_Method_Raw]])="","Non renseigné",SUBSTITUTE(TRIM(RawSalesTable[[#This Row],[Payment_Method_Raw]]),"CC","Credit Card"))</f>
        <v>Credit Card</v>
      </c>
      <c r="R218" s="8" t="str">
        <f>UPPER(PROPER(RawSalesTable[[#This Row],[Customer_ID]]))</f>
        <v>C0070</v>
      </c>
      <c r="S218" s="8" t="str">
        <f>TRIM(LEFT(RawSalesTable[[#This Row],[Customer_Info]],FIND(",",RawSalesTable[[#This Row],[Customer_Info]]) -1))</f>
        <v>Sophia Young</v>
      </c>
      <c r="T218" s="8" t="str">
        <f>TRIM(MID(RawSalesTable[[#This Row],[Customer_Info]],FIND(",",RawSalesTable[[#This Row],[Customer_Info]])+1,FIND(",",RawSalesTable[[#This Row],[Customer_Info]],FIND(",",RawSalesTable[[#This Row],[Customer_Info]])+1)-FIND(",",RawSalesTable[[#This Row],[Customer_Info]])-1))</f>
        <v>Halifax</v>
      </c>
      <c r="U218" s="8" t="str">
        <f>TRIM(RIGHT(RawSalesTable[[#This Row],[Customer_Info]], LEN(RawSalesTable[[#This Row],[Customer_Info]])-FIND(",",RawSalesTable[[#This Row],[Customer_Info]],FIND(",",RawSalesTable[[#This Row],[Customer_Info]])+1)))</f>
        <v>Corporate</v>
      </c>
      <c r="V218" s="8" t="str">
        <f>VLOOKUP(RawSalesTable[[#This Row],[Product_ID]],ProductsTable[],2,FALSE)</f>
        <v>Desk Lamp</v>
      </c>
      <c r="W218" s="8" t="str">
        <f>VLOOKUP(RawSalesTable[[#This Row],[Product_ID]],ProductsTable[],3,FALSE)</f>
        <v>Office</v>
      </c>
      <c r="X218" s="8">
        <f>VLOOKUP(RawSalesTable[[#This Row],[Product_ID]],ProductsTable[],5,FALSE)</f>
        <v>127.21</v>
      </c>
      <c r="Y218" s="8">
        <f>RawSalesTable[[#This Row],[Quantity]]*RawSalesTable[[#This Row],[Unit_Price]]</f>
        <v>861.52</v>
      </c>
      <c r="Z218" s="8">
        <f>RawSalesTable[[#This Row],[Gross_Sales]]*RawSalesTable[[#This Row],[Discount_Pct]]</f>
        <v>0</v>
      </c>
      <c r="AA218" s="8">
        <f>RawSalesTable[[#This Row],[Gross_Sales]]-RawSalesTable[[#This Row],[Discount_Amount]]</f>
        <v>861.52</v>
      </c>
      <c r="AB218" s="8">
        <f>RawSalesTable[[#This Row],[Unit_Cost]]*RawSalesTable[[#This Row],[Quantity]]</f>
        <v>508.84</v>
      </c>
      <c r="AC218" s="8">
        <f>RawSalesTable[[#This Row],[Net_Sales]]-RawSalesTable[[#This Row],[Total_Cost]]</f>
        <v>352.68</v>
      </c>
      <c r="AD218" s="9">
        <f>RawSalesTable[[#This Row],[Profit]]/RawSalesTable[[#This Row],[Net_Sales]]</f>
        <v>0.40936948648899624</v>
      </c>
      <c r="AE218" s="8">
        <f>IF(RawSalesTable[[#This Row],[Return_Status]]="Yes",1,0)</f>
        <v>1</v>
      </c>
      <c r="AF218" s="8">
        <f>YEAR(RawSalesTable[[#This Row],[Order_Date]])</f>
        <v>2025</v>
      </c>
      <c r="AG218" s="8">
        <f>MONTH(RawSalesTable[[#This Row],[Order_Date]])</f>
        <v>1</v>
      </c>
      <c r="AH218" s="8" t="str">
        <f>TEXT(RawSalesTable[[#This Row],[Order_Date]],"mmmm")</f>
        <v>janvier</v>
      </c>
      <c r="AI218" s="8" t="str">
        <f>IF(RawSalesTable[[#This Row],[Month_Number]]&lt;=3,"Q1",IF(RawSalesTable[[#This Row],[Month_Number]]&lt;=6,"Q2",IF(RawSalesTable[[#This Row],[Month_Number]]&lt;=9,"Q3","Q4")))</f>
        <v>Q1</v>
      </c>
      <c r="AJ218" s="13">
        <f>DATE(YEAR(RawSalesTable[[#This Row],[Order_Date]]),MONTH(RawSalesTable[[#This Row],[Order_Date]]),1)</f>
        <v>45658</v>
      </c>
      <c r="AK218" s="8" t="str">
        <f>VLOOKUP(RawSalesTable[[#This Row],[Customer_ID_clean]],CustomersTable[],4,FALSE)</f>
        <v>Nova Scotia</v>
      </c>
    </row>
    <row r="219" spans="1:37">
      <c r="A219" t="s">
        <v>580</v>
      </c>
      <c r="B219" s="3">
        <v>45895</v>
      </c>
      <c r="C219" t="s">
        <v>374</v>
      </c>
      <c r="D219" t="s">
        <v>277</v>
      </c>
      <c r="E219" t="s">
        <v>375</v>
      </c>
      <c r="F219" t="s">
        <v>111</v>
      </c>
      <c r="G219" t="s">
        <v>96</v>
      </c>
      <c r="H219" t="s">
        <v>89</v>
      </c>
      <c r="I219">
        <v>1</v>
      </c>
      <c r="J219" s="2">
        <v>376.44</v>
      </c>
      <c r="K219" s="4">
        <v>0</v>
      </c>
      <c r="L219" t="s">
        <v>106</v>
      </c>
      <c r="M219">
        <v>1</v>
      </c>
      <c r="N219" t="s">
        <v>91</v>
      </c>
      <c r="O219" t="str">
        <f>SUBSTITUTE(PROPER(TRIM(RawSalesTable[[#This Row],[Channel_Raw]])), "Market Place", "Marketplace")</f>
        <v>Online</v>
      </c>
      <c r="P219" t="str">
        <f>TRIM(RawSalesTable[[#This Row],[Store_Raw]])</f>
        <v>Montreal Central</v>
      </c>
      <c r="Q219" t="str">
        <f>IF(TRIM(RawSalesTable[[#This Row],[Payment_Method_Raw]])="","Non renseigné",SUBSTITUTE(TRIM(RawSalesTable[[#This Row],[Payment_Method_Raw]]),"CC","Credit Card"))</f>
        <v>Credit Card</v>
      </c>
      <c r="R219" s="8" t="str">
        <f>UPPER(PROPER(RawSalesTable[[#This Row],[Customer_ID]]))</f>
        <v>C0035</v>
      </c>
      <c r="S219" s="8" t="str">
        <f>TRIM(LEFT(RawSalesTable[[#This Row],[Customer_Info]],FIND(",",RawSalesTable[[#This Row],[Customer_Info]]) -1))</f>
        <v>Amelia Scott</v>
      </c>
      <c r="T219" s="8" t="str">
        <f>TRIM(MID(RawSalesTable[[#This Row],[Customer_Info]],FIND(",",RawSalesTable[[#This Row],[Customer_Info]])+1,FIND(",",RawSalesTable[[#This Row],[Customer_Info]],FIND(",",RawSalesTable[[#This Row],[Customer_Info]])+1)-FIND(",",RawSalesTable[[#This Row],[Customer_Info]])-1))</f>
        <v>Edmonton</v>
      </c>
      <c r="U219" s="8" t="str">
        <f>TRIM(RIGHT(RawSalesTable[[#This Row],[Customer_Info]], LEN(RawSalesTable[[#This Row],[Customer_Info]])-FIND(",",RawSalesTable[[#This Row],[Customer_Info]],FIND(",",RawSalesTable[[#This Row],[Customer_Info]])+1)))</f>
        <v>Small Business</v>
      </c>
      <c r="V219" s="8" t="str">
        <f>VLOOKUP(RawSalesTable[[#This Row],[Product_ID]],ProductsTable[],2,FALSE)</f>
        <v>Headphones</v>
      </c>
      <c r="W219" s="8" t="str">
        <f>VLOOKUP(RawSalesTable[[#This Row],[Product_ID]],ProductsTable[],3,FALSE)</f>
        <v>Electronics</v>
      </c>
      <c r="X219" s="8">
        <f>VLOOKUP(RawSalesTable[[#This Row],[Product_ID]],ProductsTable[],5,FALSE)</f>
        <v>254.6</v>
      </c>
      <c r="Y219" s="8">
        <f>RawSalesTable[[#This Row],[Quantity]]*RawSalesTable[[#This Row],[Unit_Price]]</f>
        <v>376.44</v>
      </c>
      <c r="Z219" s="8">
        <f>RawSalesTable[[#This Row],[Gross_Sales]]*RawSalesTable[[#This Row],[Discount_Pct]]</f>
        <v>0</v>
      </c>
      <c r="AA219" s="8">
        <f>RawSalesTable[[#This Row],[Gross_Sales]]-RawSalesTable[[#This Row],[Discount_Amount]]</f>
        <v>376.44</v>
      </c>
      <c r="AB219" s="8">
        <f>RawSalesTable[[#This Row],[Unit_Cost]]*RawSalesTable[[#This Row],[Quantity]]</f>
        <v>254.6</v>
      </c>
      <c r="AC219" s="8">
        <f>RawSalesTable[[#This Row],[Net_Sales]]-RawSalesTable[[#This Row],[Total_Cost]]</f>
        <v>121.84</v>
      </c>
      <c r="AD219" s="9">
        <f>RawSalesTable[[#This Row],[Profit]]/RawSalesTable[[#This Row],[Net_Sales]]</f>
        <v>0.32366379768356179</v>
      </c>
      <c r="AE219" s="8">
        <f>IF(RawSalesTable[[#This Row],[Return_Status]]="Yes",1,0)</f>
        <v>0</v>
      </c>
      <c r="AF219" s="8">
        <f>YEAR(RawSalesTable[[#This Row],[Order_Date]])</f>
        <v>2025</v>
      </c>
      <c r="AG219" s="8">
        <f>MONTH(RawSalesTable[[#This Row],[Order_Date]])</f>
        <v>8</v>
      </c>
      <c r="AH219" s="8" t="str">
        <f>TEXT(RawSalesTable[[#This Row],[Order_Date]],"mmmm")</f>
        <v>août</v>
      </c>
      <c r="AI219" s="8" t="str">
        <f>IF(RawSalesTable[[#This Row],[Month_Number]]&lt;=3,"Q1",IF(RawSalesTable[[#This Row],[Month_Number]]&lt;=6,"Q2",IF(RawSalesTable[[#This Row],[Month_Number]]&lt;=9,"Q3","Q4")))</f>
        <v>Q3</v>
      </c>
      <c r="AJ219" s="13">
        <f>DATE(YEAR(RawSalesTable[[#This Row],[Order_Date]]),MONTH(RawSalesTable[[#This Row],[Order_Date]]),1)</f>
        <v>45870</v>
      </c>
      <c r="AK219" s="8" t="str">
        <f>VLOOKUP(RawSalesTable[[#This Row],[Customer_ID_clean]],CustomersTable[],4,FALSE)</f>
        <v>Alberta</v>
      </c>
    </row>
    <row r="220" spans="1:37">
      <c r="A220" t="s">
        <v>581</v>
      </c>
      <c r="B220" s="3">
        <v>45670</v>
      </c>
      <c r="C220" t="s">
        <v>414</v>
      </c>
      <c r="D220" t="s">
        <v>221</v>
      </c>
      <c r="E220" t="s">
        <v>415</v>
      </c>
      <c r="F220" t="s">
        <v>187</v>
      </c>
      <c r="G220" t="s">
        <v>122</v>
      </c>
      <c r="H220" t="s">
        <v>97</v>
      </c>
      <c r="I220">
        <v>2</v>
      </c>
      <c r="J220" s="2">
        <v>29.86</v>
      </c>
      <c r="K220" s="4">
        <v>0.1</v>
      </c>
      <c r="L220" t="s">
        <v>98</v>
      </c>
      <c r="M220">
        <v>3</v>
      </c>
      <c r="N220" t="s">
        <v>91</v>
      </c>
      <c r="O220" t="str">
        <f>SUBSTITUTE(PROPER(TRIM(RawSalesTable[[#This Row],[Channel_Raw]])), "Market Place", "Marketplace")</f>
        <v>Retail Store</v>
      </c>
      <c r="P220" t="str">
        <f>TRIM(RawSalesTable[[#This Row],[Store_Raw]])</f>
        <v>Vancouver West</v>
      </c>
      <c r="Q220" t="str">
        <f>IF(TRIM(RawSalesTable[[#This Row],[Payment_Method_Raw]])="","Non renseigné",SUBSTITUTE(TRIM(RawSalesTable[[#This Row],[Payment_Method_Raw]]),"CC","Credit Card"))</f>
        <v>Debit Card</v>
      </c>
      <c r="R220" s="8" t="str">
        <f>UPPER(PROPER(RawSalesTable[[#This Row],[Customer_ID]]))</f>
        <v>C0052</v>
      </c>
      <c r="S220" s="8" t="str">
        <f>TRIM(LEFT(RawSalesTable[[#This Row],[Customer_Info]],FIND(",",RawSalesTable[[#This Row],[Customer_Info]]) -1))</f>
        <v>Liam Bennett</v>
      </c>
      <c r="T220" s="8" t="str">
        <f>TRIM(MID(RawSalesTable[[#This Row],[Customer_Info]],FIND(",",RawSalesTable[[#This Row],[Customer_Info]])+1,FIND(",",RawSalesTable[[#This Row],[Customer_Info]],FIND(",",RawSalesTable[[#This Row],[Customer_Info]])+1)-FIND(",",RawSalesTable[[#This Row],[Customer_Info]])-1))</f>
        <v>Edmonton</v>
      </c>
      <c r="U220" s="8" t="str">
        <f>TRIM(RIGHT(RawSalesTable[[#This Row],[Customer_Info]], LEN(RawSalesTable[[#This Row],[Customer_Info]])-FIND(",",RawSalesTable[[#This Row],[Customer_Info]],FIND(",",RawSalesTable[[#This Row],[Customer_Info]])+1)))</f>
        <v>Corporate</v>
      </c>
      <c r="V220" s="8" t="str">
        <f>VLOOKUP(RawSalesTable[[#This Row],[Product_ID]],ProductsTable[],2,FALSE)</f>
        <v>Air Fryer</v>
      </c>
      <c r="W220" s="8" t="str">
        <f>VLOOKUP(RawSalesTable[[#This Row],[Product_ID]],ProductsTable[],3,FALSE)</f>
        <v>Home</v>
      </c>
      <c r="X220" s="8">
        <f>VLOOKUP(RawSalesTable[[#This Row],[Product_ID]],ProductsTable[],5,FALSE)</f>
        <v>14.58</v>
      </c>
      <c r="Y220" s="8">
        <f>RawSalesTable[[#This Row],[Quantity]]*RawSalesTable[[#This Row],[Unit_Price]]</f>
        <v>59.72</v>
      </c>
      <c r="Z220" s="8">
        <f>RawSalesTable[[#This Row],[Gross_Sales]]*RawSalesTable[[#This Row],[Discount_Pct]]</f>
        <v>5.9720000000000004</v>
      </c>
      <c r="AA220" s="8">
        <f>RawSalesTable[[#This Row],[Gross_Sales]]-RawSalesTable[[#This Row],[Discount_Amount]]</f>
        <v>53.747999999999998</v>
      </c>
      <c r="AB220" s="8">
        <f>RawSalesTable[[#This Row],[Unit_Cost]]*RawSalesTable[[#This Row],[Quantity]]</f>
        <v>29.16</v>
      </c>
      <c r="AC220" s="8">
        <f>RawSalesTable[[#This Row],[Net_Sales]]-RawSalesTable[[#This Row],[Total_Cost]]</f>
        <v>24.587999999999997</v>
      </c>
      <c r="AD220" s="9">
        <f>RawSalesTable[[#This Row],[Profit]]/RawSalesTable[[#This Row],[Net_Sales]]</f>
        <v>0.45746818486269253</v>
      </c>
      <c r="AE220" s="8">
        <f>IF(RawSalesTable[[#This Row],[Return_Status]]="Yes",1,0)</f>
        <v>0</v>
      </c>
      <c r="AF220" s="8">
        <f>YEAR(RawSalesTable[[#This Row],[Order_Date]])</f>
        <v>2025</v>
      </c>
      <c r="AG220" s="8">
        <f>MONTH(RawSalesTable[[#This Row],[Order_Date]])</f>
        <v>1</v>
      </c>
      <c r="AH220" s="8" t="str">
        <f>TEXT(RawSalesTable[[#This Row],[Order_Date]],"mmmm")</f>
        <v>janvier</v>
      </c>
      <c r="AI220" s="8" t="str">
        <f>IF(RawSalesTable[[#This Row],[Month_Number]]&lt;=3,"Q1",IF(RawSalesTable[[#This Row],[Month_Number]]&lt;=6,"Q2",IF(RawSalesTable[[#This Row],[Month_Number]]&lt;=9,"Q3","Q4")))</f>
        <v>Q1</v>
      </c>
      <c r="AJ220" s="13">
        <f>DATE(YEAR(RawSalesTable[[#This Row],[Order_Date]]),MONTH(RawSalesTable[[#This Row],[Order_Date]]),1)</f>
        <v>45658</v>
      </c>
      <c r="AK220" s="8" t="str">
        <f>VLOOKUP(RawSalesTable[[#This Row],[Customer_ID_clean]],CustomersTable[],4,FALSE)</f>
        <v>Alberta</v>
      </c>
    </row>
    <row r="221" spans="1:37">
      <c r="A221" t="s">
        <v>582</v>
      </c>
      <c r="B221" s="3">
        <v>45718</v>
      </c>
      <c r="C221" t="s">
        <v>243</v>
      </c>
      <c r="D221" t="s">
        <v>418</v>
      </c>
      <c r="E221" t="s">
        <v>245</v>
      </c>
      <c r="F221" t="s">
        <v>116</v>
      </c>
      <c r="G221" t="s">
        <v>171</v>
      </c>
      <c r="H221" t="s">
        <v>97</v>
      </c>
      <c r="I221">
        <v>3</v>
      </c>
      <c r="J221" s="2">
        <v>377.43</v>
      </c>
      <c r="K221" s="4">
        <v>0.1</v>
      </c>
      <c r="L221" t="s">
        <v>106</v>
      </c>
      <c r="M221">
        <v>2</v>
      </c>
      <c r="N221" t="s">
        <v>91</v>
      </c>
      <c r="O221" t="str">
        <f>SUBSTITUTE(PROPER(TRIM(RawSalesTable[[#This Row],[Channel_Raw]])), "Market Place", "Marketplace")</f>
        <v>Retail Store</v>
      </c>
      <c r="P221" t="str">
        <f>TRIM(RawSalesTable[[#This Row],[Store_Raw]])</f>
        <v>Toronto Downtown</v>
      </c>
      <c r="Q221" t="str">
        <f>IF(TRIM(RawSalesTable[[#This Row],[Payment_Method_Raw]])="","Non renseigné",SUBSTITUTE(TRIM(RawSalesTable[[#This Row],[Payment_Method_Raw]]),"CC","Credit Card"))</f>
        <v>Credit Card</v>
      </c>
      <c r="R221" s="8" t="str">
        <f>UPPER(PROPER(RawSalesTable[[#This Row],[Customer_ID]]))</f>
        <v>C0048</v>
      </c>
      <c r="S221" s="8" t="str">
        <f>TRIM(LEFT(RawSalesTable[[#This Row],[Customer_Info]],FIND(",",RawSalesTable[[#This Row],[Customer_Info]]) -1))</f>
        <v>Amelia Brown</v>
      </c>
      <c r="T221" s="8" t="str">
        <f>TRIM(MID(RawSalesTable[[#This Row],[Customer_Info]],FIND(",",RawSalesTable[[#This Row],[Customer_Info]])+1,FIND(",",RawSalesTable[[#This Row],[Customer_Info]],FIND(",",RawSalesTable[[#This Row],[Customer_Info]])+1)-FIND(",",RawSalesTable[[#This Row],[Customer_Info]])-1))</f>
        <v>Quebec City</v>
      </c>
      <c r="U221" s="8" t="str">
        <f>TRIM(RIGHT(RawSalesTable[[#This Row],[Customer_Info]], LEN(RawSalesTable[[#This Row],[Customer_Info]])-FIND(",",RawSalesTable[[#This Row],[Customer_Info]],FIND(",",RawSalesTable[[#This Row],[Customer_Info]])+1)))</f>
        <v>Corporate</v>
      </c>
      <c r="V221" s="8" t="str">
        <f>VLOOKUP(RawSalesTable[[#This Row],[Product_ID]],ProductsTable[],2,FALSE)</f>
        <v>Foam Roller</v>
      </c>
      <c r="W221" s="8" t="str">
        <f>VLOOKUP(RawSalesTable[[#This Row],[Product_ID]],ProductsTable[],3,FALSE)</f>
        <v>Fitness</v>
      </c>
      <c r="X221" s="8">
        <f>VLOOKUP(RawSalesTable[[#This Row],[Product_ID]],ProductsTable[],5,FALSE)</f>
        <v>212.02</v>
      </c>
      <c r="Y221" s="8">
        <f>RawSalesTable[[#This Row],[Quantity]]*RawSalesTable[[#This Row],[Unit_Price]]</f>
        <v>1132.29</v>
      </c>
      <c r="Z221" s="8">
        <f>RawSalesTable[[#This Row],[Gross_Sales]]*RawSalesTable[[#This Row],[Discount_Pct]]</f>
        <v>113.229</v>
      </c>
      <c r="AA221" s="8">
        <f>RawSalesTable[[#This Row],[Gross_Sales]]-RawSalesTable[[#This Row],[Discount_Amount]]</f>
        <v>1019.0609999999999</v>
      </c>
      <c r="AB221" s="8">
        <f>RawSalesTable[[#This Row],[Unit_Cost]]*RawSalesTable[[#This Row],[Quantity]]</f>
        <v>636.06000000000006</v>
      </c>
      <c r="AC221" s="8">
        <f>RawSalesTable[[#This Row],[Net_Sales]]-RawSalesTable[[#This Row],[Total_Cost]]</f>
        <v>383.00099999999986</v>
      </c>
      <c r="AD221" s="9">
        <f>RawSalesTable[[#This Row],[Profit]]/RawSalesTable[[#This Row],[Net_Sales]]</f>
        <v>0.375837167745601</v>
      </c>
      <c r="AE221" s="8">
        <f>IF(RawSalesTable[[#This Row],[Return_Status]]="Yes",1,0)</f>
        <v>0</v>
      </c>
      <c r="AF221" s="8">
        <f>YEAR(RawSalesTable[[#This Row],[Order_Date]])</f>
        <v>2025</v>
      </c>
      <c r="AG221" s="8">
        <f>MONTH(RawSalesTable[[#This Row],[Order_Date]])</f>
        <v>3</v>
      </c>
      <c r="AH221" s="8" t="str">
        <f>TEXT(RawSalesTable[[#This Row],[Order_Date]],"mmmm")</f>
        <v>mars</v>
      </c>
      <c r="AI221" s="8" t="str">
        <f>IF(RawSalesTable[[#This Row],[Month_Number]]&lt;=3,"Q1",IF(RawSalesTable[[#This Row],[Month_Number]]&lt;=6,"Q2",IF(RawSalesTable[[#This Row],[Month_Number]]&lt;=9,"Q3","Q4")))</f>
        <v>Q1</v>
      </c>
      <c r="AJ221" s="13">
        <f>DATE(YEAR(RawSalesTable[[#This Row],[Order_Date]]),MONTH(RawSalesTable[[#This Row],[Order_Date]]),1)</f>
        <v>45717</v>
      </c>
      <c r="AK221" s="8" t="str">
        <f>VLOOKUP(RawSalesTable[[#This Row],[Customer_ID_clean]],CustomersTable[],4,FALSE)</f>
        <v>Quebec</v>
      </c>
    </row>
    <row r="222" spans="1:37">
      <c r="A222" t="s">
        <v>583</v>
      </c>
      <c r="B222" s="3">
        <v>45700</v>
      </c>
      <c r="C222" t="s">
        <v>386</v>
      </c>
      <c r="D222" t="s">
        <v>520</v>
      </c>
      <c r="E222" t="s">
        <v>576</v>
      </c>
      <c r="F222" t="s">
        <v>111</v>
      </c>
      <c r="G222" t="s">
        <v>122</v>
      </c>
      <c r="H222" t="s">
        <v>89</v>
      </c>
      <c r="I222">
        <v>2</v>
      </c>
      <c r="J222" s="2">
        <v>349.44</v>
      </c>
      <c r="K222" s="4">
        <v>0.05</v>
      </c>
      <c r="L222" t="s">
        <v>98</v>
      </c>
      <c r="M222">
        <v>1</v>
      </c>
      <c r="N222" t="s">
        <v>91</v>
      </c>
      <c r="O222" t="str">
        <f>SUBSTITUTE(PROPER(TRIM(RawSalesTable[[#This Row],[Channel_Raw]])), "Market Place", "Marketplace")</f>
        <v>Online</v>
      </c>
      <c r="P222" t="str">
        <f>TRIM(RawSalesTable[[#This Row],[Store_Raw]])</f>
        <v>Montreal Central</v>
      </c>
      <c r="Q222" t="str">
        <f>IF(TRIM(RawSalesTable[[#This Row],[Payment_Method_Raw]])="","Non renseigné",SUBSTITUTE(TRIM(RawSalesTable[[#This Row],[Payment_Method_Raw]]),"CC","Credit Card"))</f>
        <v>Debit Card</v>
      </c>
      <c r="R222" s="8" t="str">
        <f>UPPER(PROPER(RawSalesTable[[#This Row],[Customer_ID]]))</f>
        <v>C0009</v>
      </c>
      <c r="S222" s="8" t="str">
        <f>TRIM(LEFT(RawSalesTable[[#This Row],[Customer_Info]],FIND(",",RawSalesTable[[#This Row],[Customer_Info]]) -1))</f>
        <v>Ethan Tremblay</v>
      </c>
      <c r="T222" s="8" t="str">
        <f>TRIM(MID(RawSalesTable[[#This Row],[Customer_Info]],FIND(",",RawSalesTable[[#This Row],[Customer_Info]])+1,FIND(",",RawSalesTable[[#This Row],[Customer_Info]],FIND(",",RawSalesTable[[#This Row],[Customer_Info]])+1)-FIND(",",RawSalesTable[[#This Row],[Customer_Info]])-1))</f>
        <v>Mississauga</v>
      </c>
      <c r="U222" s="8" t="str">
        <f>TRIM(RIGHT(RawSalesTable[[#This Row],[Customer_Info]], LEN(RawSalesTable[[#This Row],[Customer_Info]])-FIND(",",RawSalesTable[[#This Row],[Customer_Info]],FIND(",",RawSalesTable[[#This Row],[Customer_Info]])+1)))</f>
        <v>Corporate</v>
      </c>
      <c r="V222" s="8" t="str">
        <f>VLOOKUP(RawSalesTable[[#This Row],[Product_ID]],ProductsTable[],2,FALSE)</f>
        <v>Coffee Maker</v>
      </c>
      <c r="W222" s="8" t="str">
        <f>VLOOKUP(RawSalesTable[[#This Row],[Product_ID]],ProductsTable[],3,FALSE)</f>
        <v>Home</v>
      </c>
      <c r="X222" s="8">
        <f>VLOOKUP(RawSalesTable[[#This Row],[Product_ID]],ProductsTable[],5,FALSE)</f>
        <v>241.16</v>
      </c>
      <c r="Y222" s="8">
        <f>RawSalesTable[[#This Row],[Quantity]]*RawSalesTable[[#This Row],[Unit_Price]]</f>
        <v>698.88</v>
      </c>
      <c r="Z222" s="8">
        <f>RawSalesTable[[#This Row],[Gross_Sales]]*RawSalesTable[[#This Row],[Discount_Pct]]</f>
        <v>34.944000000000003</v>
      </c>
      <c r="AA222" s="8">
        <f>RawSalesTable[[#This Row],[Gross_Sales]]-RawSalesTable[[#This Row],[Discount_Amount]]</f>
        <v>663.93600000000004</v>
      </c>
      <c r="AB222" s="8">
        <f>RawSalesTable[[#This Row],[Unit_Cost]]*RawSalesTable[[#This Row],[Quantity]]</f>
        <v>482.32</v>
      </c>
      <c r="AC222" s="8">
        <f>RawSalesTable[[#This Row],[Net_Sales]]-RawSalesTable[[#This Row],[Total_Cost]]</f>
        <v>181.61600000000004</v>
      </c>
      <c r="AD222" s="9">
        <f>RawSalesTable[[#This Row],[Profit]]/RawSalesTable[[#This Row],[Net_Sales]]</f>
        <v>0.27354443801812228</v>
      </c>
      <c r="AE222" s="8">
        <f>IF(RawSalesTable[[#This Row],[Return_Status]]="Yes",1,0)</f>
        <v>0</v>
      </c>
      <c r="AF222" s="8">
        <f>YEAR(RawSalesTable[[#This Row],[Order_Date]])</f>
        <v>2025</v>
      </c>
      <c r="AG222" s="8">
        <f>MONTH(RawSalesTable[[#This Row],[Order_Date]])</f>
        <v>2</v>
      </c>
      <c r="AH222" s="8" t="str">
        <f>TEXT(RawSalesTable[[#This Row],[Order_Date]],"mmmm")</f>
        <v>février</v>
      </c>
      <c r="AI222" s="8" t="str">
        <f>IF(RawSalesTable[[#This Row],[Month_Number]]&lt;=3,"Q1",IF(RawSalesTable[[#This Row],[Month_Number]]&lt;=6,"Q2",IF(RawSalesTable[[#This Row],[Month_Number]]&lt;=9,"Q3","Q4")))</f>
        <v>Q1</v>
      </c>
      <c r="AJ222" s="13">
        <f>DATE(YEAR(RawSalesTable[[#This Row],[Order_Date]]),MONTH(RawSalesTable[[#This Row],[Order_Date]]),1)</f>
        <v>45689</v>
      </c>
      <c r="AK222" s="8" t="str">
        <f>VLOOKUP(RawSalesTable[[#This Row],[Customer_ID_clean]],CustomersTable[],4,FALSE)</f>
        <v>Ontario</v>
      </c>
    </row>
    <row r="223" spans="1:37">
      <c r="A223" t="s">
        <v>584</v>
      </c>
      <c r="B223" s="3">
        <v>45990</v>
      </c>
      <c r="C223" t="s">
        <v>548</v>
      </c>
      <c r="D223" t="s">
        <v>418</v>
      </c>
      <c r="E223" t="s">
        <v>585</v>
      </c>
      <c r="F223" t="s">
        <v>87</v>
      </c>
      <c r="G223" t="s">
        <v>104</v>
      </c>
      <c r="H223" t="s">
        <v>89</v>
      </c>
      <c r="I223">
        <v>1</v>
      </c>
      <c r="J223" s="2">
        <v>371.09</v>
      </c>
      <c r="K223" s="4">
        <v>0</v>
      </c>
      <c r="L223" t="s">
        <v>98</v>
      </c>
      <c r="M223">
        <v>9</v>
      </c>
      <c r="N223" t="s">
        <v>91</v>
      </c>
      <c r="O223" t="str">
        <f>SUBSTITUTE(PROPER(TRIM(RawSalesTable[[#This Row],[Channel_Raw]])), "Market Place", "Marketplace")</f>
        <v>Online</v>
      </c>
      <c r="P223" t="str">
        <f>TRIM(RawSalesTable[[#This Row],[Store_Raw]])</f>
        <v>Online Fulfillment</v>
      </c>
      <c r="Q223" t="str">
        <f>IF(TRIM(RawSalesTable[[#This Row],[Payment_Method_Raw]])="","Non renseigné",SUBSTITUTE(TRIM(RawSalesTable[[#This Row],[Payment_Method_Raw]]),"CC","Credit Card"))</f>
        <v>Debit Card</v>
      </c>
      <c r="R223" s="8" t="str">
        <f>UPPER(PROPER(RawSalesTable[[#This Row],[Customer_ID]]))</f>
        <v>C0099</v>
      </c>
      <c r="S223" s="8" t="str">
        <f>TRIM(LEFT(RawSalesTable[[#This Row],[Customer_Info]],FIND(",",RawSalesTable[[#This Row],[Customer_Info]]) -1))</f>
        <v>Amine Gagnon</v>
      </c>
      <c r="T223" s="8" t="str">
        <f>TRIM(MID(RawSalesTable[[#This Row],[Customer_Info]],FIND(",",RawSalesTable[[#This Row],[Customer_Info]])+1,FIND(",",RawSalesTable[[#This Row],[Customer_Info]],FIND(",",RawSalesTable[[#This Row],[Customer_Info]])+1)-FIND(",",RawSalesTable[[#This Row],[Customer_Info]])-1))</f>
        <v>Laval</v>
      </c>
      <c r="U223" s="8" t="str">
        <f>TRIM(RIGHT(RawSalesTable[[#This Row],[Customer_Info]], LEN(RawSalesTable[[#This Row],[Customer_Info]])-FIND(",",RawSalesTable[[#This Row],[Customer_Info]],FIND(",",RawSalesTable[[#This Row],[Customer_Info]])+1)))</f>
        <v>Small Business</v>
      </c>
      <c r="V223" s="8" t="str">
        <f>VLOOKUP(RawSalesTable[[#This Row],[Product_ID]],ProductsTable[],2,FALSE)</f>
        <v>Foam Roller</v>
      </c>
      <c r="W223" s="8" t="str">
        <f>VLOOKUP(RawSalesTable[[#This Row],[Product_ID]],ProductsTable[],3,FALSE)</f>
        <v>Fitness</v>
      </c>
      <c r="X223" s="8">
        <f>VLOOKUP(RawSalesTable[[#This Row],[Product_ID]],ProductsTable[],5,FALSE)</f>
        <v>212.02</v>
      </c>
      <c r="Y223" s="8">
        <f>RawSalesTable[[#This Row],[Quantity]]*RawSalesTable[[#This Row],[Unit_Price]]</f>
        <v>371.09</v>
      </c>
      <c r="Z223" s="8">
        <f>RawSalesTable[[#This Row],[Gross_Sales]]*RawSalesTable[[#This Row],[Discount_Pct]]</f>
        <v>0</v>
      </c>
      <c r="AA223" s="8">
        <f>RawSalesTable[[#This Row],[Gross_Sales]]-RawSalesTable[[#This Row],[Discount_Amount]]</f>
        <v>371.09</v>
      </c>
      <c r="AB223" s="8">
        <f>RawSalesTable[[#This Row],[Unit_Cost]]*RawSalesTable[[#This Row],[Quantity]]</f>
        <v>212.02</v>
      </c>
      <c r="AC223" s="8">
        <f>RawSalesTable[[#This Row],[Net_Sales]]-RawSalesTable[[#This Row],[Total_Cost]]</f>
        <v>159.06999999999996</v>
      </c>
      <c r="AD223" s="9">
        <f>RawSalesTable[[#This Row],[Profit]]/RawSalesTable[[#This Row],[Net_Sales]]</f>
        <v>0.42865612115659268</v>
      </c>
      <c r="AE223" s="8">
        <f>IF(RawSalesTable[[#This Row],[Return_Status]]="Yes",1,0)</f>
        <v>0</v>
      </c>
      <c r="AF223" s="8">
        <f>YEAR(RawSalesTable[[#This Row],[Order_Date]])</f>
        <v>2025</v>
      </c>
      <c r="AG223" s="8">
        <f>MONTH(RawSalesTable[[#This Row],[Order_Date]])</f>
        <v>11</v>
      </c>
      <c r="AH223" s="8" t="str">
        <f>TEXT(RawSalesTable[[#This Row],[Order_Date]],"mmmm")</f>
        <v>novembre</v>
      </c>
      <c r="AI223" s="8" t="str">
        <f>IF(RawSalesTable[[#This Row],[Month_Number]]&lt;=3,"Q1",IF(RawSalesTable[[#This Row],[Month_Number]]&lt;=6,"Q2",IF(RawSalesTable[[#This Row],[Month_Number]]&lt;=9,"Q3","Q4")))</f>
        <v>Q4</v>
      </c>
      <c r="AJ223" s="13">
        <f>DATE(YEAR(RawSalesTable[[#This Row],[Order_Date]]),MONTH(RawSalesTable[[#This Row],[Order_Date]]),1)</f>
        <v>45962</v>
      </c>
      <c r="AK223" s="8" t="str">
        <f>VLOOKUP(RawSalesTable[[#This Row],[Customer_ID_clean]],CustomersTable[],4,FALSE)</f>
        <v>Quebec</v>
      </c>
    </row>
    <row r="224" spans="1:37">
      <c r="A224" t="s">
        <v>586</v>
      </c>
      <c r="B224" s="3">
        <v>45898</v>
      </c>
      <c r="C224" t="s">
        <v>569</v>
      </c>
      <c r="D224" t="s">
        <v>174</v>
      </c>
      <c r="E224" t="s">
        <v>570</v>
      </c>
      <c r="F224" t="s">
        <v>116</v>
      </c>
      <c r="G224" t="s">
        <v>104</v>
      </c>
      <c r="H224" t="s">
        <v>89</v>
      </c>
      <c r="I224">
        <v>2</v>
      </c>
      <c r="J224" s="2">
        <v>37.97</v>
      </c>
      <c r="K224" s="4">
        <v>0.1</v>
      </c>
      <c r="L224" t="s">
        <v>90</v>
      </c>
      <c r="M224">
        <v>7</v>
      </c>
      <c r="N224" t="s">
        <v>91</v>
      </c>
      <c r="O224" t="str">
        <f>SUBSTITUTE(PROPER(TRIM(RawSalesTable[[#This Row],[Channel_Raw]])), "Market Place", "Marketplace")</f>
        <v>Online</v>
      </c>
      <c r="P224" t="str">
        <f>TRIM(RawSalesTable[[#This Row],[Store_Raw]])</f>
        <v>Toronto Downtown</v>
      </c>
      <c r="Q224" t="str">
        <f>IF(TRIM(RawSalesTable[[#This Row],[Payment_Method_Raw]])="","Non renseigné",SUBSTITUTE(TRIM(RawSalesTable[[#This Row],[Payment_Method_Raw]]),"CC","Credit Card"))</f>
        <v>PayPal</v>
      </c>
      <c r="R224" s="8" t="str">
        <f>UPPER(PROPER(RawSalesTable[[#This Row],[Customer_ID]]))</f>
        <v>C0087</v>
      </c>
      <c r="S224" s="8" t="str">
        <f>TRIM(LEFT(RawSalesTable[[#This Row],[Customer_Info]],FIND(",",RawSalesTable[[#This Row],[Customer_Info]]) -1))</f>
        <v>Daniel Johnson</v>
      </c>
      <c r="T224" s="8" t="str">
        <f>TRIM(MID(RawSalesTable[[#This Row],[Customer_Info]],FIND(",",RawSalesTable[[#This Row],[Customer_Info]])+1,FIND(",",RawSalesTable[[#This Row],[Customer_Info]],FIND(",",RawSalesTable[[#This Row],[Customer_Info]])+1)-FIND(",",RawSalesTable[[#This Row],[Customer_Info]])-1))</f>
        <v>Halifax</v>
      </c>
      <c r="U224" s="8" t="str">
        <f>TRIM(RIGHT(RawSalesTable[[#This Row],[Customer_Info]], LEN(RawSalesTable[[#This Row],[Customer_Info]])-FIND(",",RawSalesTable[[#This Row],[Customer_Info]],FIND(",",RawSalesTable[[#This Row],[Customer_Info]])+1)))</f>
        <v>Consumer</v>
      </c>
      <c r="V224" s="8" t="str">
        <f>VLOOKUP(RawSalesTable[[#This Row],[Product_ID]],ProductsTable[],2,FALSE)</f>
        <v>Keyboard</v>
      </c>
      <c r="W224" s="8" t="str">
        <f>VLOOKUP(RawSalesTable[[#This Row],[Product_ID]],ProductsTable[],3,FALSE)</f>
        <v>Electronics</v>
      </c>
      <c r="X224" s="8">
        <f>VLOOKUP(RawSalesTable[[#This Row],[Product_ID]],ProductsTable[],5,FALSE)</f>
        <v>23.5</v>
      </c>
      <c r="Y224" s="8">
        <f>RawSalesTable[[#This Row],[Quantity]]*RawSalesTable[[#This Row],[Unit_Price]]</f>
        <v>75.94</v>
      </c>
      <c r="Z224" s="8">
        <f>RawSalesTable[[#This Row],[Gross_Sales]]*RawSalesTable[[#This Row],[Discount_Pct]]</f>
        <v>7.5940000000000003</v>
      </c>
      <c r="AA224" s="8">
        <f>RawSalesTable[[#This Row],[Gross_Sales]]-RawSalesTable[[#This Row],[Discount_Amount]]</f>
        <v>68.346000000000004</v>
      </c>
      <c r="AB224" s="8">
        <f>RawSalesTable[[#This Row],[Unit_Cost]]*RawSalesTable[[#This Row],[Quantity]]</f>
        <v>47</v>
      </c>
      <c r="AC224" s="8">
        <f>RawSalesTable[[#This Row],[Net_Sales]]-RawSalesTable[[#This Row],[Total_Cost]]</f>
        <v>21.346000000000004</v>
      </c>
      <c r="AD224" s="9">
        <f>RawSalesTable[[#This Row],[Profit]]/RawSalesTable[[#This Row],[Net_Sales]]</f>
        <v>0.31232259386065025</v>
      </c>
      <c r="AE224" s="8">
        <f>IF(RawSalesTable[[#This Row],[Return_Status]]="Yes",1,0)</f>
        <v>0</v>
      </c>
      <c r="AF224" s="8">
        <f>YEAR(RawSalesTable[[#This Row],[Order_Date]])</f>
        <v>2025</v>
      </c>
      <c r="AG224" s="8">
        <f>MONTH(RawSalesTable[[#This Row],[Order_Date]])</f>
        <v>8</v>
      </c>
      <c r="AH224" s="8" t="str">
        <f>TEXT(RawSalesTable[[#This Row],[Order_Date]],"mmmm")</f>
        <v>août</v>
      </c>
      <c r="AI224" s="8" t="str">
        <f>IF(RawSalesTable[[#This Row],[Month_Number]]&lt;=3,"Q1",IF(RawSalesTable[[#This Row],[Month_Number]]&lt;=6,"Q2",IF(RawSalesTable[[#This Row],[Month_Number]]&lt;=9,"Q3","Q4")))</f>
        <v>Q3</v>
      </c>
      <c r="AJ224" s="13">
        <f>DATE(YEAR(RawSalesTable[[#This Row],[Order_Date]]),MONTH(RawSalesTable[[#This Row],[Order_Date]]),1)</f>
        <v>45870</v>
      </c>
      <c r="AK224" s="8" t="str">
        <f>VLOOKUP(RawSalesTable[[#This Row],[Customer_ID_clean]],CustomersTable[],4,FALSE)</f>
        <v>Nova Scotia</v>
      </c>
    </row>
    <row r="225" spans="1:37">
      <c r="A225" t="s">
        <v>587</v>
      </c>
      <c r="B225" s="3">
        <v>45906</v>
      </c>
      <c r="C225" t="s">
        <v>305</v>
      </c>
      <c r="D225" t="s">
        <v>94</v>
      </c>
      <c r="E225" t="s">
        <v>306</v>
      </c>
      <c r="F225" t="s">
        <v>145</v>
      </c>
      <c r="G225" t="s">
        <v>104</v>
      </c>
      <c r="H225" t="s">
        <v>89</v>
      </c>
      <c r="I225">
        <v>1</v>
      </c>
      <c r="J225" s="2">
        <v>313.10000000000002</v>
      </c>
      <c r="K225" s="4">
        <v>0</v>
      </c>
      <c r="L225" t="s">
        <v>106</v>
      </c>
      <c r="M225">
        <v>8</v>
      </c>
      <c r="N225" t="s">
        <v>91</v>
      </c>
      <c r="O225" t="str">
        <f>SUBSTITUTE(PROPER(TRIM(RawSalesTable[[#This Row],[Channel_Raw]])), "Market Place", "Marketplace")</f>
        <v>Online</v>
      </c>
      <c r="P225" t="str">
        <f>TRIM(RawSalesTable[[#This Row],[Store_Raw]])</f>
        <v>Calgary North</v>
      </c>
      <c r="Q225" t="str">
        <f>IF(TRIM(RawSalesTable[[#This Row],[Payment_Method_Raw]])="","Non renseigné",SUBSTITUTE(TRIM(RawSalesTable[[#This Row],[Payment_Method_Raw]]),"CC","Credit Card"))</f>
        <v>Credit Card</v>
      </c>
      <c r="R225" s="8" t="str">
        <f>UPPER(PROPER(RawSalesTable[[#This Row],[Customer_ID]]))</f>
        <v>C0055</v>
      </c>
      <c r="S225" s="8" t="str">
        <f>TRIM(LEFT(RawSalesTable[[#This Row],[Customer_Info]],FIND(",",RawSalesTable[[#This Row],[Customer_Info]]) -1))</f>
        <v>Sarah Scott</v>
      </c>
      <c r="T225" s="8" t="str">
        <f>TRIM(MID(RawSalesTable[[#This Row],[Customer_Info]],FIND(",",RawSalesTable[[#This Row],[Customer_Info]])+1,FIND(",",RawSalesTable[[#This Row],[Customer_Info]],FIND(",",RawSalesTable[[#This Row],[Customer_Info]])+1)-FIND(",",RawSalesTable[[#This Row],[Customer_Info]])-1))</f>
        <v>Surrey</v>
      </c>
      <c r="U225" s="8" t="str">
        <f>TRIM(RIGHT(RawSalesTable[[#This Row],[Customer_Info]], LEN(RawSalesTable[[#This Row],[Customer_Info]])-FIND(",",RawSalesTable[[#This Row],[Customer_Info]],FIND(",",RawSalesTable[[#This Row],[Customer_Info]])+1)))</f>
        <v>Consumer</v>
      </c>
      <c r="V225" s="8" t="str">
        <f>VLOOKUP(RawSalesTable[[#This Row],[Product_ID]],ProductsTable[],2,FALSE)</f>
        <v>Backpack</v>
      </c>
      <c r="W225" s="8" t="str">
        <f>VLOOKUP(RawSalesTable[[#This Row],[Product_ID]],ProductsTable[],3,FALSE)</f>
        <v>Accessories</v>
      </c>
      <c r="X225" s="8">
        <f>VLOOKUP(RawSalesTable[[#This Row],[Product_ID]],ProductsTable[],5,FALSE)</f>
        <v>152.55000000000001</v>
      </c>
      <c r="Y225" s="8">
        <f>RawSalesTable[[#This Row],[Quantity]]*RawSalesTable[[#This Row],[Unit_Price]]</f>
        <v>313.10000000000002</v>
      </c>
      <c r="Z225" s="8">
        <f>RawSalesTable[[#This Row],[Gross_Sales]]*RawSalesTable[[#This Row],[Discount_Pct]]</f>
        <v>0</v>
      </c>
      <c r="AA225" s="8">
        <f>RawSalesTable[[#This Row],[Gross_Sales]]-RawSalesTable[[#This Row],[Discount_Amount]]</f>
        <v>313.10000000000002</v>
      </c>
      <c r="AB225" s="8">
        <f>RawSalesTable[[#This Row],[Unit_Cost]]*RawSalesTable[[#This Row],[Quantity]]</f>
        <v>152.55000000000001</v>
      </c>
      <c r="AC225" s="8">
        <f>RawSalesTable[[#This Row],[Net_Sales]]-RawSalesTable[[#This Row],[Total_Cost]]</f>
        <v>160.55000000000001</v>
      </c>
      <c r="AD225" s="9">
        <f>RawSalesTable[[#This Row],[Profit]]/RawSalesTable[[#This Row],[Net_Sales]]</f>
        <v>0.51277547109549659</v>
      </c>
      <c r="AE225" s="8">
        <f>IF(RawSalesTable[[#This Row],[Return_Status]]="Yes",1,0)</f>
        <v>0</v>
      </c>
      <c r="AF225" s="8">
        <f>YEAR(RawSalesTable[[#This Row],[Order_Date]])</f>
        <v>2025</v>
      </c>
      <c r="AG225" s="8">
        <f>MONTH(RawSalesTable[[#This Row],[Order_Date]])</f>
        <v>9</v>
      </c>
      <c r="AH225" s="8" t="str">
        <f>TEXT(RawSalesTable[[#This Row],[Order_Date]],"mmmm")</f>
        <v>septembre</v>
      </c>
      <c r="AI225" s="8" t="str">
        <f>IF(RawSalesTable[[#This Row],[Month_Number]]&lt;=3,"Q1",IF(RawSalesTable[[#This Row],[Month_Number]]&lt;=6,"Q2",IF(RawSalesTable[[#This Row],[Month_Number]]&lt;=9,"Q3","Q4")))</f>
        <v>Q3</v>
      </c>
      <c r="AJ225" s="13">
        <f>DATE(YEAR(RawSalesTable[[#This Row],[Order_Date]]),MONTH(RawSalesTable[[#This Row],[Order_Date]]),1)</f>
        <v>45901</v>
      </c>
      <c r="AK225" s="8" t="str">
        <f>VLOOKUP(RawSalesTable[[#This Row],[Customer_ID_clean]],CustomersTable[],4,FALSE)</f>
        <v>British Columbia</v>
      </c>
    </row>
    <row r="226" spans="1:37">
      <c r="A226" t="s">
        <v>588</v>
      </c>
      <c r="B226" s="3">
        <v>45795</v>
      </c>
      <c r="C226" t="s">
        <v>543</v>
      </c>
      <c r="D226" t="s">
        <v>469</v>
      </c>
      <c r="E226" t="s">
        <v>589</v>
      </c>
      <c r="F226" t="s">
        <v>87</v>
      </c>
      <c r="G226" t="s">
        <v>96</v>
      </c>
      <c r="H226" t="s">
        <v>105</v>
      </c>
      <c r="I226">
        <v>1</v>
      </c>
      <c r="J226" s="2">
        <v>88.17</v>
      </c>
      <c r="K226" s="4">
        <v>0.15</v>
      </c>
      <c r="L226" t="s">
        <v>98</v>
      </c>
      <c r="M226">
        <v>1</v>
      </c>
      <c r="N226" t="s">
        <v>91</v>
      </c>
      <c r="O226" t="str">
        <f>SUBSTITUTE(PROPER(TRIM(RawSalesTable[[#This Row],[Channel_Raw]])), "Market Place", "Marketplace")</f>
        <v>Marketplace</v>
      </c>
      <c r="P226" t="str">
        <f>TRIM(RawSalesTable[[#This Row],[Store_Raw]])</f>
        <v>Online Fulfillment</v>
      </c>
      <c r="Q226" t="str">
        <f>IF(TRIM(RawSalesTable[[#This Row],[Payment_Method_Raw]])="","Non renseigné",SUBSTITUTE(TRIM(RawSalesTable[[#This Row],[Payment_Method_Raw]]),"CC","Credit Card"))</f>
        <v>Debit Card</v>
      </c>
      <c r="R226" s="8" t="str">
        <f>UPPER(PROPER(RawSalesTable[[#This Row],[Customer_ID]]))</f>
        <v>C0031</v>
      </c>
      <c r="S226" s="8" t="str">
        <f>TRIM(LEFT(RawSalesTable[[#This Row],[Customer_Info]],FIND(",",RawSalesTable[[#This Row],[Customer_Info]]) -1))</f>
        <v>Leo Gagnon</v>
      </c>
      <c r="T226" s="8" t="str">
        <f>TRIM(MID(RawSalesTable[[#This Row],[Customer_Info]],FIND(",",RawSalesTable[[#This Row],[Customer_Info]])+1,FIND(",",RawSalesTable[[#This Row],[Customer_Info]],FIND(",",RawSalesTable[[#This Row],[Customer_Info]])+1)-FIND(",",RawSalesTable[[#This Row],[Customer_Info]])-1))</f>
        <v>Surrey</v>
      </c>
      <c r="U226" s="8" t="str">
        <f>TRIM(RIGHT(RawSalesTable[[#This Row],[Customer_Info]], LEN(RawSalesTable[[#This Row],[Customer_Info]])-FIND(",",RawSalesTable[[#This Row],[Customer_Info]],FIND(",",RawSalesTable[[#This Row],[Customer_Info]])+1)))</f>
        <v>Small Business</v>
      </c>
      <c r="V226" s="8" t="str">
        <f>VLOOKUP(RawSalesTable[[#This Row],[Product_ID]],ProductsTable[],2,FALSE)</f>
        <v>Phone Stand</v>
      </c>
      <c r="W226" s="8" t="str">
        <f>VLOOKUP(RawSalesTable[[#This Row],[Product_ID]],ProductsTable[],3,FALSE)</f>
        <v>Accessories</v>
      </c>
      <c r="X226" s="8">
        <f>VLOOKUP(RawSalesTable[[#This Row],[Product_ID]],ProductsTable[],5,FALSE)</f>
        <v>59.85</v>
      </c>
      <c r="Y226" s="8">
        <f>RawSalesTable[[#This Row],[Quantity]]*RawSalesTable[[#This Row],[Unit_Price]]</f>
        <v>88.17</v>
      </c>
      <c r="Z226" s="8">
        <f>RawSalesTable[[#This Row],[Gross_Sales]]*RawSalesTable[[#This Row],[Discount_Pct]]</f>
        <v>13.2255</v>
      </c>
      <c r="AA226" s="8">
        <f>RawSalesTable[[#This Row],[Gross_Sales]]-RawSalesTable[[#This Row],[Discount_Amount]]</f>
        <v>74.944500000000005</v>
      </c>
      <c r="AB226" s="8">
        <f>RawSalesTable[[#This Row],[Unit_Cost]]*RawSalesTable[[#This Row],[Quantity]]</f>
        <v>59.85</v>
      </c>
      <c r="AC226" s="8">
        <f>RawSalesTable[[#This Row],[Net_Sales]]-RawSalesTable[[#This Row],[Total_Cost]]</f>
        <v>15.094500000000004</v>
      </c>
      <c r="AD226" s="9">
        <f>RawSalesTable[[#This Row],[Profit]]/RawSalesTable[[#This Row],[Net_Sales]]</f>
        <v>0.20140904269159182</v>
      </c>
      <c r="AE226" s="8">
        <f>IF(RawSalesTable[[#This Row],[Return_Status]]="Yes",1,0)</f>
        <v>0</v>
      </c>
      <c r="AF226" s="8">
        <f>YEAR(RawSalesTable[[#This Row],[Order_Date]])</f>
        <v>2025</v>
      </c>
      <c r="AG226" s="8">
        <f>MONTH(RawSalesTable[[#This Row],[Order_Date]])</f>
        <v>5</v>
      </c>
      <c r="AH226" s="8" t="str">
        <f>TEXT(RawSalesTable[[#This Row],[Order_Date]],"mmmm")</f>
        <v>mai</v>
      </c>
      <c r="AI226" s="8" t="str">
        <f>IF(RawSalesTable[[#This Row],[Month_Number]]&lt;=3,"Q1",IF(RawSalesTable[[#This Row],[Month_Number]]&lt;=6,"Q2",IF(RawSalesTable[[#This Row],[Month_Number]]&lt;=9,"Q3","Q4")))</f>
        <v>Q2</v>
      </c>
      <c r="AJ226" s="13">
        <f>DATE(YEAR(RawSalesTable[[#This Row],[Order_Date]]),MONTH(RawSalesTable[[#This Row],[Order_Date]]),1)</f>
        <v>45778</v>
      </c>
      <c r="AK226" s="8" t="str">
        <f>VLOOKUP(RawSalesTable[[#This Row],[Customer_ID_clean]],CustomersTable[],4,FALSE)</f>
        <v>British Columbia</v>
      </c>
    </row>
    <row r="227" spans="1:37">
      <c r="A227" t="s">
        <v>590</v>
      </c>
      <c r="B227" s="3">
        <v>45666</v>
      </c>
      <c r="C227" t="s">
        <v>203</v>
      </c>
      <c r="D227" t="s">
        <v>252</v>
      </c>
      <c r="E227" t="s">
        <v>204</v>
      </c>
      <c r="F227" t="s">
        <v>111</v>
      </c>
      <c r="G227" t="s">
        <v>104</v>
      </c>
      <c r="H227" t="s">
        <v>97</v>
      </c>
      <c r="I227">
        <v>4</v>
      </c>
      <c r="J227" s="2">
        <v>263.74</v>
      </c>
      <c r="K227" s="4">
        <v>0</v>
      </c>
      <c r="L227" t="s">
        <v>98</v>
      </c>
      <c r="M227">
        <v>1</v>
      </c>
      <c r="N227" t="s">
        <v>147</v>
      </c>
      <c r="O227" t="str">
        <f>SUBSTITUTE(PROPER(TRIM(RawSalesTable[[#This Row],[Channel_Raw]])), "Market Place", "Marketplace")</f>
        <v>Retail Store</v>
      </c>
      <c r="P227" t="str">
        <f>TRIM(RawSalesTable[[#This Row],[Store_Raw]])</f>
        <v>Montreal Central</v>
      </c>
      <c r="Q227" t="str">
        <f>IF(TRIM(RawSalesTable[[#This Row],[Payment_Method_Raw]])="","Non renseigné",SUBSTITUTE(TRIM(RawSalesTable[[#This Row],[Payment_Method_Raw]]),"CC","Credit Card"))</f>
        <v>Debit Card</v>
      </c>
      <c r="R227" s="8" t="str">
        <f>UPPER(PROPER(RawSalesTable[[#This Row],[Customer_ID]]))</f>
        <v>C0029</v>
      </c>
      <c r="S227" s="8" t="str">
        <f>TRIM(LEFT(RawSalesTable[[#This Row],[Customer_Info]],FIND(",",RawSalesTable[[#This Row],[Customer_Info]]) -1))</f>
        <v>Olivia White</v>
      </c>
      <c r="T227" s="8" t="str">
        <f>TRIM(MID(RawSalesTable[[#This Row],[Customer_Info]],FIND(",",RawSalesTable[[#This Row],[Customer_Info]])+1,FIND(",",RawSalesTable[[#This Row],[Customer_Info]],FIND(",",RawSalesTable[[#This Row],[Customer_Info]])+1)-FIND(",",RawSalesTable[[#This Row],[Customer_Info]])-1))</f>
        <v>Victoria</v>
      </c>
      <c r="U227" s="8" t="str">
        <f>TRIM(RIGHT(RawSalesTable[[#This Row],[Customer_Info]], LEN(RawSalesTable[[#This Row],[Customer_Info]])-FIND(",",RawSalesTable[[#This Row],[Customer_Info]],FIND(",",RawSalesTable[[#This Row],[Customer_Info]])+1)))</f>
        <v>Consumer</v>
      </c>
      <c r="V227" s="8" t="str">
        <f>VLOOKUP(RawSalesTable[[#This Row],[Product_ID]],ProductsTable[],2,FALSE)</f>
        <v>Vacuum</v>
      </c>
      <c r="W227" s="8" t="str">
        <f>VLOOKUP(RawSalesTable[[#This Row],[Product_ID]],ProductsTable[],3,FALSE)</f>
        <v>Home</v>
      </c>
      <c r="X227" s="8">
        <f>VLOOKUP(RawSalesTable[[#This Row],[Product_ID]],ProductsTable[],5,FALSE)</f>
        <v>186.94</v>
      </c>
      <c r="Y227" s="8">
        <f>RawSalesTable[[#This Row],[Quantity]]*RawSalesTable[[#This Row],[Unit_Price]]</f>
        <v>1054.96</v>
      </c>
      <c r="Z227" s="8">
        <f>RawSalesTable[[#This Row],[Gross_Sales]]*RawSalesTable[[#This Row],[Discount_Pct]]</f>
        <v>0</v>
      </c>
      <c r="AA227" s="8">
        <f>RawSalesTable[[#This Row],[Gross_Sales]]-RawSalesTable[[#This Row],[Discount_Amount]]</f>
        <v>1054.96</v>
      </c>
      <c r="AB227" s="8">
        <f>RawSalesTable[[#This Row],[Unit_Cost]]*RawSalesTable[[#This Row],[Quantity]]</f>
        <v>747.76</v>
      </c>
      <c r="AC227" s="8">
        <f>RawSalesTable[[#This Row],[Net_Sales]]-RawSalesTable[[#This Row],[Total_Cost]]</f>
        <v>307.20000000000005</v>
      </c>
      <c r="AD227" s="9">
        <f>RawSalesTable[[#This Row],[Profit]]/RawSalesTable[[#This Row],[Net_Sales]]</f>
        <v>0.29119587472510811</v>
      </c>
      <c r="AE227" s="8">
        <f>IF(RawSalesTable[[#This Row],[Return_Status]]="Yes",1,0)</f>
        <v>1</v>
      </c>
      <c r="AF227" s="8">
        <f>YEAR(RawSalesTable[[#This Row],[Order_Date]])</f>
        <v>2025</v>
      </c>
      <c r="AG227" s="8">
        <f>MONTH(RawSalesTable[[#This Row],[Order_Date]])</f>
        <v>1</v>
      </c>
      <c r="AH227" s="8" t="str">
        <f>TEXT(RawSalesTable[[#This Row],[Order_Date]],"mmmm")</f>
        <v>janvier</v>
      </c>
      <c r="AI227" s="8" t="str">
        <f>IF(RawSalesTable[[#This Row],[Month_Number]]&lt;=3,"Q1",IF(RawSalesTable[[#This Row],[Month_Number]]&lt;=6,"Q2",IF(RawSalesTable[[#This Row],[Month_Number]]&lt;=9,"Q3","Q4")))</f>
        <v>Q1</v>
      </c>
      <c r="AJ227" s="13">
        <f>DATE(YEAR(RawSalesTable[[#This Row],[Order_Date]]),MONTH(RawSalesTable[[#This Row],[Order_Date]]),1)</f>
        <v>45658</v>
      </c>
      <c r="AK227" s="8" t="str">
        <f>VLOOKUP(RawSalesTable[[#This Row],[Customer_ID_clean]],CustomersTable[],4,FALSE)</f>
        <v>British Columbia</v>
      </c>
    </row>
    <row r="228" spans="1:37">
      <c r="A228" t="s">
        <v>591</v>
      </c>
      <c r="B228" s="3">
        <v>45905</v>
      </c>
      <c r="C228" t="s">
        <v>538</v>
      </c>
      <c r="D228" t="s">
        <v>244</v>
      </c>
      <c r="E228" t="s">
        <v>539</v>
      </c>
      <c r="F228" t="s">
        <v>223</v>
      </c>
      <c r="G228" t="s">
        <v>122</v>
      </c>
      <c r="H228" t="s">
        <v>89</v>
      </c>
      <c r="I228">
        <v>2</v>
      </c>
      <c r="J228" s="2">
        <v>240.06</v>
      </c>
      <c r="K228" s="4">
        <v>0.05</v>
      </c>
      <c r="L228" t="s">
        <v>98</v>
      </c>
      <c r="M228">
        <v>8</v>
      </c>
      <c r="N228" t="s">
        <v>91</v>
      </c>
      <c r="O228" t="str">
        <f>SUBSTITUTE(PROPER(TRIM(RawSalesTable[[#This Row],[Channel_Raw]])), "Market Place", "Marketplace")</f>
        <v>Online</v>
      </c>
      <c r="P228" t="str">
        <f>TRIM(RawSalesTable[[#This Row],[Store_Raw]])</f>
        <v>Montreal Central</v>
      </c>
      <c r="Q228" t="str">
        <f>IF(TRIM(RawSalesTable[[#This Row],[Payment_Method_Raw]])="","Non renseigné",SUBSTITUTE(TRIM(RawSalesTable[[#This Row],[Payment_Method_Raw]]),"CC","Credit Card"))</f>
        <v>Debit Card</v>
      </c>
      <c r="R228" s="8" t="str">
        <f>UPPER(PROPER(RawSalesTable[[#This Row],[Customer_ID]]))</f>
        <v>C0086</v>
      </c>
      <c r="S228" s="8" t="str">
        <f>TRIM(LEFT(RawSalesTable[[#This Row],[Customer_Info]],FIND(",",RawSalesTable[[#This Row],[Customer_Info]]) -1))</f>
        <v>Adam Gagnon</v>
      </c>
      <c r="T228" s="8" t="str">
        <f>TRIM(MID(RawSalesTable[[#This Row],[Customer_Info]],FIND(",",RawSalesTable[[#This Row],[Customer_Info]])+1,FIND(",",RawSalesTable[[#This Row],[Customer_Info]],FIND(",",RawSalesTable[[#This Row],[Customer_Info]])+1)-FIND(",",RawSalesTable[[#This Row],[Customer_Info]])-1))</f>
        <v>Winnipeg</v>
      </c>
      <c r="U228" s="8" t="str">
        <f>TRIM(RIGHT(RawSalesTable[[#This Row],[Customer_Info]], LEN(RawSalesTable[[#This Row],[Customer_Info]])-FIND(",",RawSalesTable[[#This Row],[Customer_Info]],FIND(",",RawSalesTable[[#This Row],[Customer_Info]])+1)))</f>
        <v>Consumer</v>
      </c>
      <c r="V228" s="8" t="str">
        <f>VLOOKUP(RawSalesTable[[#This Row],[Product_ID]],ProductsTable[],2,FALSE)</f>
        <v>Portable SSD</v>
      </c>
      <c r="W228" s="8" t="str">
        <f>VLOOKUP(RawSalesTable[[#This Row],[Product_ID]],ProductsTable[],3,FALSE)</f>
        <v>Electronics</v>
      </c>
      <c r="X228" s="8">
        <f>VLOOKUP(RawSalesTable[[#This Row],[Product_ID]],ProductsTable[],5,FALSE)</f>
        <v>131.19</v>
      </c>
      <c r="Y228" s="8">
        <f>RawSalesTable[[#This Row],[Quantity]]*RawSalesTable[[#This Row],[Unit_Price]]</f>
        <v>480.12</v>
      </c>
      <c r="Z228" s="8">
        <f>RawSalesTable[[#This Row],[Gross_Sales]]*RawSalesTable[[#This Row],[Discount_Pct]]</f>
        <v>24.006</v>
      </c>
      <c r="AA228" s="8">
        <f>RawSalesTable[[#This Row],[Gross_Sales]]-RawSalesTable[[#This Row],[Discount_Amount]]</f>
        <v>456.11400000000003</v>
      </c>
      <c r="AB228" s="8">
        <f>RawSalesTable[[#This Row],[Unit_Cost]]*RawSalesTable[[#This Row],[Quantity]]</f>
        <v>262.38</v>
      </c>
      <c r="AC228" s="8">
        <f>RawSalesTable[[#This Row],[Net_Sales]]-RawSalesTable[[#This Row],[Total_Cost]]</f>
        <v>193.73400000000004</v>
      </c>
      <c r="AD228" s="9">
        <f>RawSalesTable[[#This Row],[Profit]]/RawSalesTable[[#This Row],[Net_Sales]]</f>
        <v>0.42474907588892258</v>
      </c>
      <c r="AE228" s="8">
        <f>IF(RawSalesTable[[#This Row],[Return_Status]]="Yes",1,0)</f>
        <v>0</v>
      </c>
      <c r="AF228" s="8">
        <f>YEAR(RawSalesTable[[#This Row],[Order_Date]])</f>
        <v>2025</v>
      </c>
      <c r="AG228" s="8">
        <f>MONTH(RawSalesTable[[#This Row],[Order_Date]])</f>
        <v>9</v>
      </c>
      <c r="AH228" s="8" t="str">
        <f>TEXT(RawSalesTable[[#This Row],[Order_Date]],"mmmm")</f>
        <v>septembre</v>
      </c>
      <c r="AI228" s="8" t="str">
        <f>IF(RawSalesTable[[#This Row],[Month_Number]]&lt;=3,"Q1",IF(RawSalesTable[[#This Row],[Month_Number]]&lt;=6,"Q2",IF(RawSalesTable[[#This Row],[Month_Number]]&lt;=9,"Q3","Q4")))</f>
        <v>Q3</v>
      </c>
      <c r="AJ228" s="13">
        <f>DATE(YEAR(RawSalesTable[[#This Row],[Order_Date]]),MONTH(RawSalesTable[[#This Row],[Order_Date]]),1)</f>
        <v>45901</v>
      </c>
      <c r="AK228" s="8" t="str">
        <f>VLOOKUP(RawSalesTable[[#This Row],[Customer_ID_clean]],CustomersTable[],4,FALSE)</f>
        <v>Manitoba</v>
      </c>
    </row>
    <row r="229" spans="1:37">
      <c r="A229" t="s">
        <v>592</v>
      </c>
      <c r="B229" s="3">
        <v>45974</v>
      </c>
      <c r="C229" t="s">
        <v>399</v>
      </c>
      <c r="D229" t="s">
        <v>133</v>
      </c>
      <c r="E229" t="s">
        <v>400</v>
      </c>
      <c r="F229" t="s">
        <v>145</v>
      </c>
      <c r="G229" t="s">
        <v>96</v>
      </c>
      <c r="H229" t="s">
        <v>89</v>
      </c>
      <c r="I229">
        <v>4</v>
      </c>
      <c r="J229" s="2">
        <v>359.78</v>
      </c>
      <c r="K229" s="4">
        <v>0.05</v>
      </c>
      <c r="L229" t="s">
        <v>106</v>
      </c>
      <c r="M229">
        <v>3</v>
      </c>
      <c r="N229" t="s">
        <v>91</v>
      </c>
      <c r="O229" t="str">
        <f>SUBSTITUTE(PROPER(TRIM(RawSalesTable[[#This Row],[Channel_Raw]])), "Market Place", "Marketplace")</f>
        <v>Online</v>
      </c>
      <c r="P229" t="str">
        <f>TRIM(RawSalesTable[[#This Row],[Store_Raw]])</f>
        <v>Calgary North</v>
      </c>
      <c r="Q229" t="str">
        <f>IF(TRIM(RawSalesTable[[#This Row],[Payment_Method_Raw]])="","Non renseigné",SUBSTITUTE(TRIM(RawSalesTable[[#This Row],[Payment_Method_Raw]]),"CC","Credit Card"))</f>
        <v>Credit Card</v>
      </c>
      <c r="R229" s="8" t="str">
        <f>UPPER(PROPER(RawSalesTable[[#This Row],[Customer_ID]]))</f>
        <v>C0090</v>
      </c>
      <c r="S229" s="8" t="str">
        <f>TRIM(LEFT(RawSalesTable[[#This Row],[Customer_Info]],FIND(",",RawSalesTable[[#This Row],[Customer_Info]]) -1))</f>
        <v>Nora Young</v>
      </c>
      <c r="T229" s="8" t="str">
        <f>TRIM(MID(RawSalesTable[[#This Row],[Customer_Info]],FIND(",",RawSalesTable[[#This Row],[Customer_Info]])+1,FIND(",",RawSalesTable[[#This Row],[Customer_Info]],FIND(",",RawSalesTable[[#This Row],[Customer_Info]])+1)-FIND(",",RawSalesTable[[#This Row],[Customer_Info]])-1))</f>
        <v>Montreal</v>
      </c>
      <c r="U229" s="8" t="str">
        <f>TRIM(RIGHT(RawSalesTable[[#This Row],[Customer_Info]], LEN(RawSalesTable[[#This Row],[Customer_Info]])-FIND(",",RawSalesTable[[#This Row],[Customer_Info]],FIND(",",RawSalesTable[[#This Row],[Customer_Info]])+1)))</f>
        <v>Small Business</v>
      </c>
      <c r="V229" s="8" t="str">
        <f>VLOOKUP(RawSalesTable[[#This Row],[Product_ID]],ProductsTable[],2,FALSE)</f>
        <v>Travel Adapter</v>
      </c>
      <c r="W229" s="8" t="str">
        <f>VLOOKUP(RawSalesTable[[#This Row],[Product_ID]],ProductsTable[],3,FALSE)</f>
        <v>Accessories</v>
      </c>
      <c r="X229" s="8">
        <f>VLOOKUP(RawSalesTable[[#This Row],[Product_ID]],ProductsTable[],5,FALSE)</f>
        <v>229.86</v>
      </c>
      <c r="Y229" s="8">
        <f>RawSalesTable[[#This Row],[Quantity]]*RawSalesTable[[#This Row],[Unit_Price]]</f>
        <v>1439.12</v>
      </c>
      <c r="Z229" s="8">
        <f>RawSalesTable[[#This Row],[Gross_Sales]]*RawSalesTable[[#This Row],[Discount_Pct]]</f>
        <v>71.956000000000003</v>
      </c>
      <c r="AA229" s="8">
        <f>RawSalesTable[[#This Row],[Gross_Sales]]-RawSalesTable[[#This Row],[Discount_Amount]]</f>
        <v>1367.164</v>
      </c>
      <c r="AB229" s="8">
        <f>RawSalesTable[[#This Row],[Unit_Cost]]*RawSalesTable[[#This Row],[Quantity]]</f>
        <v>919.44</v>
      </c>
      <c r="AC229" s="8">
        <f>RawSalesTable[[#This Row],[Net_Sales]]-RawSalesTable[[#This Row],[Total_Cost]]</f>
        <v>447.72399999999993</v>
      </c>
      <c r="AD229" s="9">
        <f>RawSalesTable[[#This Row],[Profit]]/RawSalesTable[[#This Row],[Net_Sales]]</f>
        <v>0.32748375469219487</v>
      </c>
      <c r="AE229" s="8">
        <f>IF(RawSalesTable[[#This Row],[Return_Status]]="Yes",1,0)</f>
        <v>0</v>
      </c>
      <c r="AF229" s="8">
        <f>YEAR(RawSalesTable[[#This Row],[Order_Date]])</f>
        <v>2025</v>
      </c>
      <c r="AG229" s="8">
        <f>MONTH(RawSalesTable[[#This Row],[Order_Date]])</f>
        <v>11</v>
      </c>
      <c r="AH229" s="8" t="str">
        <f>TEXT(RawSalesTable[[#This Row],[Order_Date]],"mmmm")</f>
        <v>novembre</v>
      </c>
      <c r="AI229" s="8" t="str">
        <f>IF(RawSalesTable[[#This Row],[Month_Number]]&lt;=3,"Q1",IF(RawSalesTable[[#This Row],[Month_Number]]&lt;=6,"Q2",IF(RawSalesTable[[#This Row],[Month_Number]]&lt;=9,"Q3","Q4")))</f>
        <v>Q4</v>
      </c>
      <c r="AJ229" s="13">
        <f>DATE(YEAR(RawSalesTable[[#This Row],[Order_Date]]),MONTH(RawSalesTable[[#This Row],[Order_Date]]),1)</f>
        <v>45962</v>
      </c>
      <c r="AK229" s="8" t="str">
        <f>VLOOKUP(RawSalesTable[[#This Row],[Customer_ID_clean]],CustomersTable[],4,FALSE)</f>
        <v>Quebec</v>
      </c>
    </row>
    <row r="230" spans="1:37">
      <c r="A230" t="s">
        <v>593</v>
      </c>
      <c r="B230" s="3">
        <v>45948</v>
      </c>
      <c r="C230" t="s">
        <v>594</v>
      </c>
      <c r="D230" t="s">
        <v>210</v>
      </c>
      <c r="E230" t="s">
        <v>595</v>
      </c>
      <c r="F230" t="s">
        <v>145</v>
      </c>
      <c r="G230" t="s">
        <v>183</v>
      </c>
      <c r="H230" t="s">
        <v>89</v>
      </c>
      <c r="I230">
        <v>2</v>
      </c>
      <c r="J230" s="2">
        <v>303.27</v>
      </c>
      <c r="K230" s="4">
        <v>0</v>
      </c>
      <c r="L230" t="s">
        <v>106</v>
      </c>
      <c r="M230">
        <v>1</v>
      </c>
      <c r="N230" t="s">
        <v>91</v>
      </c>
      <c r="O230" t="str">
        <f>SUBSTITUTE(PROPER(TRIM(RawSalesTable[[#This Row],[Channel_Raw]])), "Market Place", "Marketplace")</f>
        <v>Online</v>
      </c>
      <c r="P230" t="str">
        <f>TRIM(RawSalesTable[[#This Row],[Store_Raw]])</f>
        <v>Calgary North</v>
      </c>
      <c r="Q230" t="str">
        <f>IF(TRIM(RawSalesTable[[#This Row],[Payment_Method_Raw]])="","Non renseigné",SUBSTITUTE(TRIM(RawSalesTable[[#This Row],[Payment_Method_Raw]]),"CC","Credit Card"))</f>
        <v>Credit Card</v>
      </c>
      <c r="R230" s="8" t="str">
        <f>UPPER(PROPER(RawSalesTable[[#This Row],[Customer_ID]]))</f>
        <v>C0027</v>
      </c>
      <c r="S230" s="8" t="str">
        <f>TRIM(LEFT(RawSalesTable[[#This Row],[Customer_Info]],FIND(",",RawSalesTable[[#This Row],[Customer_Info]]) -1))</f>
        <v>Nora Wilson</v>
      </c>
      <c r="T230" s="8" t="str">
        <f>TRIM(MID(RawSalesTable[[#This Row],[Customer_Info]],FIND(",",RawSalesTable[[#This Row],[Customer_Info]])+1,FIND(",",RawSalesTable[[#This Row],[Customer_Info]],FIND(",",RawSalesTable[[#This Row],[Customer_Info]])+1)-FIND(",",RawSalesTable[[#This Row],[Customer_Info]])-1))</f>
        <v>Toronto</v>
      </c>
      <c r="U230" s="8" t="str">
        <f>TRIM(RIGHT(RawSalesTable[[#This Row],[Customer_Info]], LEN(RawSalesTable[[#This Row],[Customer_Info]])-FIND(",",RawSalesTable[[#This Row],[Customer_Info]],FIND(",",RawSalesTable[[#This Row],[Customer_Info]])+1)))</f>
        <v>Small Business</v>
      </c>
      <c r="V230" s="8" t="str">
        <f>VLOOKUP(RawSalesTable[[#This Row],[Product_ID]],ProductsTable[],2,FALSE)</f>
        <v>Desk Pad</v>
      </c>
      <c r="W230" s="8" t="str">
        <f>VLOOKUP(RawSalesTable[[#This Row],[Product_ID]],ProductsTable[],3,FALSE)</f>
        <v>Accessories</v>
      </c>
      <c r="X230" s="8">
        <f>VLOOKUP(RawSalesTable[[#This Row],[Product_ID]],ProductsTable[],5,FALSE)</f>
        <v>177.57</v>
      </c>
      <c r="Y230" s="8">
        <f>RawSalesTable[[#This Row],[Quantity]]*RawSalesTable[[#This Row],[Unit_Price]]</f>
        <v>606.54</v>
      </c>
      <c r="Z230" s="8">
        <f>RawSalesTable[[#This Row],[Gross_Sales]]*RawSalesTable[[#This Row],[Discount_Pct]]</f>
        <v>0</v>
      </c>
      <c r="AA230" s="8">
        <f>RawSalesTable[[#This Row],[Gross_Sales]]-RawSalesTable[[#This Row],[Discount_Amount]]</f>
        <v>606.54</v>
      </c>
      <c r="AB230" s="8">
        <f>RawSalesTable[[#This Row],[Unit_Cost]]*RawSalesTable[[#This Row],[Quantity]]</f>
        <v>355.14</v>
      </c>
      <c r="AC230" s="8">
        <f>RawSalesTable[[#This Row],[Net_Sales]]-RawSalesTable[[#This Row],[Total_Cost]]</f>
        <v>251.39999999999998</v>
      </c>
      <c r="AD230" s="9">
        <f>RawSalesTable[[#This Row],[Profit]]/RawSalesTable[[#This Row],[Net_Sales]]</f>
        <v>0.41448214462360272</v>
      </c>
      <c r="AE230" s="8">
        <f>IF(RawSalesTable[[#This Row],[Return_Status]]="Yes",1,0)</f>
        <v>0</v>
      </c>
      <c r="AF230" s="8">
        <f>YEAR(RawSalesTable[[#This Row],[Order_Date]])</f>
        <v>2025</v>
      </c>
      <c r="AG230" s="8">
        <f>MONTH(RawSalesTable[[#This Row],[Order_Date]])</f>
        <v>10</v>
      </c>
      <c r="AH230" s="8" t="str">
        <f>TEXT(RawSalesTable[[#This Row],[Order_Date]],"mmmm")</f>
        <v>octobre</v>
      </c>
      <c r="AI230" s="8" t="str">
        <f>IF(RawSalesTable[[#This Row],[Month_Number]]&lt;=3,"Q1",IF(RawSalesTable[[#This Row],[Month_Number]]&lt;=6,"Q2",IF(RawSalesTable[[#This Row],[Month_Number]]&lt;=9,"Q3","Q4")))</f>
        <v>Q4</v>
      </c>
      <c r="AJ230" s="13">
        <f>DATE(YEAR(RawSalesTable[[#This Row],[Order_Date]]),MONTH(RawSalesTable[[#This Row],[Order_Date]]),1)</f>
        <v>45931</v>
      </c>
      <c r="AK230" s="8" t="str">
        <f>VLOOKUP(RawSalesTable[[#This Row],[Customer_ID_clean]],CustomersTable[],4,FALSE)</f>
        <v>Ontario</v>
      </c>
    </row>
    <row r="231" spans="1:37">
      <c r="A231" t="s">
        <v>596</v>
      </c>
      <c r="B231" s="3">
        <v>45820</v>
      </c>
      <c r="C231" t="s">
        <v>597</v>
      </c>
      <c r="D231" t="s">
        <v>303</v>
      </c>
      <c r="E231" t="s">
        <v>598</v>
      </c>
      <c r="F231" t="s">
        <v>145</v>
      </c>
      <c r="G231" t="s">
        <v>117</v>
      </c>
      <c r="H231" t="s">
        <v>89</v>
      </c>
      <c r="I231">
        <v>1</v>
      </c>
      <c r="J231" s="2">
        <v>152.16</v>
      </c>
      <c r="K231" s="4">
        <v>0.15</v>
      </c>
      <c r="L231" t="s">
        <v>90</v>
      </c>
      <c r="M231">
        <v>4</v>
      </c>
      <c r="N231" t="s">
        <v>91</v>
      </c>
      <c r="O231" t="str">
        <f>SUBSTITUTE(PROPER(TRIM(RawSalesTable[[#This Row],[Channel_Raw]])), "Market Place", "Marketplace")</f>
        <v>Online</v>
      </c>
      <c r="P231" t="str">
        <f>TRIM(RawSalesTable[[#This Row],[Store_Raw]])</f>
        <v>Calgary North</v>
      </c>
      <c r="Q231" t="str">
        <f>IF(TRIM(RawSalesTable[[#This Row],[Payment_Method_Raw]])="","Non renseigné",SUBSTITUTE(TRIM(RawSalesTable[[#This Row],[Payment_Method_Raw]]),"CC","Credit Card"))</f>
        <v>PayPal</v>
      </c>
      <c r="R231" s="8" t="str">
        <f>UPPER(PROPER(RawSalesTable[[#This Row],[Customer_ID]]))</f>
        <v>C0004</v>
      </c>
      <c r="S231" s="8" t="str">
        <f>TRIM(LEFT(RawSalesTable[[#This Row],[Customer_Info]],FIND(",",RawSalesTable[[#This Row],[Customer_Info]]) -1))</f>
        <v>Mia Bennett</v>
      </c>
      <c r="T231" s="8" t="str">
        <f>TRIM(MID(RawSalesTable[[#This Row],[Customer_Info]],FIND(",",RawSalesTable[[#This Row],[Customer_Info]])+1,FIND(",",RawSalesTable[[#This Row],[Customer_Info]],FIND(",",RawSalesTable[[#This Row],[Customer_Info]])+1)-FIND(",",RawSalesTable[[#This Row],[Customer_Info]])-1))</f>
        <v>Laval</v>
      </c>
      <c r="U231" s="8" t="str">
        <f>TRIM(RIGHT(RawSalesTable[[#This Row],[Customer_Info]], LEN(RawSalesTable[[#This Row],[Customer_Info]])-FIND(",",RawSalesTable[[#This Row],[Customer_Info]],FIND(",",RawSalesTable[[#This Row],[Customer_Info]])+1)))</f>
        <v>Consumer</v>
      </c>
      <c r="V231" s="8" t="str">
        <f>VLOOKUP(RawSalesTable[[#This Row],[Product_ID]],ProductsTable[],2,FALSE)</f>
        <v>Power Bank</v>
      </c>
      <c r="W231" s="8" t="str">
        <f>VLOOKUP(RawSalesTable[[#This Row],[Product_ID]],ProductsTable[],3,FALSE)</f>
        <v>Accessories</v>
      </c>
      <c r="X231" s="8">
        <f>VLOOKUP(RawSalesTable[[#This Row],[Product_ID]],ProductsTable[],5,FALSE)</f>
        <v>76.97</v>
      </c>
      <c r="Y231" s="8">
        <f>RawSalesTable[[#This Row],[Quantity]]*RawSalesTable[[#This Row],[Unit_Price]]</f>
        <v>152.16</v>
      </c>
      <c r="Z231" s="8">
        <f>RawSalesTable[[#This Row],[Gross_Sales]]*RawSalesTable[[#This Row],[Discount_Pct]]</f>
        <v>22.823999999999998</v>
      </c>
      <c r="AA231" s="8">
        <f>RawSalesTable[[#This Row],[Gross_Sales]]-RawSalesTable[[#This Row],[Discount_Amount]]</f>
        <v>129.33600000000001</v>
      </c>
      <c r="AB231" s="8">
        <f>RawSalesTable[[#This Row],[Unit_Cost]]*RawSalesTable[[#This Row],[Quantity]]</f>
        <v>76.97</v>
      </c>
      <c r="AC231" s="8">
        <f>RawSalesTable[[#This Row],[Net_Sales]]-RawSalesTable[[#This Row],[Total_Cost]]</f>
        <v>52.366000000000014</v>
      </c>
      <c r="AD231" s="9">
        <f>RawSalesTable[[#This Row],[Profit]]/RawSalesTable[[#This Row],[Net_Sales]]</f>
        <v>0.40488340446588739</v>
      </c>
      <c r="AE231" s="8">
        <f>IF(RawSalesTable[[#This Row],[Return_Status]]="Yes",1,0)</f>
        <v>0</v>
      </c>
      <c r="AF231" s="8">
        <f>YEAR(RawSalesTable[[#This Row],[Order_Date]])</f>
        <v>2025</v>
      </c>
      <c r="AG231" s="8">
        <f>MONTH(RawSalesTable[[#This Row],[Order_Date]])</f>
        <v>6</v>
      </c>
      <c r="AH231" s="8" t="str">
        <f>TEXT(RawSalesTable[[#This Row],[Order_Date]],"mmmm")</f>
        <v>juin</v>
      </c>
      <c r="AI231" s="8" t="str">
        <f>IF(RawSalesTable[[#This Row],[Month_Number]]&lt;=3,"Q1",IF(RawSalesTable[[#This Row],[Month_Number]]&lt;=6,"Q2",IF(RawSalesTable[[#This Row],[Month_Number]]&lt;=9,"Q3","Q4")))</f>
        <v>Q2</v>
      </c>
      <c r="AJ231" s="13">
        <f>DATE(YEAR(RawSalesTable[[#This Row],[Order_Date]]),MONTH(RawSalesTable[[#This Row],[Order_Date]]),1)</f>
        <v>45809</v>
      </c>
      <c r="AK231" s="8" t="str">
        <f>VLOOKUP(RawSalesTable[[#This Row],[Customer_ID_clean]],CustomersTable[],4,FALSE)</f>
        <v>Quebec</v>
      </c>
    </row>
    <row r="232" spans="1:37">
      <c r="A232" t="s">
        <v>599</v>
      </c>
      <c r="B232" s="3">
        <v>45823</v>
      </c>
      <c r="C232" t="s">
        <v>600</v>
      </c>
      <c r="D232" t="s">
        <v>303</v>
      </c>
      <c r="E232" t="s">
        <v>601</v>
      </c>
      <c r="F232" t="s">
        <v>116</v>
      </c>
      <c r="G232" t="s">
        <v>183</v>
      </c>
      <c r="H232" t="s">
        <v>97</v>
      </c>
      <c r="I232">
        <v>1</v>
      </c>
      <c r="J232" s="2">
        <v>159.88</v>
      </c>
      <c r="K232" s="4">
        <v>0</v>
      </c>
      <c r="L232" t="s">
        <v>106</v>
      </c>
      <c r="M232">
        <v>4</v>
      </c>
      <c r="N232" t="s">
        <v>91</v>
      </c>
      <c r="O232" t="str">
        <f>SUBSTITUTE(PROPER(TRIM(RawSalesTable[[#This Row],[Channel_Raw]])), "Market Place", "Marketplace")</f>
        <v>Retail Store</v>
      </c>
      <c r="P232" t="str">
        <f>TRIM(RawSalesTable[[#This Row],[Store_Raw]])</f>
        <v>Toronto Downtown</v>
      </c>
      <c r="Q232" t="str">
        <f>IF(TRIM(RawSalesTable[[#This Row],[Payment_Method_Raw]])="","Non renseigné",SUBSTITUTE(TRIM(RawSalesTable[[#This Row],[Payment_Method_Raw]]),"CC","Credit Card"))</f>
        <v>Credit Card</v>
      </c>
      <c r="R232" s="8" t="str">
        <f>UPPER(PROPER(RawSalesTable[[#This Row],[Customer_ID]]))</f>
        <v>C0109</v>
      </c>
      <c r="S232" s="8" t="str">
        <f>TRIM(LEFT(RawSalesTable[[#This Row],[Customer_Info]],FIND(",",RawSalesTable[[#This Row],[Customer_Info]]) -1))</f>
        <v>Emma Wilson</v>
      </c>
      <c r="T232" s="8" t="str">
        <f>TRIM(MID(RawSalesTable[[#This Row],[Customer_Info]],FIND(",",RawSalesTable[[#This Row],[Customer_Info]])+1,FIND(",",RawSalesTable[[#This Row],[Customer_Info]],FIND(",",RawSalesTable[[#This Row],[Customer_Info]])+1)-FIND(",",RawSalesTable[[#This Row],[Customer_Info]])-1))</f>
        <v>Victoria</v>
      </c>
      <c r="U232" s="8" t="str">
        <f>TRIM(RIGHT(RawSalesTable[[#This Row],[Customer_Info]], LEN(RawSalesTable[[#This Row],[Customer_Info]])-FIND(",",RawSalesTable[[#This Row],[Customer_Info]],FIND(",",RawSalesTable[[#This Row],[Customer_Info]])+1)))</f>
        <v>Consumer</v>
      </c>
      <c r="V232" s="8" t="str">
        <f>VLOOKUP(RawSalesTable[[#This Row],[Product_ID]],ProductsTable[],2,FALSE)</f>
        <v>Power Bank</v>
      </c>
      <c r="W232" s="8" t="str">
        <f>VLOOKUP(RawSalesTable[[#This Row],[Product_ID]],ProductsTable[],3,FALSE)</f>
        <v>Accessories</v>
      </c>
      <c r="X232" s="8">
        <f>VLOOKUP(RawSalesTable[[#This Row],[Product_ID]],ProductsTable[],5,FALSE)</f>
        <v>76.97</v>
      </c>
      <c r="Y232" s="8">
        <f>RawSalesTable[[#This Row],[Quantity]]*RawSalesTable[[#This Row],[Unit_Price]]</f>
        <v>159.88</v>
      </c>
      <c r="Z232" s="8">
        <f>RawSalesTable[[#This Row],[Gross_Sales]]*RawSalesTable[[#This Row],[Discount_Pct]]</f>
        <v>0</v>
      </c>
      <c r="AA232" s="8">
        <f>RawSalesTable[[#This Row],[Gross_Sales]]-RawSalesTable[[#This Row],[Discount_Amount]]</f>
        <v>159.88</v>
      </c>
      <c r="AB232" s="8">
        <f>RawSalesTable[[#This Row],[Unit_Cost]]*RawSalesTable[[#This Row],[Quantity]]</f>
        <v>76.97</v>
      </c>
      <c r="AC232" s="8">
        <f>RawSalesTable[[#This Row],[Net_Sales]]-RawSalesTable[[#This Row],[Total_Cost]]</f>
        <v>82.91</v>
      </c>
      <c r="AD232" s="9">
        <f>RawSalesTable[[#This Row],[Profit]]/RawSalesTable[[#This Row],[Net_Sales]]</f>
        <v>0.51857643232424322</v>
      </c>
      <c r="AE232" s="8">
        <f>IF(RawSalesTable[[#This Row],[Return_Status]]="Yes",1,0)</f>
        <v>0</v>
      </c>
      <c r="AF232" s="8">
        <f>YEAR(RawSalesTable[[#This Row],[Order_Date]])</f>
        <v>2025</v>
      </c>
      <c r="AG232" s="8">
        <f>MONTH(RawSalesTable[[#This Row],[Order_Date]])</f>
        <v>6</v>
      </c>
      <c r="AH232" s="8" t="str">
        <f>TEXT(RawSalesTable[[#This Row],[Order_Date]],"mmmm")</f>
        <v>juin</v>
      </c>
      <c r="AI232" s="8" t="str">
        <f>IF(RawSalesTable[[#This Row],[Month_Number]]&lt;=3,"Q1",IF(RawSalesTable[[#This Row],[Month_Number]]&lt;=6,"Q2",IF(RawSalesTable[[#This Row],[Month_Number]]&lt;=9,"Q3","Q4")))</f>
        <v>Q2</v>
      </c>
      <c r="AJ232" s="13">
        <f>DATE(YEAR(RawSalesTable[[#This Row],[Order_Date]]),MONTH(RawSalesTable[[#This Row],[Order_Date]]),1)</f>
        <v>45809</v>
      </c>
      <c r="AK232" s="8" t="str">
        <f>VLOOKUP(RawSalesTable[[#This Row],[Customer_ID_clean]],CustomersTable[],4,FALSE)</f>
        <v>British Columbia</v>
      </c>
    </row>
    <row r="233" spans="1:37">
      <c r="A233" t="s">
        <v>602</v>
      </c>
      <c r="B233" s="3">
        <v>45887</v>
      </c>
      <c r="C233" t="s">
        <v>316</v>
      </c>
      <c r="D233" t="s">
        <v>303</v>
      </c>
      <c r="E233" t="s">
        <v>317</v>
      </c>
      <c r="F233" t="s">
        <v>145</v>
      </c>
      <c r="G233" t="s">
        <v>171</v>
      </c>
      <c r="H233" t="s">
        <v>89</v>
      </c>
      <c r="I233">
        <v>3</v>
      </c>
      <c r="J233" s="2">
        <v>166.23</v>
      </c>
      <c r="K233" s="4">
        <v>0</v>
      </c>
      <c r="L233" t="s">
        <v>106</v>
      </c>
      <c r="M233">
        <v>7</v>
      </c>
      <c r="N233" t="s">
        <v>91</v>
      </c>
      <c r="O233" t="str">
        <f>SUBSTITUTE(PROPER(TRIM(RawSalesTable[[#This Row],[Channel_Raw]])), "Market Place", "Marketplace")</f>
        <v>Online</v>
      </c>
      <c r="P233" t="str">
        <f>TRIM(RawSalesTable[[#This Row],[Store_Raw]])</f>
        <v>Calgary North</v>
      </c>
      <c r="Q233" t="str">
        <f>IF(TRIM(RawSalesTable[[#This Row],[Payment_Method_Raw]])="","Non renseigné",SUBSTITUTE(TRIM(RawSalesTable[[#This Row],[Payment_Method_Raw]]),"CC","Credit Card"))</f>
        <v>Credit Card</v>
      </c>
      <c r="R233" s="8" t="str">
        <f>UPPER(PROPER(RawSalesTable[[#This Row],[Customer_ID]]))</f>
        <v>C0075</v>
      </c>
      <c r="S233" s="8" t="str">
        <f>TRIM(LEFT(RawSalesTable[[#This Row],[Customer_Info]],FIND(",",RawSalesTable[[#This Row],[Customer_Info]]) -1))</f>
        <v>Amelia Wilson</v>
      </c>
      <c r="T233" s="8" t="str">
        <f>TRIM(MID(RawSalesTable[[#This Row],[Customer_Info]],FIND(",",RawSalesTable[[#This Row],[Customer_Info]])+1,FIND(",",RawSalesTable[[#This Row],[Customer_Info]],FIND(",",RawSalesTable[[#This Row],[Customer_Info]])+1)-FIND(",",RawSalesTable[[#This Row],[Customer_Info]])-1))</f>
        <v>Vancouver</v>
      </c>
      <c r="U233" s="8" t="str">
        <f>TRIM(RIGHT(RawSalesTable[[#This Row],[Customer_Info]], LEN(RawSalesTable[[#This Row],[Customer_Info]])-FIND(",",RawSalesTable[[#This Row],[Customer_Info]],FIND(",",RawSalesTable[[#This Row],[Customer_Info]])+1)))</f>
        <v>Consumer</v>
      </c>
      <c r="V233" s="8" t="str">
        <f>VLOOKUP(RawSalesTable[[#This Row],[Product_ID]],ProductsTable[],2,FALSE)</f>
        <v>Power Bank</v>
      </c>
      <c r="W233" s="8" t="str">
        <f>VLOOKUP(RawSalesTable[[#This Row],[Product_ID]],ProductsTable[],3,FALSE)</f>
        <v>Accessories</v>
      </c>
      <c r="X233" s="8">
        <f>VLOOKUP(RawSalesTable[[#This Row],[Product_ID]],ProductsTable[],5,FALSE)</f>
        <v>76.97</v>
      </c>
      <c r="Y233" s="8">
        <f>RawSalesTable[[#This Row],[Quantity]]*RawSalesTable[[#This Row],[Unit_Price]]</f>
        <v>498.68999999999994</v>
      </c>
      <c r="Z233" s="8">
        <f>RawSalesTable[[#This Row],[Gross_Sales]]*RawSalesTable[[#This Row],[Discount_Pct]]</f>
        <v>0</v>
      </c>
      <c r="AA233" s="8">
        <f>RawSalesTable[[#This Row],[Gross_Sales]]-RawSalesTable[[#This Row],[Discount_Amount]]</f>
        <v>498.68999999999994</v>
      </c>
      <c r="AB233" s="8">
        <f>RawSalesTable[[#This Row],[Unit_Cost]]*RawSalesTable[[#This Row],[Quantity]]</f>
        <v>230.91</v>
      </c>
      <c r="AC233" s="8">
        <f>RawSalesTable[[#This Row],[Net_Sales]]-RawSalesTable[[#This Row],[Total_Cost]]</f>
        <v>267.77999999999997</v>
      </c>
      <c r="AD233" s="9">
        <f>RawSalesTable[[#This Row],[Profit]]/RawSalesTable[[#This Row],[Net_Sales]]</f>
        <v>0.53696685315526682</v>
      </c>
      <c r="AE233" s="8">
        <f>IF(RawSalesTable[[#This Row],[Return_Status]]="Yes",1,0)</f>
        <v>0</v>
      </c>
      <c r="AF233" s="8">
        <f>YEAR(RawSalesTable[[#This Row],[Order_Date]])</f>
        <v>2025</v>
      </c>
      <c r="AG233" s="8">
        <f>MONTH(RawSalesTable[[#This Row],[Order_Date]])</f>
        <v>8</v>
      </c>
      <c r="AH233" s="8" t="str">
        <f>TEXT(RawSalesTable[[#This Row],[Order_Date]],"mmmm")</f>
        <v>août</v>
      </c>
      <c r="AI233" s="8" t="str">
        <f>IF(RawSalesTable[[#This Row],[Month_Number]]&lt;=3,"Q1",IF(RawSalesTable[[#This Row],[Month_Number]]&lt;=6,"Q2",IF(RawSalesTable[[#This Row],[Month_Number]]&lt;=9,"Q3","Q4")))</f>
        <v>Q3</v>
      </c>
      <c r="AJ233" s="13">
        <f>DATE(YEAR(RawSalesTable[[#This Row],[Order_Date]]),MONTH(RawSalesTable[[#This Row],[Order_Date]]),1)</f>
        <v>45870</v>
      </c>
      <c r="AK233" s="8" t="str">
        <f>VLOOKUP(RawSalesTable[[#This Row],[Customer_ID_clean]],CustomersTable[],4,FALSE)</f>
        <v>British Columbia</v>
      </c>
    </row>
    <row r="234" spans="1:37">
      <c r="A234" t="s">
        <v>603</v>
      </c>
      <c r="B234" s="3">
        <v>45676</v>
      </c>
      <c r="C234" t="s">
        <v>220</v>
      </c>
      <c r="D234" t="s">
        <v>418</v>
      </c>
      <c r="E234" t="s">
        <v>222</v>
      </c>
      <c r="F234" t="s">
        <v>103</v>
      </c>
      <c r="G234" t="s">
        <v>130</v>
      </c>
      <c r="H234" t="s">
        <v>89</v>
      </c>
      <c r="I234">
        <v>1</v>
      </c>
      <c r="J234" s="2">
        <v>360.28</v>
      </c>
      <c r="K234" s="4">
        <v>0.2</v>
      </c>
      <c r="L234" t="s">
        <v>106</v>
      </c>
      <c r="M234">
        <v>3</v>
      </c>
      <c r="N234" t="s">
        <v>91</v>
      </c>
      <c r="O234" t="str">
        <f>SUBSTITUTE(PROPER(TRIM(RawSalesTable[[#This Row],[Channel_Raw]])), "Market Place", "Marketplace")</f>
        <v>Online</v>
      </c>
      <c r="P234" t="str">
        <f>TRIM(RawSalesTable[[#This Row],[Store_Raw]])</f>
        <v>Vancouver West</v>
      </c>
      <c r="Q234" t="str">
        <f>IF(TRIM(RawSalesTable[[#This Row],[Payment_Method_Raw]])="","Non renseigné",SUBSTITUTE(TRIM(RawSalesTable[[#This Row],[Payment_Method_Raw]]),"CC","Credit Card"))</f>
        <v>Credit Card</v>
      </c>
      <c r="R234" s="8" t="str">
        <f>UPPER(PROPER(RawSalesTable[[#This Row],[Customer_ID]]))</f>
        <v>C0067</v>
      </c>
      <c r="S234" s="8" t="str">
        <f>TRIM(LEFT(RawSalesTable[[#This Row],[Customer_Info]],FIND(",",RawSalesTable[[#This Row],[Customer_Info]]) -1))</f>
        <v>Leo Bennett</v>
      </c>
      <c r="T234" s="8" t="str">
        <f>TRIM(MID(RawSalesTable[[#This Row],[Customer_Info]],FIND(",",RawSalesTable[[#This Row],[Customer_Info]])+1,FIND(",",RawSalesTable[[#This Row],[Customer_Info]],FIND(",",RawSalesTable[[#This Row],[Customer_Info]])+1)-FIND(",",RawSalesTable[[#This Row],[Customer_Info]])-1))</f>
        <v>Mississauga</v>
      </c>
      <c r="U234" s="8" t="str">
        <f>TRIM(RIGHT(RawSalesTable[[#This Row],[Customer_Info]], LEN(RawSalesTable[[#This Row],[Customer_Info]])-FIND(",",RawSalesTable[[#This Row],[Customer_Info]],FIND(",",RawSalesTable[[#This Row],[Customer_Info]])+1)))</f>
        <v>Consumer</v>
      </c>
      <c r="V234" s="8" t="str">
        <f>VLOOKUP(RawSalesTable[[#This Row],[Product_ID]],ProductsTable[],2,FALSE)</f>
        <v>Foam Roller</v>
      </c>
      <c r="W234" s="8" t="str">
        <f>VLOOKUP(RawSalesTable[[#This Row],[Product_ID]],ProductsTable[],3,FALSE)</f>
        <v>Fitness</v>
      </c>
      <c r="X234" s="8">
        <f>VLOOKUP(RawSalesTable[[#This Row],[Product_ID]],ProductsTable[],5,FALSE)</f>
        <v>212.02</v>
      </c>
      <c r="Y234" s="8">
        <f>RawSalesTable[[#This Row],[Quantity]]*RawSalesTable[[#This Row],[Unit_Price]]</f>
        <v>360.28</v>
      </c>
      <c r="Z234" s="8">
        <f>RawSalesTable[[#This Row],[Gross_Sales]]*RawSalesTable[[#This Row],[Discount_Pct]]</f>
        <v>72.055999999999997</v>
      </c>
      <c r="AA234" s="8">
        <f>RawSalesTable[[#This Row],[Gross_Sales]]-RawSalesTable[[#This Row],[Discount_Amount]]</f>
        <v>288.22399999999999</v>
      </c>
      <c r="AB234" s="8">
        <f>RawSalesTable[[#This Row],[Unit_Cost]]*RawSalesTable[[#This Row],[Quantity]]</f>
        <v>212.02</v>
      </c>
      <c r="AC234" s="8">
        <f>RawSalesTable[[#This Row],[Net_Sales]]-RawSalesTable[[#This Row],[Total_Cost]]</f>
        <v>76.203999999999979</v>
      </c>
      <c r="AD234" s="9">
        <f>RawSalesTable[[#This Row],[Profit]]/RawSalesTable[[#This Row],[Net_Sales]]</f>
        <v>0.26439158432330401</v>
      </c>
      <c r="AE234" s="8">
        <f>IF(RawSalesTable[[#This Row],[Return_Status]]="Yes",1,0)</f>
        <v>0</v>
      </c>
      <c r="AF234" s="8">
        <f>YEAR(RawSalesTable[[#This Row],[Order_Date]])</f>
        <v>2025</v>
      </c>
      <c r="AG234" s="8">
        <f>MONTH(RawSalesTable[[#This Row],[Order_Date]])</f>
        <v>1</v>
      </c>
      <c r="AH234" s="8" t="str">
        <f>TEXT(RawSalesTable[[#This Row],[Order_Date]],"mmmm")</f>
        <v>janvier</v>
      </c>
      <c r="AI234" s="8" t="str">
        <f>IF(RawSalesTable[[#This Row],[Month_Number]]&lt;=3,"Q1",IF(RawSalesTable[[#This Row],[Month_Number]]&lt;=6,"Q2",IF(RawSalesTable[[#This Row],[Month_Number]]&lt;=9,"Q3","Q4")))</f>
        <v>Q1</v>
      </c>
      <c r="AJ234" s="13">
        <f>DATE(YEAR(RawSalesTable[[#This Row],[Order_Date]]),MONTH(RawSalesTable[[#This Row],[Order_Date]]),1)</f>
        <v>45658</v>
      </c>
      <c r="AK234" s="8" t="str">
        <f>VLOOKUP(RawSalesTable[[#This Row],[Customer_ID_clean]],CustomersTable[],4,FALSE)</f>
        <v>Ontario</v>
      </c>
    </row>
    <row r="235" spans="1:37">
      <c r="A235" t="s">
        <v>604</v>
      </c>
      <c r="B235" s="3">
        <v>45691</v>
      </c>
      <c r="C235" t="s">
        <v>316</v>
      </c>
      <c r="D235" t="s">
        <v>109</v>
      </c>
      <c r="E235" t="s">
        <v>317</v>
      </c>
      <c r="F235" t="s">
        <v>111</v>
      </c>
      <c r="G235" t="s">
        <v>183</v>
      </c>
      <c r="H235" t="s">
        <v>89</v>
      </c>
      <c r="I235">
        <v>3</v>
      </c>
      <c r="J235" s="2">
        <v>210.42</v>
      </c>
      <c r="K235" s="4">
        <v>0.2</v>
      </c>
      <c r="L235" t="s">
        <v>106</v>
      </c>
      <c r="M235">
        <v>5</v>
      </c>
      <c r="N235" t="s">
        <v>91</v>
      </c>
      <c r="O235" t="str">
        <f>SUBSTITUTE(PROPER(TRIM(RawSalesTable[[#This Row],[Channel_Raw]])), "Market Place", "Marketplace")</f>
        <v>Online</v>
      </c>
      <c r="P235" t="str">
        <f>TRIM(RawSalesTable[[#This Row],[Store_Raw]])</f>
        <v>Montreal Central</v>
      </c>
      <c r="Q235" t="str">
        <f>IF(TRIM(RawSalesTable[[#This Row],[Payment_Method_Raw]])="","Non renseigné",SUBSTITUTE(TRIM(RawSalesTable[[#This Row],[Payment_Method_Raw]]),"CC","Credit Card"))</f>
        <v>Credit Card</v>
      </c>
      <c r="R235" s="8" t="str">
        <f>UPPER(PROPER(RawSalesTable[[#This Row],[Customer_ID]]))</f>
        <v>C0075</v>
      </c>
      <c r="S235" s="8" t="str">
        <f>TRIM(LEFT(RawSalesTable[[#This Row],[Customer_Info]],FIND(",",RawSalesTable[[#This Row],[Customer_Info]]) -1))</f>
        <v>Amelia Wilson</v>
      </c>
      <c r="T235" s="8" t="str">
        <f>TRIM(MID(RawSalesTable[[#This Row],[Customer_Info]],FIND(",",RawSalesTable[[#This Row],[Customer_Info]])+1,FIND(",",RawSalesTable[[#This Row],[Customer_Info]],FIND(",",RawSalesTable[[#This Row],[Customer_Info]])+1)-FIND(",",RawSalesTable[[#This Row],[Customer_Info]])-1))</f>
        <v>Vancouver</v>
      </c>
      <c r="U235" s="8" t="str">
        <f>TRIM(RIGHT(RawSalesTable[[#This Row],[Customer_Info]], LEN(RawSalesTable[[#This Row],[Customer_Info]])-FIND(",",RawSalesTable[[#This Row],[Customer_Info]],FIND(",",RawSalesTable[[#This Row],[Customer_Info]])+1)))</f>
        <v>Consumer</v>
      </c>
      <c r="V235" s="8" t="str">
        <f>VLOOKUP(RawSalesTable[[#This Row],[Product_ID]],ProductsTable[],2,FALSE)</f>
        <v>Gym Bag</v>
      </c>
      <c r="W235" s="8" t="str">
        <f>VLOOKUP(RawSalesTable[[#This Row],[Product_ID]],ProductsTable[],3,FALSE)</f>
        <v>Fitness</v>
      </c>
      <c r="X235" s="8">
        <f>VLOOKUP(RawSalesTable[[#This Row],[Product_ID]],ProductsTable[],5,FALSE)</f>
        <v>132.72</v>
      </c>
      <c r="Y235" s="8">
        <f>RawSalesTable[[#This Row],[Quantity]]*RawSalesTable[[#This Row],[Unit_Price]]</f>
        <v>631.26</v>
      </c>
      <c r="Z235" s="8">
        <f>RawSalesTable[[#This Row],[Gross_Sales]]*RawSalesTable[[#This Row],[Discount_Pct]]</f>
        <v>126.25200000000001</v>
      </c>
      <c r="AA235" s="8">
        <f>RawSalesTable[[#This Row],[Gross_Sales]]-RawSalesTable[[#This Row],[Discount_Amount]]</f>
        <v>505.00799999999998</v>
      </c>
      <c r="AB235" s="8">
        <f>RawSalesTable[[#This Row],[Unit_Cost]]*RawSalesTable[[#This Row],[Quantity]]</f>
        <v>398.15999999999997</v>
      </c>
      <c r="AC235" s="8">
        <f>RawSalesTable[[#This Row],[Net_Sales]]-RawSalesTable[[#This Row],[Total_Cost]]</f>
        <v>106.84800000000001</v>
      </c>
      <c r="AD235" s="9">
        <f>RawSalesTable[[#This Row],[Profit]]/RawSalesTable[[#This Row],[Net_Sales]]</f>
        <v>0.21157684630738527</v>
      </c>
      <c r="AE235" s="8">
        <f>IF(RawSalesTable[[#This Row],[Return_Status]]="Yes",1,0)</f>
        <v>0</v>
      </c>
      <c r="AF235" s="8">
        <f>YEAR(RawSalesTable[[#This Row],[Order_Date]])</f>
        <v>2025</v>
      </c>
      <c r="AG235" s="8">
        <f>MONTH(RawSalesTable[[#This Row],[Order_Date]])</f>
        <v>2</v>
      </c>
      <c r="AH235" s="8" t="str">
        <f>TEXT(RawSalesTable[[#This Row],[Order_Date]],"mmmm")</f>
        <v>février</v>
      </c>
      <c r="AI235" s="8" t="str">
        <f>IF(RawSalesTable[[#This Row],[Month_Number]]&lt;=3,"Q1",IF(RawSalesTable[[#This Row],[Month_Number]]&lt;=6,"Q2",IF(RawSalesTable[[#This Row],[Month_Number]]&lt;=9,"Q3","Q4")))</f>
        <v>Q1</v>
      </c>
      <c r="AJ235" s="13">
        <f>DATE(YEAR(RawSalesTable[[#This Row],[Order_Date]]),MONTH(RawSalesTable[[#This Row],[Order_Date]]),1)</f>
        <v>45689</v>
      </c>
      <c r="AK235" s="8" t="str">
        <f>VLOOKUP(RawSalesTable[[#This Row],[Customer_ID_clean]],CustomersTable[],4,FALSE)</f>
        <v>British Columbia</v>
      </c>
    </row>
    <row r="236" spans="1:37">
      <c r="A236" t="s">
        <v>605</v>
      </c>
      <c r="B236" s="3">
        <v>45820</v>
      </c>
      <c r="C236" t="s">
        <v>300</v>
      </c>
      <c r="D236" t="s">
        <v>346</v>
      </c>
      <c r="E236" t="s">
        <v>301</v>
      </c>
      <c r="F236" t="s">
        <v>111</v>
      </c>
      <c r="G236" t="s">
        <v>122</v>
      </c>
      <c r="H236" t="s">
        <v>89</v>
      </c>
      <c r="I236">
        <v>3</v>
      </c>
      <c r="J236" s="2">
        <v>231.45</v>
      </c>
      <c r="K236" s="4">
        <v>0</v>
      </c>
      <c r="L236" t="s">
        <v>106</v>
      </c>
      <c r="M236">
        <v>5</v>
      </c>
      <c r="N236" t="s">
        <v>91</v>
      </c>
      <c r="O236" t="str">
        <f>SUBSTITUTE(PROPER(TRIM(RawSalesTable[[#This Row],[Channel_Raw]])), "Market Place", "Marketplace")</f>
        <v>Online</v>
      </c>
      <c r="P236" t="str">
        <f>TRIM(RawSalesTable[[#This Row],[Store_Raw]])</f>
        <v>Montreal Central</v>
      </c>
      <c r="Q236" t="str">
        <f>IF(TRIM(RawSalesTable[[#This Row],[Payment_Method_Raw]])="","Non renseigné",SUBSTITUTE(TRIM(RawSalesTable[[#This Row],[Payment_Method_Raw]]),"CC","Credit Card"))</f>
        <v>Credit Card</v>
      </c>
      <c r="R236" s="8" t="str">
        <f>UPPER(PROPER(RawSalesTable[[#This Row],[Customer_ID]]))</f>
        <v>C0016</v>
      </c>
      <c r="S236" s="8" t="str">
        <f>TRIM(LEFT(RawSalesTable[[#This Row],[Customer_Info]],FIND(",",RawSalesTable[[#This Row],[Customer_Info]]) -1))</f>
        <v>Nora Singh</v>
      </c>
      <c r="T236" s="8" t="str">
        <f>TRIM(MID(RawSalesTable[[#This Row],[Customer_Info]],FIND(",",RawSalesTable[[#This Row],[Customer_Info]])+1,FIND(",",RawSalesTable[[#This Row],[Customer_Info]],FIND(",",RawSalesTable[[#This Row],[Customer_Info]])+1)-FIND(",",RawSalesTable[[#This Row],[Customer_Info]])-1))</f>
        <v>Calgary</v>
      </c>
      <c r="U236" s="8" t="str">
        <f>TRIM(RIGHT(RawSalesTable[[#This Row],[Customer_Info]], LEN(RawSalesTable[[#This Row],[Customer_Info]])-FIND(",",RawSalesTable[[#This Row],[Customer_Info]],FIND(",",RawSalesTable[[#This Row],[Customer_Info]])+1)))</f>
        <v>Consumer</v>
      </c>
      <c r="V236" s="8" t="str">
        <f>VLOOKUP(RawSalesTable[[#This Row],[Product_ID]],ProductsTable[],2,FALSE)</f>
        <v>Pull-up Bar</v>
      </c>
      <c r="W236" s="8" t="str">
        <f>VLOOKUP(RawSalesTable[[#This Row],[Product_ID]],ProductsTable[],3,FALSE)</f>
        <v>Fitness</v>
      </c>
      <c r="X236" s="8">
        <f>VLOOKUP(RawSalesTable[[#This Row],[Product_ID]],ProductsTable[],5,FALSE)</f>
        <v>125.4</v>
      </c>
      <c r="Y236" s="8">
        <f>RawSalesTable[[#This Row],[Quantity]]*RawSalesTable[[#This Row],[Unit_Price]]</f>
        <v>694.34999999999991</v>
      </c>
      <c r="Z236" s="8">
        <f>RawSalesTable[[#This Row],[Gross_Sales]]*RawSalesTable[[#This Row],[Discount_Pct]]</f>
        <v>0</v>
      </c>
      <c r="AA236" s="8">
        <f>RawSalesTable[[#This Row],[Gross_Sales]]-RawSalesTable[[#This Row],[Discount_Amount]]</f>
        <v>694.34999999999991</v>
      </c>
      <c r="AB236" s="8">
        <f>RawSalesTable[[#This Row],[Unit_Cost]]*RawSalesTable[[#This Row],[Quantity]]</f>
        <v>376.20000000000005</v>
      </c>
      <c r="AC236" s="8">
        <f>RawSalesTable[[#This Row],[Net_Sales]]-RawSalesTable[[#This Row],[Total_Cost]]</f>
        <v>318.14999999999986</v>
      </c>
      <c r="AD236" s="9">
        <f>RawSalesTable[[#This Row],[Profit]]/RawSalesTable[[#This Row],[Net_Sales]]</f>
        <v>0.45819831497083591</v>
      </c>
      <c r="AE236" s="8">
        <f>IF(RawSalesTable[[#This Row],[Return_Status]]="Yes",1,0)</f>
        <v>0</v>
      </c>
      <c r="AF236" s="8">
        <f>YEAR(RawSalesTable[[#This Row],[Order_Date]])</f>
        <v>2025</v>
      </c>
      <c r="AG236" s="8">
        <f>MONTH(RawSalesTable[[#This Row],[Order_Date]])</f>
        <v>6</v>
      </c>
      <c r="AH236" s="8" t="str">
        <f>TEXT(RawSalesTable[[#This Row],[Order_Date]],"mmmm")</f>
        <v>juin</v>
      </c>
      <c r="AI236" s="8" t="str">
        <f>IF(RawSalesTable[[#This Row],[Month_Number]]&lt;=3,"Q1",IF(RawSalesTable[[#This Row],[Month_Number]]&lt;=6,"Q2",IF(RawSalesTable[[#This Row],[Month_Number]]&lt;=9,"Q3","Q4")))</f>
        <v>Q2</v>
      </c>
      <c r="AJ236" s="13">
        <f>DATE(YEAR(RawSalesTable[[#This Row],[Order_Date]]),MONTH(RawSalesTable[[#This Row],[Order_Date]]),1)</f>
        <v>45809</v>
      </c>
      <c r="AK236" s="8" t="str">
        <f>VLOOKUP(RawSalesTable[[#This Row],[Customer_ID_clean]],CustomersTable[],4,FALSE)</f>
        <v>Alberta</v>
      </c>
    </row>
    <row r="237" spans="1:37">
      <c r="A237" t="s">
        <v>606</v>
      </c>
      <c r="B237" s="3">
        <v>45807</v>
      </c>
      <c r="C237" t="s">
        <v>600</v>
      </c>
      <c r="D237" t="s">
        <v>125</v>
      </c>
      <c r="E237" t="s">
        <v>601</v>
      </c>
      <c r="F237" t="s">
        <v>103</v>
      </c>
      <c r="G237" t="s">
        <v>104</v>
      </c>
      <c r="H237" t="s">
        <v>89</v>
      </c>
      <c r="I237">
        <v>1</v>
      </c>
      <c r="J237" s="2">
        <v>55.31</v>
      </c>
      <c r="K237" s="4">
        <v>0</v>
      </c>
      <c r="L237" t="s">
        <v>98</v>
      </c>
      <c r="M237">
        <v>2</v>
      </c>
      <c r="N237" t="s">
        <v>91</v>
      </c>
      <c r="O237" t="str">
        <f>SUBSTITUTE(PROPER(TRIM(RawSalesTable[[#This Row],[Channel_Raw]])), "Market Place", "Marketplace")</f>
        <v>Online</v>
      </c>
      <c r="P237" t="str">
        <f>TRIM(RawSalesTable[[#This Row],[Store_Raw]])</f>
        <v>Vancouver West</v>
      </c>
      <c r="Q237" t="str">
        <f>IF(TRIM(RawSalesTable[[#This Row],[Payment_Method_Raw]])="","Non renseigné",SUBSTITUTE(TRIM(RawSalesTable[[#This Row],[Payment_Method_Raw]]),"CC","Credit Card"))</f>
        <v>Debit Card</v>
      </c>
      <c r="R237" s="8" t="str">
        <f>UPPER(PROPER(RawSalesTable[[#This Row],[Customer_ID]]))</f>
        <v>C0109</v>
      </c>
      <c r="S237" s="8" t="str">
        <f>TRIM(LEFT(RawSalesTable[[#This Row],[Customer_Info]],FIND(",",RawSalesTable[[#This Row],[Customer_Info]]) -1))</f>
        <v>Emma Wilson</v>
      </c>
      <c r="T237" s="8" t="str">
        <f>TRIM(MID(RawSalesTable[[#This Row],[Customer_Info]],FIND(",",RawSalesTable[[#This Row],[Customer_Info]])+1,FIND(",",RawSalesTable[[#This Row],[Customer_Info]],FIND(",",RawSalesTable[[#This Row],[Customer_Info]])+1)-FIND(",",RawSalesTable[[#This Row],[Customer_Info]])-1))</f>
        <v>Victoria</v>
      </c>
      <c r="U237" s="8" t="str">
        <f>TRIM(RIGHT(RawSalesTable[[#This Row],[Customer_Info]], LEN(RawSalesTable[[#This Row],[Customer_Info]])-FIND(",",RawSalesTable[[#This Row],[Customer_Info]],FIND(",",RawSalesTable[[#This Row],[Customer_Info]])+1)))</f>
        <v>Consumer</v>
      </c>
      <c r="V237" s="8" t="str">
        <f>VLOOKUP(RawSalesTable[[#This Row],[Product_ID]],ProductsTable[],2,FALSE)</f>
        <v>Kettlebell</v>
      </c>
      <c r="W237" s="8" t="str">
        <f>VLOOKUP(RawSalesTable[[#This Row],[Product_ID]],ProductsTable[],3,FALSE)</f>
        <v>Fitness</v>
      </c>
      <c r="X237" s="8">
        <f>VLOOKUP(RawSalesTable[[#This Row],[Product_ID]],ProductsTable[],5,FALSE)</f>
        <v>25.97</v>
      </c>
      <c r="Y237" s="8">
        <f>RawSalesTable[[#This Row],[Quantity]]*RawSalesTable[[#This Row],[Unit_Price]]</f>
        <v>55.31</v>
      </c>
      <c r="Z237" s="8">
        <f>RawSalesTable[[#This Row],[Gross_Sales]]*RawSalesTable[[#This Row],[Discount_Pct]]</f>
        <v>0</v>
      </c>
      <c r="AA237" s="8">
        <f>RawSalesTable[[#This Row],[Gross_Sales]]-RawSalesTable[[#This Row],[Discount_Amount]]</f>
        <v>55.31</v>
      </c>
      <c r="AB237" s="8">
        <f>RawSalesTable[[#This Row],[Unit_Cost]]*RawSalesTable[[#This Row],[Quantity]]</f>
        <v>25.97</v>
      </c>
      <c r="AC237" s="8">
        <f>RawSalesTable[[#This Row],[Net_Sales]]-RawSalesTable[[#This Row],[Total_Cost]]</f>
        <v>29.340000000000003</v>
      </c>
      <c r="AD237" s="9">
        <f>RawSalesTable[[#This Row],[Profit]]/RawSalesTable[[#This Row],[Net_Sales]]</f>
        <v>0.5304646537696619</v>
      </c>
      <c r="AE237" s="8">
        <f>IF(RawSalesTable[[#This Row],[Return_Status]]="Yes",1,0)</f>
        <v>0</v>
      </c>
      <c r="AF237" s="8">
        <f>YEAR(RawSalesTable[[#This Row],[Order_Date]])</f>
        <v>2025</v>
      </c>
      <c r="AG237" s="8">
        <f>MONTH(RawSalesTable[[#This Row],[Order_Date]])</f>
        <v>5</v>
      </c>
      <c r="AH237" s="8" t="str">
        <f>TEXT(RawSalesTable[[#This Row],[Order_Date]],"mmmm")</f>
        <v>mai</v>
      </c>
      <c r="AI237" s="8" t="str">
        <f>IF(RawSalesTable[[#This Row],[Month_Number]]&lt;=3,"Q1",IF(RawSalesTable[[#This Row],[Month_Number]]&lt;=6,"Q2",IF(RawSalesTable[[#This Row],[Month_Number]]&lt;=9,"Q3","Q4")))</f>
        <v>Q2</v>
      </c>
      <c r="AJ237" s="13">
        <f>DATE(YEAR(RawSalesTable[[#This Row],[Order_Date]]),MONTH(RawSalesTable[[#This Row],[Order_Date]]),1)</f>
        <v>45778</v>
      </c>
      <c r="AK237" s="8" t="str">
        <f>VLOOKUP(RawSalesTable[[#This Row],[Customer_ID_clean]],CustomersTable[],4,FALSE)</f>
        <v>British Columbia</v>
      </c>
    </row>
    <row r="238" spans="1:37">
      <c r="A238" t="s">
        <v>607</v>
      </c>
      <c r="B238" s="3">
        <v>45897</v>
      </c>
      <c r="C238" t="s">
        <v>113</v>
      </c>
      <c r="D238" t="s">
        <v>85</v>
      </c>
      <c r="E238" t="s">
        <v>115</v>
      </c>
      <c r="F238" t="s">
        <v>116</v>
      </c>
      <c r="G238" t="s">
        <v>130</v>
      </c>
      <c r="H238" t="s">
        <v>89</v>
      </c>
      <c r="I238">
        <v>2</v>
      </c>
      <c r="J238" s="2">
        <v>304.89</v>
      </c>
      <c r="K238" s="4">
        <v>0</v>
      </c>
      <c r="L238" t="s">
        <v>106</v>
      </c>
      <c r="M238">
        <v>5</v>
      </c>
      <c r="N238" t="s">
        <v>91</v>
      </c>
      <c r="O238" t="str">
        <f>SUBSTITUTE(PROPER(TRIM(RawSalesTable[[#This Row],[Channel_Raw]])), "Market Place", "Marketplace")</f>
        <v>Online</v>
      </c>
      <c r="P238" t="str">
        <f>TRIM(RawSalesTable[[#This Row],[Store_Raw]])</f>
        <v>Toronto Downtown</v>
      </c>
      <c r="Q238" t="str">
        <f>IF(TRIM(RawSalesTable[[#This Row],[Payment_Method_Raw]])="","Non renseigné",SUBSTITUTE(TRIM(RawSalesTable[[#This Row],[Payment_Method_Raw]]),"CC","Credit Card"))</f>
        <v>Credit Card</v>
      </c>
      <c r="R238" s="8" t="str">
        <f>UPPER(PROPER(RawSalesTable[[#This Row],[Customer_ID]]))</f>
        <v>C0083</v>
      </c>
      <c r="S238" s="8" t="str">
        <f>TRIM(LEFT(RawSalesTable[[#This Row],[Customer_Info]],FIND(",",RawSalesTable[[#This Row],[Customer_Info]]) -1))</f>
        <v>Amine King</v>
      </c>
      <c r="T238" s="8" t="str">
        <f>TRIM(MID(RawSalesTable[[#This Row],[Customer_Info]],FIND(",",RawSalesTable[[#This Row],[Customer_Info]])+1,FIND(",",RawSalesTable[[#This Row],[Customer_Info]],FIND(",",RawSalesTable[[#This Row],[Customer_Info]])+1)-FIND(",",RawSalesTable[[#This Row],[Customer_Info]])-1))</f>
        <v>Edmonton</v>
      </c>
      <c r="U238" s="8" t="str">
        <f>TRIM(RIGHT(RawSalesTable[[#This Row],[Customer_Info]], LEN(RawSalesTable[[#This Row],[Customer_Info]])-FIND(",",RawSalesTable[[#This Row],[Customer_Info]],FIND(",",RawSalesTable[[#This Row],[Customer_Info]])+1)))</f>
        <v>Consumer</v>
      </c>
      <c r="V238" s="8" t="str">
        <f>VLOOKUP(RawSalesTable[[#This Row],[Product_ID]],ProductsTable[],2,FALSE)</f>
        <v>Yoga Mat</v>
      </c>
      <c r="W238" s="8" t="str">
        <f>VLOOKUP(RawSalesTable[[#This Row],[Product_ID]],ProductsTable[],3,FALSE)</f>
        <v>Fitness</v>
      </c>
      <c r="X238" s="8">
        <f>VLOOKUP(RawSalesTable[[#This Row],[Product_ID]],ProductsTable[],5,FALSE)</f>
        <v>197.33</v>
      </c>
      <c r="Y238" s="8">
        <f>RawSalesTable[[#This Row],[Quantity]]*RawSalesTable[[#This Row],[Unit_Price]]</f>
        <v>609.78</v>
      </c>
      <c r="Z238" s="8">
        <f>RawSalesTable[[#This Row],[Gross_Sales]]*RawSalesTable[[#This Row],[Discount_Pct]]</f>
        <v>0</v>
      </c>
      <c r="AA238" s="8">
        <f>RawSalesTable[[#This Row],[Gross_Sales]]-RawSalesTable[[#This Row],[Discount_Amount]]</f>
        <v>609.78</v>
      </c>
      <c r="AB238" s="8">
        <f>RawSalesTable[[#This Row],[Unit_Cost]]*RawSalesTable[[#This Row],[Quantity]]</f>
        <v>394.66</v>
      </c>
      <c r="AC238" s="8">
        <f>RawSalesTable[[#This Row],[Net_Sales]]-RawSalesTable[[#This Row],[Total_Cost]]</f>
        <v>215.11999999999995</v>
      </c>
      <c r="AD238" s="9">
        <f>RawSalesTable[[#This Row],[Profit]]/RawSalesTable[[#This Row],[Net_Sales]]</f>
        <v>0.35278297090754035</v>
      </c>
      <c r="AE238" s="8">
        <f>IF(RawSalesTable[[#This Row],[Return_Status]]="Yes",1,0)</f>
        <v>0</v>
      </c>
      <c r="AF238" s="8">
        <f>YEAR(RawSalesTable[[#This Row],[Order_Date]])</f>
        <v>2025</v>
      </c>
      <c r="AG238" s="8">
        <f>MONTH(RawSalesTable[[#This Row],[Order_Date]])</f>
        <v>8</v>
      </c>
      <c r="AH238" s="8" t="str">
        <f>TEXT(RawSalesTable[[#This Row],[Order_Date]],"mmmm")</f>
        <v>août</v>
      </c>
      <c r="AI238" s="8" t="str">
        <f>IF(RawSalesTable[[#This Row],[Month_Number]]&lt;=3,"Q1",IF(RawSalesTable[[#This Row],[Month_Number]]&lt;=6,"Q2",IF(RawSalesTable[[#This Row],[Month_Number]]&lt;=9,"Q3","Q4")))</f>
        <v>Q3</v>
      </c>
      <c r="AJ238" s="13">
        <f>DATE(YEAR(RawSalesTable[[#This Row],[Order_Date]]),MONTH(RawSalesTable[[#This Row],[Order_Date]]),1)</f>
        <v>45870</v>
      </c>
      <c r="AK238" s="8" t="str">
        <f>VLOOKUP(RawSalesTable[[#This Row],[Customer_ID_clean]],CustomersTable[],4,FALSE)</f>
        <v>Alberta</v>
      </c>
    </row>
    <row r="239" spans="1:37">
      <c r="A239" t="s">
        <v>608</v>
      </c>
      <c r="B239" s="3">
        <v>45862</v>
      </c>
      <c r="C239" t="s">
        <v>491</v>
      </c>
      <c r="D239" t="s">
        <v>152</v>
      </c>
      <c r="E239" t="s">
        <v>492</v>
      </c>
      <c r="F239" t="s">
        <v>103</v>
      </c>
      <c r="G239" t="s">
        <v>96</v>
      </c>
      <c r="H239" t="s">
        <v>105</v>
      </c>
      <c r="I239">
        <v>4</v>
      </c>
      <c r="J239" s="2">
        <v>138.33000000000001</v>
      </c>
      <c r="K239" s="4">
        <v>0.2</v>
      </c>
      <c r="L239" t="s">
        <v>106</v>
      </c>
      <c r="M239">
        <v>8</v>
      </c>
      <c r="N239" t="s">
        <v>91</v>
      </c>
      <c r="O239" t="str">
        <f>SUBSTITUTE(PROPER(TRIM(RawSalesTable[[#This Row],[Channel_Raw]])), "Market Place", "Marketplace")</f>
        <v>Marketplace</v>
      </c>
      <c r="P239" t="str">
        <f>TRIM(RawSalesTable[[#This Row],[Store_Raw]])</f>
        <v>Vancouver West</v>
      </c>
      <c r="Q239" t="str">
        <f>IF(TRIM(RawSalesTable[[#This Row],[Payment_Method_Raw]])="","Non renseigné",SUBSTITUTE(TRIM(RawSalesTable[[#This Row],[Payment_Method_Raw]]),"CC","Credit Card"))</f>
        <v>Credit Card</v>
      </c>
      <c r="R239" s="8" t="str">
        <f>UPPER(PROPER(RawSalesTable[[#This Row],[Customer_ID]]))</f>
        <v>C0045</v>
      </c>
      <c r="S239" s="8" t="str">
        <f>TRIM(LEFT(RawSalesTable[[#This Row],[Customer_Info]],FIND(",",RawSalesTable[[#This Row],[Customer_Info]]) -1))</f>
        <v>Lucas Chen</v>
      </c>
      <c r="T239" s="8" t="str">
        <f>TRIM(MID(RawSalesTable[[#This Row],[Customer_Info]],FIND(",",RawSalesTable[[#This Row],[Customer_Info]])+1,FIND(",",RawSalesTable[[#This Row],[Customer_Info]],FIND(",",RawSalesTable[[#This Row],[Customer_Info]])+1)-FIND(",",RawSalesTable[[#This Row],[Customer_Info]])-1))</f>
        <v>Ottawa</v>
      </c>
      <c r="U239" s="8" t="str">
        <f>TRIM(RIGHT(RawSalesTable[[#This Row],[Customer_Info]], LEN(RawSalesTable[[#This Row],[Customer_Info]])-FIND(",",RawSalesTable[[#This Row],[Customer_Info]],FIND(",",RawSalesTable[[#This Row],[Customer_Info]])+1)))</f>
        <v>Corporate</v>
      </c>
      <c r="V239" s="8" t="str">
        <f>VLOOKUP(RawSalesTable[[#This Row],[Product_ID]],ProductsTable[],2,FALSE)</f>
        <v>Smart Speaker</v>
      </c>
      <c r="W239" s="8" t="str">
        <f>VLOOKUP(RawSalesTable[[#This Row],[Product_ID]],ProductsTable[],3,FALSE)</f>
        <v>Electronics</v>
      </c>
      <c r="X239" s="8">
        <f>VLOOKUP(RawSalesTable[[#This Row],[Product_ID]],ProductsTable[],5,FALSE)</f>
        <v>69</v>
      </c>
      <c r="Y239" s="8">
        <f>RawSalesTable[[#This Row],[Quantity]]*RawSalesTable[[#This Row],[Unit_Price]]</f>
        <v>553.32000000000005</v>
      </c>
      <c r="Z239" s="8">
        <f>RawSalesTable[[#This Row],[Gross_Sales]]*RawSalesTable[[#This Row],[Discount_Pct]]</f>
        <v>110.66400000000002</v>
      </c>
      <c r="AA239" s="8">
        <f>RawSalesTable[[#This Row],[Gross_Sales]]-RawSalesTable[[#This Row],[Discount_Amount]]</f>
        <v>442.65600000000006</v>
      </c>
      <c r="AB239" s="8">
        <f>RawSalesTable[[#This Row],[Unit_Cost]]*RawSalesTable[[#This Row],[Quantity]]</f>
        <v>276</v>
      </c>
      <c r="AC239" s="8">
        <f>RawSalesTable[[#This Row],[Net_Sales]]-RawSalesTable[[#This Row],[Total_Cost]]</f>
        <v>166.65600000000006</v>
      </c>
      <c r="AD239" s="9">
        <f>RawSalesTable[[#This Row],[Profit]]/RawSalesTable[[#This Row],[Net_Sales]]</f>
        <v>0.37649099978312739</v>
      </c>
      <c r="AE239" s="8">
        <f>IF(RawSalesTable[[#This Row],[Return_Status]]="Yes",1,0)</f>
        <v>0</v>
      </c>
      <c r="AF239" s="8">
        <f>YEAR(RawSalesTable[[#This Row],[Order_Date]])</f>
        <v>2025</v>
      </c>
      <c r="AG239" s="8">
        <f>MONTH(RawSalesTable[[#This Row],[Order_Date]])</f>
        <v>7</v>
      </c>
      <c r="AH239" s="8" t="str">
        <f>TEXT(RawSalesTable[[#This Row],[Order_Date]],"mmmm")</f>
        <v>juillet</v>
      </c>
      <c r="AI239" s="8" t="str">
        <f>IF(RawSalesTable[[#This Row],[Month_Number]]&lt;=3,"Q1",IF(RawSalesTable[[#This Row],[Month_Number]]&lt;=6,"Q2",IF(RawSalesTable[[#This Row],[Month_Number]]&lt;=9,"Q3","Q4")))</f>
        <v>Q3</v>
      </c>
      <c r="AJ239" s="13">
        <f>DATE(YEAR(RawSalesTable[[#This Row],[Order_Date]]),MONTH(RawSalesTable[[#This Row],[Order_Date]]),1)</f>
        <v>45839</v>
      </c>
      <c r="AK239" s="8" t="str">
        <f>VLOOKUP(RawSalesTable[[#This Row],[Customer_ID_clean]],CustomersTable[],4,FALSE)</f>
        <v>Ontario</v>
      </c>
    </row>
    <row r="240" spans="1:37">
      <c r="A240" t="s">
        <v>609</v>
      </c>
      <c r="B240" s="3">
        <v>45923</v>
      </c>
      <c r="C240" t="s">
        <v>610</v>
      </c>
      <c r="D240" t="s">
        <v>221</v>
      </c>
      <c r="E240" t="s">
        <v>611</v>
      </c>
      <c r="F240" t="s">
        <v>111</v>
      </c>
      <c r="G240" t="s">
        <v>117</v>
      </c>
      <c r="H240" t="s">
        <v>308</v>
      </c>
      <c r="I240">
        <v>1</v>
      </c>
      <c r="J240" s="2">
        <v>30.43</v>
      </c>
      <c r="K240" s="4">
        <v>0.25</v>
      </c>
      <c r="L240" t="s">
        <v>98</v>
      </c>
      <c r="M240">
        <v>9</v>
      </c>
      <c r="N240" t="s">
        <v>147</v>
      </c>
      <c r="O240" t="str">
        <f>SUBSTITUTE(PROPER(TRIM(RawSalesTable[[#This Row],[Channel_Raw]])), "Market Place", "Marketplace")</f>
        <v>Online</v>
      </c>
      <c r="P240" t="str">
        <f>TRIM(RawSalesTable[[#This Row],[Store_Raw]])</f>
        <v>Montreal Central</v>
      </c>
      <c r="Q240" t="str">
        <f>IF(TRIM(RawSalesTable[[#This Row],[Payment_Method_Raw]])="","Non renseigné",SUBSTITUTE(TRIM(RawSalesTable[[#This Row],[Payment_Method_Raw]]),"CC","Credit Card"))</f>
        <v>Debit Card</v>
      </c>
      <c r="R240" s="8" t="str">
        <f>UPPER(PROPER(RawSalesTable[[#This Row],[Customer_ID]]))</f>
        <v>C0051</v>
      </c>
      <c r="S240" s="8" t="str">
        <f>TRIM(LEFT(RawSalesTable[[#This Row],[Customer_Info]],FIND(",",RawSalesTable[[#This Row],[Customer_Info]]) -1))</f>
        <v>Daniel Brown</v>
      </c>
      <c r="T240" s="8" t="str">
        <f>TRIM(MID(RawSalesTable[[#This Row],[Customer_Info]],FIND(",",RawSalesTable[[#This Row],[Customer_Info]])+1,FIND(",",RawSalesTable[[#This Row],[Customer_Info]],FIND(",",RawSalesTable[[#This Row],[Customer_Info]])+1)-FIND(",",RawSalesTable[[#This Row],[Customer_Info]])-1))</f>
        <v>Vancouver</v>
      </c>
      <c r="U240" s="8" t="str">
        <f>TRIM(RIGHT(RawSalesTable[[#This Row],[Customer_Info]], LEN(RawSalesTable[[#This Row],[Customer_Info]])-FIND(",",RawSalesTable[[#This Row],[Customer_Info]],FIND(",",RawSalesTable[[#This Row],[Customer_Info]])+1)))</f>
        <v>Small Business</v>
      </c>
      <c r="V240" s="8" t="str">
        <f>VLOOKUP(RawSalesTable[[#This Row],[Product_ID]],ProductsTable[],2,FALSE)</f>
        <v>Air Fryer</v>
      </c>
      <c r="W240" s="8" t="str">
        <f>VLOOKUP(RawSalesTable[[#This Row],[Product_ID]],ProductsTable[],3,FALSE)</f>
        <v>Home</v>
      </c>
      <c r="X240" s="8">
        <f>VLOOKUP(RawSalesTable[[#This Row],[Product_ID]],ProductsTable[],5,FALSE)</f>
        <v>14.58</v>
      </c>
      <c r="Y240" s="8">
        <f>RawSalesTable[[#This Row],[Quantity]]*RawSalesTable[[#This Row],[Unit_Price]]</f>
        <v>30.43</v>
      </c>
      <c r="Z240" s="8">
        <f>RawSalesTable[[#This Row],[Gross_Sales]]*RawSalesTable[[#This Row],[Discount_Pct]]</f>
        <v>7.6074999999999999</v>
      </c>
      <c r="AA240" s="8">
        <f>RawSalesTable[[#This Row],[Gross_Sales]]-RawSalesTable[[#This Row],[Discount_Amount]]</f>
        <v>22.822499999999998</v>
      </c>
      <c r="AB240" s="8">
        <f>RawSalesTable[[#This Row],[Unit_Cost]]*RawSalesTable[[#This Row],[Quantity]]</f>
        <v>14.58</v>
      </c>
      <c r="AC240" s="8">
        <f>RawSalesTable[[#This Row],[Net_Sales]]-RawSalesTable[[#This Row],[Total_Cost]]</f>
        <v>8.2424999999999979</v>
      </c>
      <c r="AD240" s="9">
        <f>RawSalesTable[[#This Row],[Profit]]/RawSalesTable[[#This Row],[Net_Sales]]</f>
        <v>0.36115675320407487</v>
      </c>
      <c r="AE240" s="8">
        <f>IF(RawSalesTable[[#This Row],[Return_Status]]="Yes",1,0)</f>
        <v>1</v>
      </c>
      <c r="AF240" s="8">
        <f>YEAR(RawSalesTable[[#This Row],[Order_Date]])</f>
        <v>2025</v>
      </c>
      <c r="AG240" s="8">
        <f>MONTH(RawSalesTable[[#This Row],[Order_Date]])</f>
        <v>9</v>
      </c>
      <c r="AH240" s="8" t="str">
        <f>TEXT(RawSalesTable[[#This Row],[Order_Date]],"mmmm")</f>
        <v>septembre</v>
      </c>
      <c r="AI240" s="8" t="str">
        <f>IF(RawSalesTable[[#This Row],[Month_Number]]&lt;=3,"Q1",IF(RawSalesTable[[#This Row],[Month_Number]]&lt;=6,"Q2",IF(RawSalesTable[[#This Row],[Month_Number]]&lt;=9,"Q3","Q4")))</f>
        <v>Q3</v>
      </c>
      <c r="AJ240" s="13">
        <f>DATE(YEAR(RawSalesTable[[#This Row],[Order_Date]]),MONTH(RawSalesTable[[#This Row],[Order_Date]]),1)</f>
        <v>45901</v>
      </c>
      <c r="AK240" s="8" t="str">
        <f>VLOOKUP(RawSalesTable[[#This Row],[Customer_ID_clean]],CustomersTable[],4,FALSE)</f>
        <v>British Columbia</v>
      </c>
    </row>
    <row r="241" spans="1:37">
      <c r="A241" t="s">
        <v>612</v>
      </c>
      <c r="B241" s="3">
        <v>45665</v>
      </c>
      <c r="C241" t="s">
        <v>613</v>
      </c>
      <c r="D241" t="s">
        <v>194</v>
      </c>
      <c r="E241" t="s">
        <v>614</v>
      </c>
      <c r="F241" t="s">
        <v>111</v>
      </c>
      <c r="G241" t="s">
        <v>130</v>
      </c>
      <c r="H241" t="s">
        <v>89</v>
      </c>
      <c r="I241">
        <v>1</v>
      </c>
      <c r="J241" s="2">
        <v>212.95</v>
      </c>
      <c r="K241" s="4">
        <v>0.15</v>
      </c>
      <c r="L241" t="s">
        <v>98</v>
      </c>
      <c r="M241">
        <v>7</v>
      </c>
      <c r="N241" t="s">
        <v>91</v>
      </c>
      <c r="O241" t="str">
        <f>SUBSTITUTE(PROPER(TRIM(RawSalesTable[[#This Row],[Channel_Raw]])), "Market Place", "Marketplace")</f>
        <v>Online</v>
      </c>
      <c r="P241" t="str">
        <f>TRIM(RawSalesTable[[#This Row],[Store_Raw]])</f>
        <v>Montreal Central</v>
      </c>
      <c r="Q241" t="str">
        <f>IF(TRIM(RawSalesTable[[#This Row],[Payment_Method_Raw]])="","Non renseigné",SUBSTITUTE(TRIM(RawSalesTable[[#This Row],[Payment_Method_Raw]]),"CC","Credit Card"))</f>
        <v>Debit Card</v>
      </c>
      <c r="R241" s="8" t="str">
        <f>UPPER(PROPER(RawSalesTable[[#This Row],[Customer_ID]]))</f>
        <v>C0060</v>
      </c>
      <c r="S241" s="8" t="str">
        <f>TRIM(LEFT(RawSalesTable[[#This Row],[Customer_Info]],FIND(",",RawSalesTable[[#This Row],[Customer_Info]]) -1))</f>
        <v>Sarah Wilson</v>
      </c>
      <c r="T241" s="8" t="str">
        <f>TRIM(MID(RawSalesTable[[#This Row],[Customer_Info]],FIND(",",RawSalesTable[[#This Row],[Customer_Info]])+1,FIND(",",RawSalesTable[[#This Row],[Customer_Info]],FIND(",",RawSalesTable[[#This Row],[Customer_Info]])+1)-FIND(",",RawSalesTable[[#This Row],[Customer_Info]])-1))</f>
        <v>Quebec City</v>
      </c>
      <c r="U241" s="8" t="str">
        <f>TRIM(RIGHT(RawSalesTable[[#This Row],[Customer_Info]], LEN(RawSalesTable[[#This Row],[Customer_Info]])-FIND(",",RawSalesTable[[#This Row],[Customer_Info]],FIND(",",RawSalesTable[[#This Row],[Customer_Info]])+1)))</f>
        <v>Corporate</v>
      </c>
      <c r="V241" s="8" t="str">
        <f>VLOOKUP(RawSalesTable[[#This Row],[Product_ID]],ProductsTable[],2,FALSE)</f>
        <v>Jump Rope</v>
      </c>
      <c r="W241" s="8" t="str">
        <f>VLOOKUP(RawSalesTable[[#This Row],[Product_ID]],ProductsTable[],3,FALSE)</f>
        <v>Fitness</v>
      </c>
      <c r="X241" s="8">
        <f>VLOOKUP(RawSalesTable[[#This Row],[Product_ID]],ProductsTable[],5,FALSE)</f>
        <v>101</v>
      </c>
      <c r="Y241" s="8">
        <f>RawSalesTable[[#This Row],[Quantity]]*RawSalesTable[[#This Row],[Unit_Price]]</f>
        <v>212.95</v>
      </c>
      <c r="Z241" s="8">
        <f>RawSalesTable[[#This Row],[Gross_Sales]]*RawSalesTable[[#This Row],[Discount_Pct]]</f>
        <v>31.942499999999995</v>
      </c>
      <c r="AA241" s="8">
        <f>RawSalesTable[[#This Row],[Gross_Sales]]-RawSalesTable[[#This Row],[Discount_Amount]]</f>
        <v>181.00749999999999</v>
      </c>
      <c r="AB241" s="8">
        <f>RawSalesTable[[#This Row],[Unit_Cost]]*RawSalesTable[[#This Row],[Quantity]]</f>
        <v>101</v>
      </c>
      <c r="AC241" s="8">
        <f>RawSalesTable[[#This Row],[Net_Sales]]-RawSalesTable[[#This Row],[Total_Cost]]</f>
        <v>80.007499999999993</v>
      </c>
      <c r="AD241" s="9">
        <f>RawSalesTable[[#This Row],[Profit]]/RawSalesTable[[#This Row],[Net_Sales]]</f>
        <v>0.44201207132301146</v>
      </c>
      <c r="AE241" s="8">
        <f>IF(RawSalesTable[[#This Row],[Return_Status]]="Yes",1,0)</f>
        <v>0</v>
      </c>
      <c r="AF241" s="8">
        <f>YEAR(RawSalesTable[[#This Row],[Order_Date]])</f>
        <v>2025</v>
      </c>
      <c r="AG241" s="8">
        <f>MONTH(RawSalesTable[[#This Row],[Order_Date]])</f>
        <v>1</v>
      </c>
      <c r="AH241" s="8" t="str">
        <f>TEXT(RawSalesTable[[#This Row],[Order_Date]],"mmmm")</f>
        <v>janvier</v>
      </c>
      <c r="AI241" s="8" t="str">
        <f>IF(RawSalesTable[[#This Row],[Month_Number]]&lt;=3,"Q1",IF(RawSalesTable[[#This Row],[Month_Number]]&lt;=6,"Q2",IF(RawSalesTable[[#This Row],[Month_Number]]&lt;=9,"Q3","Q4")))</f>
        <v>Q1</v>
      </c>
      <c r="AJ241" s="13">
        <f>DATE(YEAR(RawSalesTable[[#This Row],[Order_Date]]),MONTH(RawSalesTable[[#This Row],[Order_Date]]),1)</f>
        <v>45658</v>
      </c>
      <c r="AK241" s="8" t="str">
        <f>VLOOKUP(RawSalesTable[[#This Row],[Customer_ID_clean]],CustomersTable[],4,FALSE)</f>
        <v>Quebec</v>
      </c>
    </row>
    <row r="242" spans="1:37">
      <c r="A242" t="s">
        <v>615</v>
      </c>
      <c r="B242" s="3">
        <v>45712</v>
      </c>
      <c r="C242" t="s">
        <v>225</v>
      </c>
      <c r="D242" t="s">
        <v>323</v>
      </c>
      <c r="E242" t="s">
        <v>616</v>
      </c>
      <c r="F242" t="s">
        <v>145</v>
      </c>
      <c r="G242" t="s">
        <v>96</v>
      </c>
      <c r="H242" t="s">
        <v>89</v>
      </c>
      <c r="I242">
        <v>5</v>
      </c>
      <c r="J242" s="2">
        <v>340.28</v>
      </c>
      <c r="K242" s="4">
        <v>0</v>
      </c>
      <c r="L242" t="s">
        <v>98</v>
      </c>
      <c r="M242">
        <v>4</v>
      </c>
      <c r="N242" t="s">
        <v>91</v>
      </c>
      <c r="O242" t="str">
        <f>SUBSTITUTE(PROPER(TRIM(RawSalesTable[[#This Row],[Channel_Raw]])), "Market Place", "Marketplace")</f>
        <v>Online</v>
      </c>
      <c r="P242" t="str">
        <f>TRIM(RawSalesTable[[#This Row],[Store_Raw]])</f>
        <v>Calgary North</v>
      </c>
      <c r="Q242" t="str">
        <f>IF(TRIM(RawSalesTable[[#This Row],[Payment_Method_Raw]])="","Non renseigné",SUBSTITUTE(TRIM(RawSalesTable[[#This Row],[Payment_Method_Raw]]),"CC","Credit Card"))</f>
        <v>Debit Card</v>
      </c>
      <c r="R242" s="8" t="str">
        <f>UPPER(PROPER(RawSalesTable[[#This Row],[Customer_ID]]))</f>
        <v>C0110</v>
      </c>
      <c r="S242" s="8" t="str">
        <f>TRIM(LEFT(RawSalesTable[[#This Row],[Customer_Info]],FIND(",",RawSalesTable[[#This Row],[Customer_Info]]) -1))</f>
        <v>Sarah Smith</v>
      </c>
      <c r="T242" s="8" t="str">
        <f>TRIM(MID(RawSalesTable[[#This Row],[Customer_Info]],FIND(",",RawSalesTable[[#This Row],[Customer_Info]])+1,FIND(",",RawSalesTable[[#This Row],[Customer_Info]],FIND(",",RawSalesTable[[#This Row],[Customer_Info]])+1)-FIND(",",RawSalesTable[[#This Row],[Customer_Info]])-1))</f>
        <v>Laval</v>
      </c>
      <c r="U242" s="8" t="str">
        <f>TRIM(RIGHT(RawSalesTable[[#This Row],[Customer_Info]], LEN(RawSalesTable[[#This Row],[Customer_Info]])-FIND(",",RawSalesTable[[#This Row],[Customer_Info]],FIND(",",RawSalesTable[[#This Row],[Customer_Info]])+1)))</f>
        <v>Consumer</v>
      </c>
      <c r="V242" s="8" t="str">
        <f>VLOOKUP(RawSalesTable[[#This Row],[Product_ID]],ProductsTable[],2,FALSE)</f>
        <v>Toaster</v>
      </c>
      <c r="W242" s="8" t="str">
        <f>VLOOKUP(RawSalesTable[[#This Row],[Product_ID]],ProductsTable[],3,FALSE)</f>
        <v>Home</v>
      </c>
      <c r="X242" s="8">
        <f>VLOOKUP(RawSalesTable[[#This Row],[Product_ID]],ProductsTable[],5,FALSE)</f>
        <v>152.88</v>
      </c>
      <c r="Y242" s="8">
        <f>RawSalesTable[[#This Row],[Quantity]]*RawSalesTable[[#This Row],[Unit_Price]]</f>
        <v>1701.3999999999999</v>
      </c>
      <c r="Z242" s="8">
        <f>RawSalesTable[[#This Row],[Gross_Sales]]*RawSalesTable[[#This Row],[Discount_Pct]]</f>
        <v>0</v>
      </c>
      <c r="AA242" s="8">
        <f>RawSalesTable[[#This Row],[Gross_Sales]]-RawSalesTable[[#This Row],[Discount_Amount]]</f>
        <v>1701.3999999999999</v>
      </c>
      <c r="AB242" s="8">
        <f>RawSalesTable[[#This Row],[Unit_Cost]]*RawSalesTable[[#This Row],[Quantity]]</f>
        <v>764.4</v>
      </c>
      <c r="AC242" s="8">
        <f>RawSalesTable[[#This Row],[Net_Sales]]-RawSalesTable[[#This Row],[Total_Cost]]</f>
        <v>936.99999999999989</v>
      </c>
      <c r="AD242" s="9">
        <f>RawSalesTable[[#This Row],[Profit]]/RawSalesTable[[#This Row],[Net_Sales]]</f>
        <v>0.55072293405430817</v>
      </c>
      <c r="AE242" s="8">
        <f>IF(RawSalesTable[[#This Row],[Return_Status]]="Yes",1,0)</f>
        <v>0</v>
      </c>
      <c r="AF242" s="8">
        <f>YEAR(RawSalesTable[[#This Row],[Order_Date]])</f>
        <v>2025</v>
      </c>
      <c r="AG242" s="8">
        <f>MONTH(RawSalesTable[[#This Row],[Order_Date]])</f>
        <v>2</v>
      </c>
      <c r="AH242" s="8" t="str">
        <f>TEXT(RawSalesTable[[#This Row],[Order_Date]],"mmmm")</f>
        <v>février</v>
      </c>
      <c r="AI242" s="8" t="str">
        <f>IF(RawSalesTable[[#This Row],[Month_Number]]&lt;=3,"Q1",IF(RawSalesTable[[#This Row],[Month_Number]]&lt;=6,"Q2",IF(RawSalesTable[[#This Row],[Month_Number]]&lt;=9,"Q3","Q4")))</f>
        <v>Q1</v>
      </c>
      <c r="AJ242" s="13">
        <f>DATE(YEAR(RawSalesTable[[#This Row],[Order_Date]]),MONTH(RawSalesTable[[#This Row],[Order_Date]]),1)</f>
        <v>45689</v>
      </c>
      <c r="AK242" s="8" t="str">
        <f>VLOOKUP(RawSalesTable[[#This Row],[Customer_ID_clean]],CustomersTable[],4,FALSE)</f>
        <v>Quebec</v>
      </c>
    </row>
    <row r="243" spans="1:37">
      <c r="A243" t="s">
        <v>617</v>
      </c>
      <c r="B243" s="3">
        <v>45802</v>
      </c>
      <c r="C243" t="s">
        <v>430</v>
      </c>
      <c r="D243" t="s">
        <v>152</v>
      </c>
      <c r="E243" t="s">
        <v>431</v>
      </c>
      <c r="F243" t="s">
        <v>111</v>
      </c>
      <c r="G243" t="s">
        <v>88</v>
      </c>
      <c r="H243" t="s">
        <v>89</v>
      </c>
      <c r="I243">
        <v>1</v>
      </c>
      <c r="J243" s="2">
        <v>141.15</v>
      </c>
      <c r="K243" s="4">
        <v>0.1</v>
      </c>
      <c r="L243" t="s">
        <v>154</v>
      </c>
      <c r="M243">
        <v>9</v>
      </c>
      <c r="N243" t="s">
        <v>91</v>
      </c>
      <c r="O243" t="str">
        <f>SUBSTITUTE(PROPER(TRIM(RawSalesTable[[#This Row],[Channel_Raw]])), "Market Place", "Marketplace")</f>
        <v>Online</v>
      </c>
      <c r="P243" t="str">
        <f>TRIM(RawSalesTable[[#This Row],[Store_Raw]])</f>
        <v>Montreal Central</v>
      </c>
      <c r="Q243" t="str">
        <f>IF(TRIM(RawSalesTable[[#This Row],[Payment_Method_Raw]])="","Non renseigné",SUBSTITUTE(TRIM(RawSalesTable[[#This Row],[Payment_Method_Raw]]),"CC","Credit Card"))</f>
        <v>Gift Card</v>
      </c>
      <c r="R243" s="8" t="str">
        <f>UPPER(PROPER(RawSalesTable[[#This Row],[Customer_ID]]))</f>
        <v>C0056</v>
      </c>
      <c r="S243" s="8" t="str">
        <f>TRIM(LEFT(RawSalesTable[[#This Row],[Customer_Info]],FIND(",",RawSalesTable[[#This Row],[Customer_Info]]) -1))</f>
        <v>Sarah Wilson</v>
      </c>
      <c r="T243" s="8" t="str">
        <f>TRIM(MID(RawSalesTable[[#This Row],[Customer_Info]],FIND(",",RawSalesTable[[#This Row],[Customer_Info]])+1,FIND(",",RawSalesTable[[#This Row],[Customer_Info]],FIND(",",RawSalesTable[[#This Row],[Customer_Info]])+1)-FIND(",",RawSalesTable[[#This Row],[Customer_Info]])-1))</f>
        <v>Halifax</v>
      </c>
      <c r="U243" s="8" t="str">
        <f>TRIM(RIGHT(RawSalesTable[[#This Row],[Customer_Info]], LEN(RawSalesTable[[#This Row],[Customer_Info]])-FIND(",",RawSalesTable[[#This Row],[Customer_Info]],FIND(",",RawSalesTable[[#This Row],[Customer_Info]])+1)))</f>
        <v>Consumer</v>
      </c>
      <c r="V243" s="8" t="str">
        <f>VLOOKUP(RawSalesTable[[#This Row],[Product_ID]],ProductsTable[],2,FALSE)</f>
        <v>Smart Speaker</v>
      </c>
      <c r="W243" s="8" t="str">
        <f>VLOOKUP(RawSalesTable[[#This Row],[Product_ID]],ProductsTable[],3,FALSE)</f>
        <v>Electronics</v>
      </c>
      <c r="X243" s="8">
        <f>VLOOKUP(RawSalesTable[[#This Row],[Product_ID]],ProductsTable[],5,FALSE)</f>
        <v>69</v>
      </c>
      <c r="Y243" s="8">
        <f>RawSalesTable[[#This Row],[Quantity]]*RawSalesTable[[#This Row],[Unit_Price]]</f>
        <v>141.15</v>
      </c>
      <c r="Z243" s="8">
        <f>RawSalesTable[[#This Row],[Gross_Sales]]*RawSalesTable[[#This Row],[Discount_Pct]]</f>
        <v>14.115000000000002</v>
      </c>
      <c r="AA243" s="8">
        <f>RawSalesTable[[#This Row],[Gross_Sales]]-RawSalesTable[[#This Row],[Discount_Amount]]</f>
        <v>127.035</v>
      </c>
      <c r="AB243" s="8">
        <f>RawSalesTable[[#This Row],[Unit_Cost]]*RawSalesTable[[#This Row],[Quantity]]</f>
        <v>69</v>
      </c>
      <c r="AC243" s="8">
        <f>RawSalesTable[[#This Row],[Net_Sales]]-RawSalesTable[[#This Row],[Total_Cost]]</f>
        <v>58.034999999999997</v>
      </c>
      <c r="AD243" s="9">
        <f>RawSalesTable[[#This Row],[Profit]]/RawSalesTable[[#This Row],[Net_Sales]]</f>
        <v>0.45684260243240049</v>
      </c>
      <c r="AE243" s="8">
        <f>IF(RawSalesTable[[#This Row],[Return_Status]]="Yes",1,0)</f>
        <v>0</v>
      </c>
      <c r="AF243" s="8">
        <f>YEAR(RawSalesTable[[#This Row],[Order_Date]])</f>
        <v>2025</v>
      </c>
      <c r="AG243" s="8">
        <f>MONTH(RawSalesTable[[#This Row],[Order_Date]])</f>
        <v>5</v>
      </c>
      <c r="AH243" s="8" t="str">
        <f>TEXT(RawSalesTable[[#This Row],[Order_Date]],"mmmm")</f>
        <v>mai</v>
      </c>
      <c r="AI243" s="8" t="str">
        <f>IF(RawSalesTable[[#This Row],[Month_Number]]&lt;=3,"Q1",IF(RawSalesTable[[#This Row],[Month_Number]]&lt;=6,"Q2",IF(RawSalesTable[[#This Row],[Month_Number]]&lt;=9,"Q3","Q4")))</f>
        <v>Q2</v>
      </c>
      <c r="AJ243" s="13">
        <f>DATE(YEAR(RawSalesTable[[#This Row],[Order_Date]]),MONTH(RawSalesTable[[#This Row],[Order_Date]]),1)</f>
        <v>45778</v>
      </c>
      <c r="AK243" s="8" t="str">
        <f>VLOOKUP(RawSalesTable[[#This Row],[Customer_ID_clean]],CustomersTable[],4,FALSE)</f>
        <v>Nova Scotia</v>
      </c>
    </row>
    <row r="244" spans="1:37">
      <c r="A244" t="s">
        <v>618</v>
      </c>
      <c r="B244" s="3">
        <v>45684</v>
      </c>
      <c r="C244" t="s">
        <v>538</v>
      </c>
      <c r="D244" t="s">
        <v>125</v>
      </c>
      <c r="E244" t="s">
        <v>539</v>
      </c>
      <c r="F244" t="s">
        <v>111</v>
      </c>
      <c r="G244" t="s">
        <v>130</v>
      </c>
      <c r="H244" t="s">
        <v>89</v>
      </c>
      <c r="I244">
        <v>3</v>
      </c>
      <c r="J244" s="2">
        <v>55.19</v>
      </c>
      <c r="K244" s="4">
        <v>0.1</v>
      </c>
      <c r="L244" t="s">
        <v>106</v>
      </c>
      <c r="M244">
        <v>1</v>
      </c>
      <c r="N244" t="s">
        <v>91</v>
      </c>
      <c r="O244" t="str">
        <f>SUBSTITUTE(PROPER(TRIM(RawSalesTable[[#This Row],[Channel_Raw]])), "Market Place", "Marketplace")</f>
        <v>Online</v>
      </c>
      <c r="P244" t="str">
        <f>TRIM(RawSalesTable[[#This Row],[Store_Raw]])</f>
        <v>Montreal Central</v>
      </c>
      <c r="Q244" t="str">
        <f>IF(TRIM(RawSalesTable[[#This Row],[Payment_Method_Raw]])="","Non renseigné",SUBSTITUTE(TRIM(RawSalesTable[[#This Row],[Payment_Method_Raw]]),"CC","Credit Card"))</f>
        <v>Credit Card</v>
      </c>
      <c r="R244" s="8" t="str">
        <f>UPPER(PROPER(RawSalesTable[[#This Row],[Customer_ID]]))</f>
        <v>C0086</v>
      </c>
      <c r="S244" s="8" t="str">
        <f>TRIM(LEFT(RawSalesTable[[#This Row],[Customer_Info]],FIND(",",RawSalesTable[[#This Row],[Customer_Info]]) -1))</f>
        <v>Adam Gagnon</v>
      </c>
      <c r="T244" s="8" t="str">
        <f>TRIM(MID(RawSalesTable[[#This Row],[Customer_Info]],FIND(",",RawSalesTable[[#This Row],[Customer_Info]])+1,FIND(",",RawSalesTable[[#This Row],[Customer_Info]],FIND(",",RawSalesTable[[#This Row],[Customer_Info]])+1)-FIND(",",RawSalesTable[[#This Row],[Customer_Info]])-1))</f>
        <v>Winnipeg</v>
      </c>
      <c r="U244" s="8" t="str">
        <f>TRIM(RIGHT(RawSalesTable[[#This Row],[Customer_Info]], LEN(RawSalesTable[[#This Row],[Customer_Info]])-FIND(",",RawSalesTable[[#This Row],[Customer_Info]],FIND(",",RawSalesTable[[#This Row],[Customer_Info]])+1)))</f>
        <v>Consumer</v>
      </c>
      <c r="V244" s="8" t="str">
        <f>VLOOKUP(RawSalesTable[[#This Row],[Product_ID]],ProductsTable[],2,FALSE)</f>
        <v>Kettlebell</v>
      </c>
      <c r="W244" s="8" t="str">
        <f>VLOOKUP(RawSalesTable[[#This Row],[Product_ID]],ProductsTable[],3,FALSE)</f>
        <v>Fitness</v>
      </c>
      <c r="X244" s="8">
        <f>VLOOKUP(RawSalesTable[[#This Row],[Product_ID]],ProductsTable[],5,FALSE)</f>
        <v>25.97</v>
      </c>
      <c r="Y244" s="8">
        <f>RawSalesTable[[#This Row],[Quantity]]*RawSalesTable[[#This Row],[Unit_Price]]</f>
        <v>165.57</v>
      </c>
      <c r="Z244" s="8">
        <f>RawSalesTable[[#This Row],[Gross_Sales]]*RawSalesTable[[#This Row],[Discount_Pct]]</f>
        <v>16.556999999999999</v>
      </c>
      <c r="AA244" s="8">
        <f>RawSalesTable[[#This Row],[Gross_Sales]]-RawSalesTable[[#This Row],[Discount_Amount]]</f>
        <v>149.01300000000001</v>
      </c>
      <c r="AB244" s="8">
        <f>RawSalesTable[[#This Row],[Unit_Cost]]*RawSalesTable[[#This Row],[Quantity]]</f>
        <v>77.91</v>
      </c>
      <c r="AC244" s="8">
        <f>RawSalesTable[[#This Row],[Net_Sales]]-RawSalesTable[[#This Row],[Total_Cost]]</f>
        <v>71.103000000000009</v>
      </c>
      <c r="AD244" s="9">
        <f>RawSalesTable[[#This Row],[Profit]]/RawSalesTable[[#This Row],[Net_Sales]]</f>
        <v>0.47715971089770698</v>
      </c>
      <c r="AE244" s="8">
        <f>IF(RawSalesTable[[#This Row],[Return_Status]]="Yes",1,0)</f>
        <v>0</v>
      </c>
      <c r="AF244" s="8">
        <f>YEAR(RawSalesTable[[#This Row],[Order_Date]])</f>
        <v>2025</v>
      </c>
      <c r="AG244" s="8">
        <f>MONTH(RawSalesTable[[#This Row],[Order_Date]])</f>
        <v>1</v>
      </c>
      <c r="AH244" s="8" t="str">
        <f>TEXT(RawSalesTable[[#This Row],[Order_Date]],"mmmm")</f>
        <v>janvier</v>
      </c>
      <c r="AI244" s="8" t="str">
        <f>IF(RawSalesTable[[#This Row],[Month_Number]]&lt;=3,"Q1",IF(RawSalesTable[[#This Row],[Month_Number]]&lt;=6,"Q2",IF(RawSalesTable[[#This Row],[Month_Number]]&lt;=9,"Q3","Q4")))</f>
        <v>Q1</v>
      </c>
      <c r="AJ244" s="13">
        <f>DATE(YEAR(RawSalesTable[[#This Row],[Order_Date]]),MONTH(RawSalesTable[[#This Row],[Order_Date]]),1)</f>
        <v>45658</v>
      </c>
      <c r="AK244" s="8" t="str">
        <f>VLOOKUP(RawSalesTable[[#This Row],[Customer_ID_clean]],CustomersTable[],4,FALSE)</f>
        <v>Manitoba</v>
      </c>
    </row>
    <row r="245" spans="1:37">
      <c r="A245" t="s">
        <v>619</v>
      </c>
      <c r="B245" s="3">
        <v>45780</v>
      </c>
      <c r="C245" t="s">
        <v>200</v>
      </c>
      <c r="D245" t="s">
        <v>85</v>
      </c>
      <c r="E245" t="s">
        <v>201</v>
      </c>
      <c r="F245" t="s">
        <v>87</v>
      </c>
      <c r="G245" t="s">
        <v>104</v>
      </c>
      <c r="H245" t="s">
        <v>89</v>
      </c>
      <c r="I245">
        <v>1</v>
      </c>
      <c r="J245" s="2">
        <v>297.98</v>
      </c>
      <c r="K245" s="4">
        <v>0.1</v>
      </c>
      <c r="L245" t="s">
        <v>106</v>
      </c>
      <c r="M245">
        <v>7</v>
      </c>
      <c r="N245" t="s">
        <v>91</v>
      </c>
      <c r="O245" t="str">
        <f>SUBSTITUTE(PROPER(TRIM(RawSalesTable[[#This Row],[Channel_Raw]])), "Market Place", "Marketplace")</f>
        <v>Online</v>
      </c>
      <c r="P245" t="str">
        <f>TRIM(RawSalesTable[[#This Row],[Store_Raw]])</f>
        <v>Online Fulfillment</v>
      </c>
      <c r="Q245" t="str">
        <f>IF(TRIM(RawSalesTable[[#This Row],[Payment_Method_Raw]])="","Non renseigné",SUBSTITUTE(TRIM(RawSalesTable[[#This Row],[Payment_Method_Raw]]),"CC","Credit Card"))</f>
        <v>Credit Card</v>
      </c>
      <c r="R245" s="8" t="str">
        <f>UPPER(PROPER(RawSalesTable[[#This Row],[Customer_ID]]))</f>
        <v>C0118</v>
      </c>
      <c r="S245" s="8" t="str">
        <f>TRIM(LEFT(RawSalesTable[[#This Row],[Customer_Info]],FIND(",",RawSalesTable[[#This Row],[Customer_Info]]) -1))</f>
        <v>Ryan Smith</v>
      </c>
      <c r="T245" s="8" t="str">
        <f>TRIM(MID(RawSalesTable[[#This Row],[Customer_Info]],FIND(",",RawSalesTable[[#This Row],[Customer_Info]])+1,FIND(",",RawSalesTable[[#This Row],[Customer_Info]],FIND(",",RawSalesTable[[#This Row],[Customer_Info]])+1)-FIND(",",RawSalesTable[[#This Row],[Customer_Info]])-1))</f>
        <v>Victoria</v>
      </c>
      <c r="U245" s="8" t="str">
        <f>TRIM(RIGHT(RawSalesTable[[#This Row],[Customer_Info]], LEN(RawSalesTable[[#This Row],[Customer_Info]])-FIND(",",RawSalesTable[[#This Row],[Customer_Info]],FIND(",",RawSalesTable[[#This Row],[Customer_Info]])+1)))</f>
        <v>Small Business</v>
      </c>
      <c r="V245" s="8" t="str">
        <f>VLOOKUP(RawSalesTable[[#This Row],[Product_ID]],ProductsTable[],2,FALSE)</f>
        <v>Yoga Mat</v>
      </c>
      <c r="W245" s="8" t="str">
        <f>VLOOKUP(RawSalesTable[[#This Row],[Product_ID]],ProductsTable[],3,FALSE)</f>
        <v>Fitness</v>
      </c>
      <c r="X245" s="8">
        <f>VLOOKUP(RawSalesTable[[#This Row],[Product_ID]],ProductsTable[],5,FALSE)</f>
        <v>197.33</v>
      </c>
      <c r="Y245" s="8">
        <f>RawSalesTable[[#This Row],[Quantity]]*RawSalesTable[[#This Row],[Unit_Price]]</f>
        <v>297.98</v>
      </c>
      <c r="Z245" s="8">
        <f>RawSalesTable[[#This Row],[Gross_Sales]]*RawSalesTable[[#This Row],[Discount_Pct]]</f>
        <v>29.798000000000002</v>
      </c>
      <c r="AA245" s="8">
        <f>RawSalesTable[[#This Row],[Gross_Sales]]-RawSalesTable[[#This Row],[Discount_Amount]]</f>
        <v>268.18200000000002</v>
      </c>
      <c r="AB245" s="8">
        <f>RawSalesTable[[#This Row],[Unit_Cost]]*RawSalesTable[[#This Row],[Quantity]]</f>
        <v>197.33</v>
      </c>
      <c r="AC245" s="8">
        <f>RawSalesTable[[#This Row],[Net_Sales]]-RawSalesTable[[#This Row],[Total_Cost]]</f>
        <v>70.852000000000004</v>
      </c>
      <c r="AD245" s="9">
        <f>RawSalesTable[[#This Row],[Profit]]/RawSalesTable[[#This Row],[Net_Sales]]</f>
        <v>0.26419371919069884</v>
      </c>
      <c r="AE245" s="8">
        <f>IF(RawSalesTable[[#This Row],[Return_Status]]="Yes",1,0)</f>
        <v>0</v>
      </c>
      <c r="AF245" s="8">
        <f>YEAR(RawSalesTable[[#This Row],[Order_Date]])</f>
        <v>2025</v>
      </c>
      <c r="AG245" s="8">
        <f>MONTH(RawSalesTable[[#This Row],[Order_Date]])</f>
        <v>5</v>
      </c>
      <c r="AH245" s="8" t="str">
        <f>TEXT(RawSalesTable[[#This Row],[Order_Date]],"mmmm")</f>
        <v>mai</v>
      </c>
      <c r="AI245" s="8" t="str">
        <f>IF(RawSalesTable[[#This Row],[Month_Number]]&lt;=3,"Q1",IF(RawSalesTable[[#This Row],[Month_Number]]&lt;=6,"Q2",IF(RawSalesTable[[#This Row],[Month_Number]]&lt;=9,"Q3","Q4")))</f>
        <v>Q2</v>
      </c>
      <c r="AJ245" s="13">
        <f>DATE(YEAR(RawSalesTable[[#This Row],[Order_Date]]),MONTH(RawSalesTable[[#This Row],[Order_Date]]),1)</f>
        <v>45778</v>
      </c>
      <c r="AK245" s="8" t="str">
        <f>VLOOKUP(RawSalesTable[[#This Row],[Customer_ID_clean]],CustomersTable[],4,FALSE)</f>
        <v>British Columbia</v>
      </c>
    </row>
    <row r="246" spans="1:37">
      <c r="A246" t="s">
        <v>620</v>
      </c>
      <c r="B246" s="3">
        <v>45834</v>
      </c>
      <c r="C246" t="s">
        <v>399</v>
      </c>
      <c r="D246" t="s">
        <v>323</v>
      </c>
      <c r="E246" t="s">
        <v>400</v>
      </c>
      <c r="F246" t="s">
        <v>116</v>
      </c>
      <c r="G246" t="s">
        <v>171</v>
      </c>
      <c r="H246" t="s">
        <v>97</v>
      </c>
      <c r="I246">
        <v>1</v>
      </c>
      <c r="J246" s="2">
        <v>338.18</v>
      </c>
      <c r="K246" s="4">
        <v>0.15</v>
      </c>
      <c r="L246" t="s">
        <v>98</v>
      </c>
      <c r="M246">
        <v>1</v>
      </c>
      <c r="N246" t="s">
        <v>91</v>
      </c>
      <c r="O246" t="str">
        <f>SUBSTITUTE(PROPER(TRIM(RawSalesTable[[#This Row],[Channel_Raw]])), "Market Place", "Marketplace")</f>
        <v>Retail Store</v>
      </c>
      <c r="P246" t="str">
        <f>TRIM(RawSalesTable[[#This Row],[Store_Raw]])</f>
        <v>Toronto Downtown</v>
      </c>
      <c r="Q246" t="str">
        <f>IF(TRIM(RawSalesTable[[#This Row],[Payment_Method_Raw]])="","Non renseigné",SUBSTITUTE(TRIM(RawSalesTable[[#This Row],[Payment_Method_Raw]]),"CC","Credit Card"))</f>
        <v>Debit Card</v>
      </c>
      <c r="R246" s="8" t="str">
        <f>UPPER(PROPER(RawSalesTable[[#This Row],[Customer_ID]]))</f>
        <v>C0090</v>
      </c>
      <c r="S246" s="8" t="str">
        <f>TRIM(LEFT(RawSalesTable[[#This Row],[Customer_Info]],FIND(",",RawSalesTable[[#This Row],[Customer_Info]]) -1))</f>
        <v>Nora Young</v>
      </c>
      <c r="T246" s="8" t="str">
        <f>TRIM(MID(RawSalesTable[[#This Row],[Customer_Info]],FIND(",",RawSalesTable[[#This Row],[Customer_Info]])+1,FIND(",",RawSalesTable[[#This Row],[Customer_Info]],FIND(",",RawSalesTable[[#This Row],[Customer_Info]])+1)-FIND(",",RawSalesTable[[#This Row],[Customer_Info]])-1))</f>
        <v>Montreal</v>
      </c>
      <c r="U246" s="8" t="str">
        <f>TRIM(RIGHT(RawSalesTable[[#This Row],[Customer_Info]], LEN(RawSalesTable[[#This Row],[Customer_Info]])-FIND(",",RawSalesTable[[#This Row],[Customer_Info]],FIND(",",RawSalesTable[[#This Row],[Customer_Info]])+1)))</f>
        <v>Small Business</v>
      </c>
      <c r="V246" s="8" t="str">
        <f>VLOOKUP(RawSalesTable[[#This Row],[Product_ID]],ProductsTable[],2,FALSE)</f>
        <v>Toaster</v>
      </c>
      <c r="W246" s="8" t="str">
        <f>VLOOKUP(RawSalesTable[[#This Row],[Product_ID]],ProductsTable[],3,FALSE)</f>
        <v>Home</v>
      </c>
      <c r="X246" s="8">
        <f>VLOOKUP(RawSalesTable[[#This Row],[Product_ID]],ProductsTable[],5,FALSE)</f>
        <v>152.88</v>
      </c>
      <c r="Y246" s="8">
        <f>RawSalesTable[[#This Row],[Quantity]]*RawSalesTable[[#This Row],[Unit_Price]]</f>
        <v>338.18</v>
      </c>
      <c r="Z246" s="8">
        <f>RawSalesTable[[#This Row],[Gross_Sales]]*RawSalesTable[[#This Row],[Discount_Pct]]</f>
        <v>50.726999999999997</v>
      </c>
      <c r="AA246" s="8">
        <f>RawSalesTable[[#This Row],[Gross_Sales]]-RawSalesTable[[#This Row],[Discount_Amount]]</f>
        <v>287.45300000000003</v>
      </c>
      <c r="AB246" s="8">
        <f>RawSalesTable[[#This Row],[Unit_Cost]]*RawSalesTable[[#This Row],[Quantity]]</f>
        <v>152.88</v>
      </c>
      <c r="AC246" s="8">
        <f>RawSalesTable[[#This Row],[Net_Sales]]-RawSalesTable[[#This Row],[Total_Cost]]</f>
        <v>134.57300000000004</v>
      </c>
      <c r="AD246" s="9">
        <f>RawSalesTable[[#This Row],[Profit]]/RawSalesTable[[#This Row],[Net_Sales]]</f>
        <v>0.46815653341589764</v>
      </c>
      <c r="AE246" s="8">
        <f>IF(RawSalesTable[[#This Row],[Return_Status]]="Yes",1,0)</f>
        <v>0</v>
      </c>
      <c r="AF246" s="8">
        <f>YEAR(RawSalesTable[[#This Row],[Order_Date]])</f>
        <v>2025</v>
      </c>
      <c r="AG246" s="8">
        <f>MONTH(RawSalesTable[[#This Row],[Order_Date]])</f>
        <v>6</v>
      </c>
      <c r="AH246" s="8" t="str">
        <f>TEXT(RawSalesTable[[#This Row],[Order_Date]],"mmmm")</f>
        <v>juin</v>
      </c>
      <c r="AI246" s="8" t="str">
        <f>IF(RawSalesTable[[#This Row],[Month_Number]]&lt;=3,"Q1",IF(RawSalesTable[[#This Row],[Month_Number]]&lt;=6,"Q2",IF(RawSalesTable[[#This Row],[Month_Number]]&lt;=9,"Q3","Q4")))</f>
        <v>Q2</v>
      </c>
      <c r="AJ246" s="13">
        <f>DATE(YEAR(RawSalesTable[[#This Row],[Order_Date]]),MONTH(RawSalesTable[[#This Row],[Order_Date]]),1)</f>
        <v>45809</v>
      </c>
      <c r="AK246" s="8" t="str">
        <f>VLOOKUP(RawSalesTable[[#This Row],[Customer_ID_clean]],CustomersTable[],4,FALSE)</f>
        <v>Quebec</v>
      </c>
    </row>
    <row r="247" spans="1:37">
      <c r="A247" t="s">
        <v>621</v>
      </c>
      <c r="B247" s="3">
        <v>45719</v>
      </c>
      <c r="C247" t="s">
        <v>396</v>
      </c>
      <c r="D247" t="s">
        <v>221</v>
      </c>
      <c r="E247" t="s">
        <v>397</v>
      </c>
      <c r="F247" t="s">
        <v>145</v>
      </c>
      <c r="G247" t="s">
        <v>104</v>
      </c>
      <c r="H247" t="s">
        <v>89</v>
      </c>
      <c r="I247">
        <v>1</v>
      </c>
      <c r="J247" s="2">
        <v>29.8</v>
      </c>
      <c r="K247" s="4">
        <v>0.2</v>
      </c>
      <c r="L247" t="s">
        <v>106</v>
      </c>
      <c r="M247">
        <v>7</v>
      </c>
      <c r="N247" t="s">
        <v>91</v>
      </c>
      <c r="O247" t="str">
        <f>SUBSTITUTE(PROPER(TRIM(RawSalesTable[[#This Row],[Channel_Raw]])), "Market Place", "Marketplace")</f>
        <v>Online</v>
      </c>
      <c r="P247" t="str">
        <f>TRIM(RawSalesTable[[#This Row],[Store_Raw]])</f>
        <v>Calgary North</v>
      </c>
      <c r="Q247" t="str">
        <f>IF(TRIM(RawSalesTable[[#This Row],[Payment_Method_Raw]])="","Non renseigné",SUBSTITUTE(TRIM(RawSalesTable[[#This Row],[Payment_Method_Raw]]),"CC","Credit Card"))</f>
        <v>Credit Card</v>
      </c>
      <c r="R247" s="8" t="str">
        <f>UPPER(PROPER(RawSalesTable[[#This Row],[Customer_ID]]))</f>
        <v>C0058</v>
      </c>
      <c r="S247" s="8" t="str">
        <f>TRIM(LEFT(RawSalesTable[[#This Row],[Customer_Info]],FIND(",",RawSalesTable[[#This Row],[Customer_Info]]) -1))</f>
        <v>Mia Singh</v>
      </c>
      <c r="T247" s="8" t="str">
        <f>TRIM(MID(RawSalesTable[[#This Row],[Customer_Info]],FIND(",",RawSalesTable[[#This Row],[Customer_Info]])+1,FIND(",",RawSalesTable[[#This Row],[Customer_Info]],FIND(",",RawSalesTable[[#This Row],[Customer_Info]])+1)-FIND(",",RawSalesTable[[#This Row],[Customer_Info]])-1))</f>
        <v>Laval</v>
      </c>
      <c r="U247" s="8" t="str">
        <f>TRIM(RIGHT(RawSalesTable[[#This Row],[Customer_Info]], LEN(RawSalesTable[[#This Row],[Customer_Info]])-FIND(",",RawSalesTable[[#This Row],[Customer_Info]],FIND(",",RawSalesTable[[#This Row],[Customer_Info]])+1)))</f>
        <v>Consumer</v>
      </c>
      <c r="V247" s="8" t="str">
        <f>VLOOKUP(RawSalesTable[[#This Row],[Product_ID]],ProductsTable[],2,FALSE)</f>
        <v>Air Fryer</v>
      </c>
      <c r="W247" s="8" t="str">
        <f>VLOOKUP(RawSalesTable[[#This Row],[Product_ID]],ProductsTable[],3,FALSE)</f>
        <v>Home</v>
      </c>
      <c r="X247" s="8">
        <f>VLOOKUP(RawSalesTable[[#This Row],[Product_ID]],ProductsTable[],5,FALSE)</f>
        <v>14.58</v>
      </c>
      <c r="Y247" s="8">
        <f>RawSalesTable[[#This Row],[Quantity]]*RawSalesTable[[#This Row],[Unit_Price]]</f>
        <v>29.8</v>
      </c>
      <c r="Z247" s="8">
        <f>RawSalesTable[[#This Row],[Gross_Sales]]*RawSalesTable[[#This Row],[Discount_Pct]]</f>
        <v>5.9600000000000009</v>
      </c>
      <c r="AA247" s="8">
        <f>RawSalesTable[[#This Row],[Gross_Sales]]-RawSalesTable[[#This Row],[Discount_Amount]]</f>
        <v>23.84</v>
      </c>
      <c r="AB247" s="8">
        <f>RawSalesTable[[#This Row],[Unit_Cost]]*RawSalesTable[[#This Row],[Quantity]]</f>
        <v>14.58</v>
      </c>
      <c r="AC247" s="8">
        <f>RawSalesTable[[#This Row],[Net_Sales]]-RawSalesTable[[#This Row],[Total_Cost]]</f>
        <v>9.26</v>
      </c>
      <c r="AD247" s="9">
        <f>RawSalesTable[[#This Row],[Profit]]/RawSalesTable[[#This Row],[Net_Sales]]</f>
        <v>0.38842281879194629</v>
      </c>
      <c r="AE247" s="8">
        <f>IF(RawSalesTable[[#This Row],[Return_Status]]="Yes",1,0)</f>
        <v>0</v>
      </c>
      <c r="AF247" s="8">
        <f>YEAR(RawSalesTable[[#This Row],[Order_Date]])</f>
        <v>2025</v>
      </c>
      <c r="AG247" s="8">
        <f>MONTH(RawSalesTable[[#This Row],[Order_Date]])</f>
        <v>3</v>
      </c>
      <c r="AH247" s="8" t="str">
        <f>TEXT(RawSalesTable[[#This Row],[Order_Date]],"mmmm")</f>
        <v>mars</v>
      </c>
      <c r="AI247" s="8" t="str">
        <f>IF(RawSalesTable[[#This Row],[Month_Number]]&lt;=3,"Q1",IF(RawSalesTable[[#This Row],[Month_Number]]&lt;=6,"Q2",IF(RawSalesTable[[#This Row],[Month_Number]]&lt;=9,"Q3","Q4")))</f>
        <v>Q1</v>
      </c>
      <c r="AJ247" s="13">
        <f>DATE(YEAR(RawSalesTable[[#This Row],[Order_Date]]),MONTH(RawSalesTable[[#This Row],[Order_Date]]),1)</f>
        <v>45717</v>
      </c>
      <c r="AK247" s="8" t="str">
        <f>VLOOKUP(RawSalesTable[[#This Row],[Customer_ID_clean]],CustomersTable[],4,FALSE)</f>
        <v>Quebec</v>
      </c>
    </row>
    <row r="248" spans="1:37">
      <c r="A248" t="s">
        <v>622</v>
      </c>
      <c r="B248" s="3">
        <v>45834</v>
      </c>
      <c r="C248" t="s">
        <v>512</v>
      </c>
      <c r="D248" t="s">
        <v>174</v>
      </c>
      <c r="E248" t="s">
        <v>513</v>
      </c>
      <c r="F248" t="s">
        <v>87</v>
      </c>
      <c r="G248" t="s">
        <v>88</v>
      </c>
      <c r="H248" t="s">
        <v>89</v>
      </c>
      <c r="I248">
        <v>1</v>
      </c>
      <c r="J248" s="2">
        <v>40.01</v>
      </c>
      <c r="K248" s="4">
        <v>0</v>
      </c>
      <c r="L248" t="s">
        <v>154</v>
      </c>
      <c r="M248">
        <v>8</v>
      </c>
      <c r="N248" t="s">
        <v>91</v>
      </c>
      <c r="O248" t="str">
        <f>SUBSTITUTE(PROPER(TRIM(RawSalesTable[[#This Row],[Channel_Raw]])), "Market Place", "Marketplace")</f>
        <v>Online</v>
      </c>
      <c r="P248" t="str">
        <f>TRIM(RawSalesTable[[#This Row],[Store_Raw]])</f>
        <v>Online Fulfillment</v>
      </c>
      <c r="Q248" t="str">
        <f>IF(TRIM(RawSalesTable[[#This Row],[Payment_Method_Raw]])="","Non renseigné",SUBSTITUTE(TRIM(RawSalesTable[[#This Row],[Payment_Method_Raw]]),"CC","Credit Card"))</f>
        <v>Gift Card</v>
      </c>
      <c r="R248" s="8" t="str">
        <f>UPPER(PROPER(RawSalesTable[[#This Row],[Customer_ID]]))</f>
        <v>C0082</v>
      </c>
      <c r="S248" s="8" t="str">
        <f>TRIM(LEFT(RawSalesTable[[#This Row],[Customer_Info]],FIND(",",RawSalesTable[[#This Row],[Customer_Info]]) -1))</f>
        <v>Ryan King</v>
      </c>
      <c r="T248" s="8" t="str">
        <f>TRIM(MID(RawSalesTable[[#This Row],[Customer_Info]],FIND(",",RawSalesTable[[#This Row],[Customer_Info]])+1,FIND(",",RawSalesTable[[#This Row],[Customer_Info]],FIND(",",RawSalesTable[[#This Row],[Customer_Info]])+1)-FIND(",",RawSalesTable[[#This Row],[Customer_Info]])-1))</f>
        <v>Winnipeg</v>
      </c>
      <c r="U248" s="8" t="str">
        <f>TRIM(RIGHT(RawSalesTable[[#This Row],[Customer_Info]], LEN(RawSalesTable[[#This Row],[Customer_Info]])-FIND(",",RawSalesTable[[#This Row],[Customer_Info]],FIND(",",RawSalesTable[[#This Row],[Customer_Info]])+1)))</f>
        <v>Small Business</v>
      </c>
      <c r="V248" s="8" t="str">
        <f>VLOOKUP(RawSalesTable[[#This Row],[Product_ID]],ProductsTable[],2,FALSE)</f>
        <v>Keyboard</v>
      </c>
      <c r="W248" s="8" t="str">
        <f>VLOOKUP(RawSalesTable[[#This Row],[Product_ID]],ProductsTable[],3,FALSE)</f>
        <v>Electronics</v>
      </c>
      <c r="X248" s="8">
        <f>VLOOKUP(RawSalesTable[[#This Row],[Product_ID]],ProductsTable[],5,FALSE)</f>
        <v>23.5</v>
      </c>
      <c r="Y248" s="8">
        <f>RawSalesTable[[#This Row],[Quantity]]*RawSalesTable[[#This Row],[Unit_Price]]</f>
        <v>40.01</v>
      </c>
      <c r="Z248" s="8">
        <f>RawSalesTable[[#This Row],[Gross_Sales]]*RawSalesTable[[#This Row],[Discount_Pct]]</f>
        <v>0</v>
      </c>
      <c r="AA248" s="8">
        <f>RawSalesTable[[#This Row],[Gross_Sales]]-RawSalesTable[[#This Row],[Discount_Amount]]</f>
        <v>40.01</v>
      </c>
      <c r="AB248" s="8">
        <f>RawSalesTable[[#This Row],[Unit_Cost]]*RawSalesTable[[#This Row],[Quantity]]</f>
        <v>23.5</v>
      </c>
      <c r="AC248" s="8">
        <f>RawSalesTable[[#This Row],[Net_Sales]]-RawSalesTable[[#This Row],[Total_Cost]]</f>
        <v>16.509999999999998</v>
      </c>
      <c r="AD248" s="9">
        <f>RawSalesTable[[#This Row],[Profit]]/RawSalesTable[[#This Row],[Net_Sales]]</f>
        <v>0.41264683829042736</v>
      </c>
      <c r="AE248" s="8">
        <f>IF(RawSalesTable[[#This Row],[Return_Status]]="Yes",1,0)</f>
        <v>0</v>
      </c>
      <c r="AF248" s="8">
        <f>YEAR(RawSalesTable[[#This Row],[Order_Date]])</f>
        <v>2025</v>
      </c>
      <c r="AG248" s="8">
        <f>MONTH(RawSalesTable[[#This Row],[Order_Date]])</f>
        <v>6</v>
      </c>
      <c r="AH248" s="8" t="str">
        <f>TEXT(RawSalesTable[[#This Row],[Order_Date]],"mmmm")</f>
        <v>juin</v>
      </c>
      <c r="AI248" s="8" t="str">
        <f>IF(RawSalesTable[[#This Row],[Month_Number]]&lt;=3,"Q1",IF(RawSalesTable[[#This Row],[Month_Number]]&lt;=6,"Q2",IF(RawSalesTable[[#This Row],[Month_Number]]&lt;=9,"Q3","Q4")))</f>
        <v>Q2</v>
      </c>
      <c r="AJ248" s="13">
        <f>DATE(YEAR(RawSalesTable[[#This Row],[Order_Date]]),MONTH(RawSalesTable[[#This Row],[Order_Date]]),1)</f>
        <v>45809</v>
      </c>
      <c r="AK248" s="8" t="str">
        <f>VLOOKUP(RawSalesTable[[#This Row],[Customer_ID_clean]],CustomersTable[],4,FALSE)</f>
        <v>Manitoba</v>
      </c>
    </row>
    <row r="249" spans="1:37">
      <c r="A249" t="s">
        <v>623</v>
      </c>
      <c r="B249" s="3">
        <v>45752</v>
      </c>
      <c r="C249" t="s">
        <v>100</v>
      </c>
      <c r="D249" t="s">
        <v>244</v>
      </c>
      <c r="E249" t="s">
        <v>102</v>
      </c>
      <c r="F249" t="s">
        <v>116</v>
      </c>
      <c r="G249" t="s">
        <v>183</v>
      </c>
      <c r="H249" t="s">
        <v>89</v>
      </c>
      <c r="I249">
        <v>4</v>
      </c>
      <c r="J249" s="2">
        <v>236.6</v>
      </c>
      <c r="K249" s="4">
        <v>0.1</v>
      </c>
      <c r="L249" t="s">
        <v>90</v>
      </c>
      <c r="M249">
        <v>2</v>
      </c>
      <c r="N249" t="s">
        <v>91</v>
      </c>
      <c r="O249" t="str">
        <f>SUBSTITUTE(PROPER(TRIM(RawSalesTable[[#This Row],[Channel_Raw]])), "Market Place", "Marketplace")</f>
        <v>Online</v>
      </c>
      <c r="P249" t="str">
        <f>TRIM(RawSalesTable[[#This Row],[Store_Raw]])</f>
        <v>Toronto Downtown</v>
      </c>
      <c r="Q249" t="str">
        <f>IF(TRIM(RawSalesTable[[#This Row],[Payment_Method_Raw]])="","Non renseigné",SUBSTITUTE(TRIM(RawSalesTable[[#This Row],[Payment_Method_Raw]]),"CC","Credit Card"))</f>
        <v>PayPal</v>
      </c>
      <c r="R249" s="8" t="str">
        <f>UPPER(PROPER(RawSalesTable[[#This Row],[Customer_ID]]))</f>
        <v>C0003</v>
      </c>
      <c r="S249" s="8" t="str">
        <f>TRIM(LEFT(RawSalesTable[[#This Row],[Customer_Info]],FIND(",",RawSalesTable[[#This Row],[Customer_Info]]) -1))</f>
        <v>Amelia Young</v>
      </c>
      <c r="T249" s="8" t="str">
        <f>TRIM(MID(RawSalesTable[[#This Row],[Customer_Info]],FIND(",",RawSalesTable[[#This Row],[Customer_Info]])+1,FIND(",",RawSalesTable[[#This Row],[Customer_Info]],FIND(",",RawSalesTable[[#This Row],[Customer_Info]])+1)-FIND(",",RawSalesTable[[#This Row],[Customer_Info]])-1))</f>
        <v>Ottawa</v>
      </c>
      <c r="U249" s="8" t="str">
        <f>TRIM(RIGHT(RawSalesTable[[#This Row],[Customer_Info]], LEN(RawSalesTable[[#This Row],[Customer_Info]])-FIND(",",RawSalesTable[[#This Row],[Customer_Info]],FIND(",",RawSalesTable[[#This Row],[Customer_Info]])+1)))</f>
        <v>Corporate</v>
      </c>
      <c r="V249" s="8" t="str">
        <f>VLOOKUP(RawSalesTable[[#This Row],[Product_ID]],ProductsTable[],2,FALSE)</f>
        <v>Portable SSD</v>
      </c>
      <c r="W249" s="8" t="str">
        <f>VLOOKUP(RawSalesTable[[#This Row],[Product_ID]],ProductsTable[],3,FALSE)</f>
        <v>Electronics</v>
      </c>
      <c r="X249" s="8">
        <f>VLOOKUP(RawSalesTable[[#This Row],[Product_ID]],ProductsTable[],5,FALSE)</f>
        <v>131.19</v>
      </c>
      <c r="Y249" s="8">
        <f>RawSalesTable[[#This Row],[Quantity]]*RawSalesTable[[#This Row],[Unit_Price]]</f>
        <v>946.4</v>
      </c>
      <c r="Z249" s="8">
        <f>RawSalesTable[[#This Row],[Gross_Sales]]*RawSalesTable[[#This Row],[Discount_Pct]]</f>
        <v>94.64</v>
      </c>
      <c r="AA249" s="8">
        <f>RawSalesTable[[#This Row],[Gross_Sales]]-RawSalesTable[[#This Row],[Discount_Amount]]</f>
        <v>851.76</v>
      </c>
      <c r="AB249" s="8">
        <f>RawSalesTable[[#This Row],[Unit_Cost]]*RawSalesTable[[#This Row],[Quantity]]</f>
        <v>524.76</v>
      </c>
      <c r="AC249" s="8">
        <f>RawSalesTable[[#This Row],[Net_Sales]]-RawSalesTable[[#This Row],[Total_Cost]]</f>
        <v>327</v>
      </c>
      <c r="AD249" s="9">
        <f>RawSalesTable[[#This Row],[Profit]]/RawSalesTable[[#This Row],[Net_Sales]]</f>
        <v>0.38391096083403775</v>
      </c>
      <c r="AE249" s="8">
        <f>IF(RawSalesTable[[#This Row],[Return_Status]]="Yes",1,0)</f>
        <v>0</v>
      </c>
      <c r="AF249" s="8">
        <f>YEAR(RawSalesTable[[#This Row],[Order_Date]])</f>
        <v>2025</v>
      </c>
      <c r="AG249" s="8">
        <f>MONTH(RawSalesTable[[#This Row],[Order_Date]])</f>
        <v>4</v>
      </c>
      <c r="AH249" s="8" t="str">
        <f>TEXT(RawSalesTable[[#This Row],[Order_Date]],"mmmm")</f>
        <v>avril</v>
      </c>
      <c r="AI249" s="8" t="str">
        <f>IF(RawSalesTable[[#This Row],[Month_Number]]&lt;=3,"Q1",IF(RawSalesTable[[#This Row],[Month_Number]]&lt;=6,"Q2",IF(RawSalesTable[[#This Row],[Month_Number]]&lt;=9,"Q3","Q4")))</f>
        <v>Q2</v>
      </c>
      <c r="AJ249" s="13">
        <f>DATE(YEAR(RawSalesTable[[#This Row],[Order_Date]]),MONTH(RawSalesTable[[#This Row],[Order_Date]]),1)</f>
        <v>45748</v>
      </c>
      <c r="AK249" s="8" t="str">
        <f>VLOOKUP(RawSalesTable[[#This Row],[Customer_ID_clean]],CustomersTable[],4,FALSE)</f>
        <v>Ontario</v>
      </c>
    </row>
    <row r="250" spans="1:37">
      <c r="A250" t="s">
        <v>624</v>
      </c>
      <c r="B250" s="3">
        <v>45927</v>
      </c>
      <c r="C250" t="s">
        <v>543</v>
      </c>
      <c r="D250" t="s">
        <v>165</v>
      </c>
      <c r="E250" t="s">
        <v>544</v>
      </c>
      <c r="F250" t="s">
        <v>103</v>
      </c>
      <c r="G250" t="s">
        <v>183</v>
      </c>
      <c r="H250" t="s">
        <v>97</v>
      </c>
      <c r="I250">
        <v>1</v>
      </c>
      <c r="J250" s="2">
        <v>97.2</v>
      </c>
      <c r="K250" s="4">
        <v>0.15</v>
      </c>
      <c r="L250" t="s">
        <v>98</v>
      </c>
      <c r="M250">
        <v>3</v>
      </c>
      <c r="N250" t="s">
        <v>91</v>
      </c>
      <c r="O250" t="str">
        <f>SUBSTITUTE(PROPER(TRIM(RawSalesTable[[#This Row],[Channel_Raw]])), "Market Place", "Marketplace")</f>
        <v>Retail Store</v>
      </c>
      <c r="P250" t="str">
        <f>TRIM(RawSalesTable[[#This Row],[Store_Raw]])</f>
        <v>Vancouver West</v>
      </c>
      <c r="Q250" t="str">
        <f>IF(TRIM(RawSalesTable[[#This Row],[Payment_Method_Raw]])="","Non renseigné",SUBSTITUTE(TRIM(RawSalesTable[[#This Row],[Payment_Method_Raw]]),"CC","Credit Card"))</f>
        <v>Debit Card</v>
      </c>
      <c r="R250" s="8" t="str">
        <f>UPPER(PROPER(RawSalesTable[[#This Row],[Customer_ID]]))</f>
        <v>C0031</v>
      </c>
      <c r="S250" s="8" t="str">
        <f>TRIM(LEFT(RawSalesTable[[#This Row],[Customer_Info]],FIND(",",RawSalesTable[[#This Row],[Customer_Info]]) -1))</f>
        <v>Leo Gagnon</v>
      </c>
      <c r="T250" s="8" t="str">
        <f>TRIM(MID(RawSalesTable[[#This Row],[Customer_Info]],FIND(",",RawSalesTable[[#This Row],[Customer_Info]])+1,FIND(",",RawSalesTable[[#This Row],[Customer_Info]],FIND(",",RawSalesTable[[#This Row],[Customer_Info]])+1)-FIND(",",RawSalesTable[[#This Row],[Customer_Info]])-1))</f>
        <v>Surrey</v>
      </c>
      <c r="U250" s="8" t="str">
        <f>TRIM(RIGHT(RawSalesTable[[#This Row],[Customer_Info]], LEN(RawSalesTable[[#This Row],[Customer_Info]])-FIND(",",RawSalesTable[[#This Row],[Customer_Info]],FIND(",",RawSalesTable[[#This Row],[Customer_Info]])+1)))</f>
        <v>Small Business</v>
      </c>
      <c r="V250" s="8" t="str">
        <f>VLOOKUP(RawSalesTable[[#This Row],[Product_ID]],ProductsTable[],2,FALSE)</f>
        <v>Food Scale</v>
      </c>
      <c r="W250" s="8" t="str">
        <f>VLOOKUP(RawSalesTable[[#This Row],[Product_ID]],ProductsTable[],3,FALSE)</f>
        <v>Home</v>
      </c>
      <c r="X250" s="8">
        <f>VLOOKUP(RawSalesTable[[#This Row],[Product_ID]],ProductsTable[],5,FALSE)</f>
        <v>46.07</v>
      </c>
      <c r="Y250" s="8">
        <f>RawSalesTable[[#This Row],[Quantity]]*RawSalesTable[[#This Row],[Unit_Price]]</f>
        <v>97.2</v>
      </c>
      <c r="Z250" s="8">
        <f>RawSalesTable[[#This Row],[Gross_Sales]]*RawSalesTable[[#This Row],[Discount_Pct]]</f>
        <v>14.58</v>
      </c>
      <c r="AA250" s="8">
        <f>RawSalesTable[[#This Row],[Gross_Sales]]-RawSalesTable[[#This Row],[Discount_Amount]]</f>
        <v>82.62</v>
      </c>
      <c r="AB250" s="8">
        <f>RawSalesTable[[#This Row],[Unit_Cost]]*RawSalesTable[[#This Row],[Quantity]]</f>
        <v>46.07</v>
      </c>
      <c r="AC250" s="8">
        <f>RawSalesTable[[#This Row],[Net_Sales]]-RawSalesTable[[#This Row],[Total_Cost]]</f>
        <v>36.550000000000004</v>
      </c>
      <c r="AD250" s="9">
        <f>RawSalesTable[[#This Row],[Profit]]/RawSalesTable[[#This Row],[Net_Sales]]</f>
        <v>0.4423868312757202</v>
      </c>
      <c r="AE250" s="8">
        <f>IF(RawSalesTable[[#This Row],[Return_Status]]="Yes",1,0)</f>
        <v>0</v>
      </c>
      <c r="AF250" s="8">
        <f>YEAR(RawSalesTable[[#This Row],[Order_Date]])</f>
        <v>2025</v>
      </c>
      <c r="AG250" s="8">
        <f>MONTH(RawSalesTable[[#This Row],[Order_Date]])</f>
        <v>9</v>
      </c>
      <c r="AH250" s="8" t="str">
        <f>TEXT(RawSalesTable[[#This Row],[Order_Date]],"mmmm")</f>
        <v>septembre</v>
      </c>
      <c r="AI250" s="8" t="str">
        <f>IF(RawSalesTable[[#This Row],[Month_Number]]&lt;=3,"Q1",IF(RawSalesTable[[#This Row],[Month_Number]]&lt;=6,"Q2",IF(RawSalesTable[[#This Row],[Month_Number]]&lt;=9,"Q3","Q4")))</f>
        <v>Q3</v>
      </c>
      <c r="AJ250" s="13">
        <f>DATE(YEAR(RawSalesTable[[#This Row],[Order_Date]]),MONTH(RawSalesTable[[#This Row],[Order_Date]]),1)</f>
        <v>45901</v>
      </c>
      <c r="AK250" s="8" t="str">
        <f>VLOOKUP(RawSalesTable[[#This Row],[Customer_ID_clean]],CustomersTable[],4,FALSE)</f>
        <v>British Columbia</v>
      </c>
    </row>
    <row r="251" spans="1:37">
      <c r="A251" t="s">
        <v>625</v>
      </c>
      <c r="B251" s="3">
        <v>45808</v>
      </c>
      <c r="C251" t="s">
        <v>512</v>
      </c>
      <c r="D251" t="s">
        <v>194</v>
      </c>
      <c r="E251" t="s">
        <v>513</v>
      </c>
      <c r="F251" t="s">
        <v>111</v>
      </c>
      <c r="G251" t="s">
        <v>122</v>
      </c>
      <c r="H251" t="s">
        <v>97</v>
      </c>
      <c r="I251">
        <v>1</v>
      </c>
      <c r="J251" s="2">
        <v>213.45</v>
      </c>
      <c r="K251" s="4">
        <v>0.1</v>
      </c>
      <c r="L251" t="s">
        <v>90</v>
      </c>
      <c r="M251">
        <v>0</v>
      </c>
      <c r="N251" t="s">
        <v>91</v>
      </c>
      <c r="O251" t="str">
        <f>SUBSTITUTE(PROPER(TRIM(RawSalesTable[[#This Row],[Channel_Raw]])), "Market Place", "Marketplace")</f>
        <v>Retail Store</v>
      </c>
      <c r="P251" t="str">
        <f>TRIM(RawSalesTable[[#This Row],[Store_Raw]])</f>
        <v>Montreal Central</v>
      </c>
      <c r="Q251" t="str">
        <f>IF(TRIM(RawSalesTable[[#This Row],[Payment_Method_Raw]])="","Non renseigné",SUBSTITUTE(TRIM(RawSalesTable[[#This Row],[Payment_Method_Raw]]),"CC","Credit Card"))</f>
        <v>PayPal</v>
      </c>
      <c r="R251" s="8" t="str">
        <f>UPPER(PROPER(RawSalesTable[[#This Row],[Customer_ID]]))</f>
        <v>C0082</v>
      </c>
      <c r="S251" s="8" t="str">
        <f>TRIM(LEFT(RawSalesTable[[#This Row],[Customer_Info]],FIND(",",RawSalesTable[[#This Row],[Customer_Info]]) -1))</f>
        <v>Ryan King</v>
      </c>
      <c r="T251" s="8" t="str">
        <f>TRIM(MID(RawSalesTable[[#This Row],[Customer_Info]],FIND(",",RawSalesTable[[#This Row],[Customer_Info]])+1,FIND(",",RawSalesTable[[#This Row],[Customer_Info]],FIND(",",RawSalesTable[[#This Row],[Customer_Info]])+1)-FIND(",",RawSalesTable[[#This Row],[Customer_Info]])-1))</f>
        <v>Winnipeg</v>
      </c>
      <c r="U251" s="8" t="str">
        <f>TRIM(RIGHT(RawSalesTable[[#This Row],[Customer_Info]], LEN(RawSalesTable[[#This Row],[Customer_Info]])-FIND(",",RawSalesTable[[#This Row],[Customer_Info]],FIND(",",RawSalesTable[[#This Row],[Customer_Info]])+1)))</f>
        <v>Small Business</v>
      </c>
      <c r="V251" s="8" t="str">
        <f>VLOOKUP(RawSalesTable[[#This Row],[Product_ID]],ProductsTable[],2,FALSE)</f>
        <v>Jump Rope</v>
      </c>
      <c r="W251" s="8" t="str">
        <f>VLOOKUP(RawSalesTable[[#This Row],[Product_ID]],ProductsTable[],3,FALSE)</f>
        <v>Fitness</v>
      </c>
      <c r="X251" s="8">
        <f>VLOOKUP(RawSalesTable[[#This Row],[Product_ID]],ProductsTable[],5,FALSE)</f>
        <v>101</v>
      </c>
      <c r="Y251" s="8">
        <f>RawSalesTable[[#This Row],[Quantity]]*RawSalesTable[[#This Row],[Unit_Price]]</f>
        <v>213.45</v>
      </c>
      <c r="Z251" s="8">
        <f>RawSalesTable[[#This Row],[Gross_Sales]]*RawSalesTable[[#This Row],[Discount_Pct]]</f>
        <v>21.344999999999999</v>
      </c>
      <c r="AA251" s="8">
        <f>RawSalesTable[[#This Row],[Gross_Sales]]-RawSalesTable[[#This Row],[Discount_Amount]]</f>
        <v>192.10499999999999</v>
      </c>
      <c r="AB251" s="8">
        <f>RawSalesTable[[#This Row],[Unit_Cost]]*RawSalesTable[[#This Row],[Quantity]]</f>
        <v>101</v>
      </c>
      <c r="AC251" s="8">
        <f>RawSalesTable[[#This Row],[Net_Sales]]-RawSalesTable[[#This Row],[Total_Cost]]</f>
        <v>91.10499999999999</v>
      </c>
      <c r="AD251" s="9">
        <f>RawSalesTable[[#This Row],[Profit]]/RawSalesTable[[#This Row],[Net_Sales]]</f>
        <v>0.47424585513130835</v>
      </c>
      <c r="AE251" s="8">
        <f>IF(RawSalesTable[[#This Row],[Return_Status]]="Yes",1,0)</f>
        <v>0</v>
      </c>
      <c r="AF251" s="8">
        <f>YEAR(RawSalesTable[[#This Row],[Order_Date]])</f>
        <v>2025</v>
      </c>
      <c r="AG251" s="8">
        <f>MONTH(RawSalesTable[[#This Row],[Order_Date]])</f>
        <v>5</v>
      </c>
      <c r="AH251" s="8" t="str">
        <f>TEXT(RawSalesTable[[#This Row],[Order_Date]],"mmmm")</f>
        <v>mai</v>
      </c>
      <c r="AI251" s="8" t="str">
        <f>IF(RawSalesTable[[#This Row],[Month_Number]]&lt;=3,"Q1",IF(RawSalesTable[[#This Row],[Month_Number]]&lt;=6,"Q2",IF(RawSalesTable[[#This Row],[Month_Number]]&lt;=9,"Q3","Q4")))</f>
        <v>Q2</v>
      </c>
      <c r="AJ251" s="13">
        <f>DATE(YEAR(RawSalesTable[[#This Row],[Order_Date]]),MONTH(RawSalesTable[[#This Row],[Order_Date]]),1)</f>
        <v>45778</v>
      </c>
      <c r="AK251" s="8" t="str">
        <f>VLOOKUP(RawSalesTable[[#This Row],[Customer_ID_clean]],CustomersTable[],4,FALSE)</f>
        <v>Manitoba</v>
      </c>
    </row>
    <row r="252" spans="1:37">
      <c r="A252" t="s">
        <v>626</v>
      </c>
      <c r="B252" s="3">
        <v>45974</v>
      </c>
      <c r="C252" t="s">
        <v>427</v>
      </c>
      <c r="D252" t="s">
        <v>469</v>
      </c>
      <c r="E252" t="s">
        <v>428</v>
      </c>
      <c r="F252" t="s">
        <v>116</v>
      </c>
      <c r="G252" t="s">
        <v>122</v>
      </c>
      <c r="H252" t="s">
        <v>97</v>
      </c>
      <c r="I252">
        <v>1</v>
      </c>
      <c r="J252" s="2">
        <v>85.67</v>
      </c>
      <c r="K252" s="4">
        <v>0.2</v>
      </c>
      <c r="L252" t="s">
        <v>106</v>
      </c>
      <c r="M252">
        <v>1</v>
      </c>
      <c r="N252" t="s">
        <v>91</v>
      </c>
      <c r="O252" t="str">
        <f>SUBSTITUTE(PROPER(TRIM(RawSalesTable[[#This Row],[Channel_Raw]])), "Market Place", "Marketplace")</f>
        <v>Retail Store</v>
      </c>
      <c r="P252" t="str">
        <f>TRIM(RawSalesTable[[#This Row],[Store_Raw]])</f>
        <v>Toronto Downtown</v>
      </c>
      <c r="Q252" t="str">
        <f>IF(TRIM(RawSalesTable[[#This Row],[Payment_Method_Raw]])="","Non renseigné",SUBSTITUTE(TRIM(RawSalesTable[[#This Row],[Payment_Method_Raw]]),"CC","Credit Card"))</f>
        <v>Credit Card</v>
      </c>
      <c r="R252" s="8" t="str">
        <f>UPPER(PROPER(RawSalesTable[[#This Row],[Customer_ID]]))</f>
        <v>C0062</v>
      </c>
      <c r="S252" s="8" t="str">
        <f>TRIM(LEFT(RawSalesTable[[#This Row],[Customer_Info]],FIND(",",RawSalesTable[[#This Row],[Customer_Info]]) -1))</f>
        <v>Yasmine Scott</v>
      </c>
      <c r="T252" s="8" t="str">
        <f>TRIM(MID(RawSalesTable[[#This Row],[Customer_Info]],FIND(",",RawSalesTable[[#This Row],[Customer_Info]])+1,FIND(",",RawSalesTable[[#This Row],[Customer_Info]],FIND(",",RawSalesTable[[#This Row],[Customer_Info]])+1)-FIND(",",RawSalesTable[[#This Row],[Customer_Info]])-1))</f>
        <v>Toronto</v>
      </c>
      <c r="U252" s="8" t="str">
        <f>TRIM(RIGHT(RawSalesTable[[#This Row],[Customer_Info]], LEN(RawSalesTable[[#This Row],[Customer_Info]])-FIND(",",RawSalesTable[[#This Row],[Customer_Info]],FIND(",",RawSalesTable[[#This Row],[Customer_Info]])+1)))</f>
        <v>Consumer</v>
      </c>
      <c r="V252" s="8" t="str">
        <f>VLOOKUP(RawSalesTable[[#This Row],[Product_ID]],ProductsTable[],2,FALSE)</f>
        <v>Phone Stand</v>
      </c>
      <c r="W252" s="8" t="str">
        <f>VLOOKUP(RawSalesTable[[#This Row],[Product_ID]],ProductsTable[],3,FALSE)</f>
        <v>Accessories</v>
      </c>
      <c r="X252" s="8">
        <f>VLOOKUP(RawSalesTable[[#This Row],[Product_ID]],ProductsTable[],5,FALSE)</f>
        <v>59.85</v>
      </c>
      <c r="Y252" s="8">
        <f>RawSalesTable[[#This Row],[Quantity]]*RawSalesTable[[#This Row],[Unit_Price]]</f>
        <v>85.67</v>
      </c>
      <c r="Z252" s="8">
        <f>RawSalesTable[[#This Row],[Gross_Sales]]*RawSalesTable[[#This Row],[Discount_Pct]]</f>
        <v>17.134</v>
      </c>
      <c r="AA252" s="8">
        <f>RawSalesTable[[#This Row],[Gross_Sales]]-RawSalesTable[[#This Row],[Discount_Amount]]</f>
        <v>68.536000000000001</v>
      </c>
      <c r="AB252" s="8">
        <f>RawSalesTable[[#This Row],[Unit_Cost]]*RawSalesTable[[#This Row],[Quantity]]</f>
        <v>59.85</v>
      </c>
      <c r="AC252" s="8">
        <f>RawSalesTable[[#This Row],[Net_Sales]]-RawSalesTable[[#This Row],[Total_Cost]]</f>
        <v>8.6859999999999999</v>
      </c>
      <c r="AD252" s="9">
        <f>RawSalesTable[[#This Row],[Profit]]/RawSalesTable[[#This Row],[Net_Sales]]</f>
        <v>0.12673631376211042</v>
      </c>
      <c r="AE252" s="8">
        <f>IF(RawSalesTable[[#This Row],[Return_Status]]="Yes",1,0)</f>
        <v>0</v>
      </c>
      <c r="AF252" s="8">
        <f>YEAR(RawSalesTable[[#This Row],[Order_Date]])</f>
        <v>2025</v>
      </c>
      <c r="AG252" s="8">
        <f>MONTH(RawSalesTable[[#This Row],[Order_Date]])</f>
        <v>11</v>
      </c>
      <c r="AH252" s="8" t="str">
        <f>TEXT(RawSalesTable[[#This Row],[Order_Date]],"mmmm")</f>
        <v>novembre</v>
      </c>
      <c r="AI252" s="8" t="str">
        <f>IF(RawSalesTable[[#This Row],[Month_Number]]&lt;=3,"Q1",IF(RawSalesTable[[#This Row],[Month_Number]]&lt;=6,"Q2",IF(RawSalesTable[[#This Row],[Month_Number]]&lt;=9,"Q3","Q4")))</f>
        <v>Q4</v>
      </c>
      <c r="AJ252" s="13">
        <f>DATE(YEAR(RawSalesTable[[#This Row],[Order_Date]]),MONTH(RawSalesTable[[#This Row],[Order_Date]]),1)</f>
        <v>45962</v>
      </c>
      <c r="AK252" s="8" t="str">
        <f>VLOOKUP(RawSalesTable[[#This Row],[Customer_ID_clean]],CustomersTable[],4,FALSE)</f>
        <v>Ontario</v>
      </c>
    </row>
    <row r="253" spans="1:37">
      <c r="A253" t="s">
        <v>627</v>
      </c>
      <c r="B253" s="3">
        <v>45815</v>
      </c>
      <c r="C253" t="s">
        <v>406</v>
      </c>
      <c r="D253" t="s">
        <v>469</v>
      </c>
      <c r="E253" t="s">
        <v>407</v>
      </c>
      <c r="F253" t="s">
        <v>111</v>
      </c>
      <c r="G253" t="s">
        <v>117</v>
      </c>
      <c r="H253" t="s">
        <v>89</v>
      </c>
      <c r="I253">
        <v>1</v>
      </c>
      <c r="J253" s="2">
        <v>86.15</v>
      </c>
      <c r="K253" s="4">
        <v>0.15</v>
      </c>
      <c r="L253" t="s">
        <v>98</v>
      </c>
      <c r="M253">
        <v>1</v>
      </c>
      <c r="N253" t="s">
        <v>91</v>
      </c>
      <c r="O253" t="str">
        <f>SUBSTITUTE(PROPER(TRIM(RawSalesTable[[#This Row],[Channel_Raw]])), "Market Place", "Marketplace")</f>
        <v>Online</v>
      </c>
      <c r="P253" t="str">
        <f>TRIM(RawSalesTable[[#This Row],[Store_Raw]])</f>
        <v>Montreal Central</v>
      </c>
      <c r="Q253" t="str">
        <f>IF(TRIM(RawSalesTable[[#This Row],[Payment_Method_Raw]])="","Non renseigné",SUBSTITUTE(TRIM(RawSalesTable[[#This Row],[Payment_Method_Raw]]),"CC","Credit Card"))</f>
        <v>Debit Card</v>
      </c>
      <c r="R253" s="8" t="str">
        <f>UPPER(PROPER(RawSalesTable[[#This Row],[Customer_ID]]))</f>
        <v>C0038</v>
      </c>
      <c r="S253" s="8" t="str">
        <f>TRIM(LEFT(RawSalesTable[[#This Row],[Customer_Info]],FIND(",",RawSalesTable[[#This Row],[Customer_Info]]) -1))</f>
        <v>Noah Brown</v>
      </c>
      <c r="T253" s="8" t="str">
        <f>TRIM(MID(RawSalesTable[[#This Row],[Customer_Info]],FIND(",",RawSalesTable[[#This Row],[Customer_Info]])+1,FIND(",",RawSalesTable[[#This Row],[Customer_Info]],FIND(",",RawSalesTable[[#This Row],[Customer_Info]])+1)-FIND(",",RawSalesTable[[#This Row],[Customer_Info]])-1))</f>
        <v>Montreal</v>
      </c>
      <c r="U253" s="8" t="str">
        <f>TRIM(RIGHT(RawSalesTable[[#This Row],[Customer_Info]], LEN(RawSalesTable[[#This Row],[Customer_Info]])-FIND(",",RawSalesTable[[#This Row],[Customer_Info]],FIND(",",RawSalesTable[[#This Row],[Customer_Info]])+1)))</f>
        <v>Consumer</v>
      </c>
      <c r="V253" s="8" t="str">
        <f>VLOOKUP(RawSalesTable[[#This Row],[Product_ID]],ProductsTable[],2,FALSE)</f>
        <v>Phone Stand</v>
      </c>
      <c r="W253" s="8" t="str">
        <f>VLOOKUP(RawSalesTable[[#This Row],[Product_ID]],ProductsTable[],3,FALSE)</f>
        <v>Accessories</v>
      </c>
      <c r="X253" s="8">
        <f>VLOOKUP(RawSalesTable[[#This Row],[Product_ID]],ProductsTable[],5,FALSE)</f>
        <v>59.85</v>
      </c>
      <c r="Y253" s="8">
        <f>RawSalesTable[[#This Row],[Quantity]]*RawSalesTable[[#This Row],[Unit_Price]]</f>
        <v>86.15</v>
      </c>
      <c r="Z253" s="8">
        <f>RawSalesTable[[#This Row],[Gross_Sales]]*RawSalesTable[[#This Row],[Discount_Pct]]</f>
        <v>12.922500000000001</v>
      </c>
      <c r="AA253" s="8">
        <f>RawSalesTable[[#This Row],[Gross_Sales]]-RawSalesTable[[#This Row],[Discount_Amount]]</f>
        <v>73.227500000000006</v>
      </c>
      <c r="AB253" s="8">
        <f>RawSalesTable[[#This Row],[Unit_Cost]]*RawSalesTable[[#This Row],[Quantity]]</f>
        <v>59.85</v>
      </c>
      <c r="AC253" s="8">
        <f>RawSalesTable[[#This Row],[Net_Sales]]-RawSalesTable[[#This Row],[Total_Cost]]</f>
        <v>13.377500000000005</v>
      </c>
      <c r="AD253" s="9">
        <f>RawSalesTable[[#This Row],[Profit]]/RawSalesTable[[#This Row],[Net_Sales]]</f>
        <v>0.18268410091837087</v>
      </c>
      <c r="AE253" s="8">
        <f>IF(RawSalesTable[[#This Row],[Return_Status]]="Yes",1,0)</f>
        <v>0</v>
      </c>
      <c r="AF253" s="8">
        <f>YEAR(RawSalesTable[[#This Row],[Order_Date]])</f>
        <v>2025</v>
      </c>
      <c r="AG253" s="8">
        <f>MONTH(RawSalesTable[[#This Row],[Order_Date]])</f>
        <v>6</v>
      </c>
      <c r="AH253" s="8" t="str">
        <f>TEXT(RawSalesTable[[#This Row],[Order_Date]],"mmmm")</f>
        <v>juin</v>
      </c>
      <c r="AI253" s="8" t="str">
        <f>IF(RawSalesTable[[#This Row],[Month_Number]]&lt;=3,"Q1",IF(RawSalesTable[[#This Row],[Month_Number]]&lt;=6,"Q2",IF(RawSalesTable[[#This Row],[Month_Number]]&lt;=9,"Q3","Q4")))</f>
        <v>Q2</v>
      </c>
      <c r="AJ253" s="13">
        <f>DATE(YEAR(RawSalesTable[[#This Row],[Order_Date]]),MONTH(RawSalesTable[[#This Row],[Order_Date]]),1)</f>
        <v>45809</v>
      </c>
      <c r="AK253" s="8" t="str">
        <f>VLOOKUP(RawSalesTable[[#This Row],[Customer_ID_clean]],CustomersTable[],4,FALSE)</f>
        <v>Quebec</v>
      </c>
    </row>
    <row r="254" spans="1:37">
      <c r="A254" t="s">
        <v>628</v>
      </c>
      <c r="B254" s="3">
        <v>45954</v>
      </c>
      <c r="C254" t="s">
        <v>84</v>
      </c>
      <c r="D254" t="s">
        <v>271</v>
      </c>
      <c r="E254" t="s">
        <v>629</v>
      </c>
      <c r="F254" t="s">
        <v>145</v>
      </c>
      <c r="G254" t="s">
        <v>122</v>
      </c>
      <c r="H254" t="s">
        <v>89</v>
      </c>
      <c r="I254">
        <v>2</v>
      </c>
      <c r="J254" s="2">
        <v>217.71</v>
      </c>
      <c r="K254" s="4">
        <v>0.05</v>
      </c>
      <c r="L254" t="s">
        <v>106</v>
      </c>
      <c r="M254">
        <v>4</v>
      </c>
      <c r="N254" t="s">
        <v>91</v>
      </c>
      <c r="O254" t="str">
        <f>SUBSTITUTE(PROPER(TRIM(RawSalesTable[[#This Row],[Channel_Raw]])), "Market Place", "Marketplace")</f>
        <v>Online</v>
      </c>
      <c r="P254" t="str">
        <f>TRIM(RawSalesTable[[#This Row],[Store_Raw]])</f>
        <v>Calgary North</v>
      </c>
      <c r="Q254" t="str">
        <f>IF(TRIM(RawSalesTable[[#This Row],[Payment_Method_Raw]])="","Non renseigné",SUBSTITUTE(TRIM(RawSalesTable[[#This Row],[Payment_Method_Raw]]),"CC","Credit Card"))</f>
        <v>Credit Card</v>
      </c>
      <c r="R254" s="8" t="str">
        <f>UPPER(PROPER(RawSalesTable[[#This Row],[Customer_ID]]))</f>
        <v>C0113</v>
      </c>
      <c r="S254" s="8" t="str">
        <f>TRIM(LEFT(RawSalesTable[[#This Row],[Customer_Info]],FIND(",",RawSalesTable[[#This Row],[Customer_Info]]) -1))</f>
        <v>Olivia Johnson</v>
      </c>
      <c r="T254" s="8" t="str">
        <f>TRIM(MID(RawSalesTable[[#This Row],[Customer_Info]],FIND(",",RawSalesTable[[#This Row],[Customer_Info]])+1,FIND(",",RawSalesTable[[#This Row],[Customer_Info]],FIND(",",RawSalesTable[[#This Row],[Customer_Info]])+1)-FIND(",",RawSalesTable[[#This Row],[Customer_Info]])-1))</f>
        <v>Surrey</v>
      </c>
      <c r="U254" s="8" t="str">
        <f>TRIM(RIGHT(RawSalesTable[[#This Row],[Customer_Info]], LEN(RawSalesTable[[#This Row],[Customer_Info]])-FIND(",",RawSalesTable[[#This Row],[Customer_Info]],FIND(",",RawSalesTable[[#This Row],[Customer_Info]])+1)))</f>
        <v>Consumer</v>
      </c>
      <c r="V254" s="8" t="str">
        <f>VLOOKUP(RawSalesTable[[#This Row],[Product_ID]],ProductsTable[],2,FALSE)</f>
        <v>Resistance Bands</v>
      </c>
      <c r="W254" s="8" t="str">
        <f>VLOOKUP(RawSalesTable[[#This Row],[Product_ID]],ProductsTable[],3,FALSE)</f>
        <v>Fitness</v>
      </c>
      <c r="X254" s="8">
        <f>VLOOKUP(RawSalesTable[[#This Row],[Product_ID]],ProductsTable[],5,FALSE)</f>
        <v>139.19999999999999</v>
      </c>
      <c r="Y254" s="8">
        <f>RawSalesTable[[#This Row],[Quantity]]*RawSalesTable[[#This Row],[Unit_Price]]</f>
        <v>435.42</v>
      </c>
      <c r="Z254" s="8">
        <f>RawSalesTable[[#This Row],[Gross_Sales]]*RawSalesTable[[#This Row],[Discount_Pct]]</f>
        <v>21.771000000000001</v>
      </c>
      <c r="AA254" s="8">
        <f>RawSalesTable[[#This Row],[Gross_Sales]]-RawSalesTable[[#This Row],[Discount_Amount]]</f>
        <v>413.649</v>
      </c>
      <c r="AB254" s="8">
        <f>RawSalesTable[[#This Row],[Unit_Cost]]*RawSalesTable[[#This Row],[Quantity]]</f>
        <v>278.39999999999998</v>
      </c>
      <c r="AC254" s="8">
        <f>RawSalesTable[[#This Row],[Net_Sales]]-RawSalesTable[[#This Row],[Total_Cost]]</f>
        <v>135.24900000000002</v>
      </c>
      <c r="AD254" s="9">
        <f>RawSalesTable[[#This Row],[Profit]]/RawSalesTable[[#This Row],[Net_Sales]]</f>
        <v>0.32696561577569394</v>
      </c>
      <c r="AE254" s="8">
        <f>IF(RawSalesTable[[#This Row],[Return_Status]]="Yes",1,0)</f>
        <v>0</v>
      </c>
      <c r="AF254" s="8">
        <f>YEAR(RawSalesTable[[#This Row],[Order_Date]])</f>
        <v>2025</v>
      </c>
      <c r="AG254" s="8">
        <f>MONTH(RawSalesTable[[#This Row],[Order_Date]])</f>
        <v>10</v>
      </c>
      <c r="AH254" s="8" t="str">
        <f>TEXT(RawSalesTable[[#This Row],[Order_Date]],"mmmm")</f>
        <v>octobre</v>
      </c>
      <c r="AI254" s="8" t="str">
        <f>IF(RawSalesTable[[#This Row],[Month_Number]]&lt;=3,"Q1",IF(RawSalesTable[[#This Row],[Month_Number]]&lt;=6,"Q2",IF(RawSalesTable[[#This Row],[Month_Number]]&lt;=9,"Q3","Q4")))</f>
        <v>Q4</v>
      </c>
      <c r="AJ254" s="13">
        <f>DATE(YEAR(RawSalesTable[[#This Row],[Order_Date]]),MONTH(RawSalesTable[[#This Row],[Order_Date]]),1)</f>
        <v>45931</v>
      </c>
      <c r="AK254" s="8" t="str">
        <f>VLOOKUP(RawSalesTable[[#This Row],[Customer_ID_clean]],CustomersTable[],4,FALSE)</f>
        <v>British Columbia</v>
      </c>
    </row>
    <row r="255" spans="1:37">
      <c r="A255" t="s">
        <v>631</v>
      </c>
      <c r="B255" s="3">
        <v>45850</v>
      </c>
      <c r="C255" t="s">
        <v>600</v>
      </c>
      <c r="D255" t="s">
        <v>520</v>
      </c>
      <c r="E255" t="s">
        <v>601</v>
      </c>
      <c r="F255" t="s">
        <v>103</v>
      </c>
      <c r="G255" t="s">
        <v>183</v>
      </c>
      <c r="H255" t="s">
        <v>97</v>
      </c>
      <c r="I255">
        <v>2</v>
      </c>
      <c r="J255" s="2">
        <v>373.3</v>
      </c>
      <c r="K255" s="4">
        <v>0</v>
      </c>
      <c r="L255" t="s">
        <v>106</v>
      </c>
      <c r="M255">
        <v>4</v>
      </c>
      <c r="N255" t="s">
        <v>147</v>
      </c>
      <c r="O255" t="str">
        <f>SUBSTITUTE(PROPER(TRIM(RawSalesTable[[#This Row],[Channel_Raw]])), "Market Place", "Marketplace")</f>
        <v>Retail Store</v>
      </c>
      <c r="P255" t="str">
        <f>TRIM(RawSalesTable[[#This Row],[Store_Raw]])</f>
        <v>Vancouver West</v>
      </c>
      <c r="Q255" t="str">
        <f>IF(TRIM(RawSalesTable[[#This Row],[Payment_Method_Raw]])="","Non renseigné",SUBSTITUTE(TRIM(RawSalesTable[[#This Row],[Payment_Method_Raw]]),"CC","Credit Card"))</f>
        <v>Credit Card</v>
      </c>
      <c r="R255" s="8" t="str">
        <f>UPPER(PROPER(RawSalesTable[[#This Row],[Customer_ID]]))</f>
        <v>C0109</v>
      </c>
      <c r="S255" s="8" t="str">
        <f>TRIM(LEFT(RawSalesTable[[#This Row],[Customer_Info]],FIND(",",RawSalesTable[[#This Row],[Customer_Info]]) -1))</f>
        <v>Emma Wilson</v>
      </c>
      <c r="T255" s="8" t="str">
        <f>TRIM(MID(RawSalesTable[[#This Row],[Customer_Info]],FIND(",",RawSalesTable[[#This Row],[Customer_Info]])+1,FIND(",",RawSalesTable[[#This Row],[Customer_Info]],FIND(",",RawSalesTable[[#This Row],[Customer_Info]])+1)-FIND(",",RawSalesTable[[#This Row],[Customer_Info]])-1))</f>
        <v>Victoria</v>
      </c>
      <c r="U255" s="8" t="str">
        <f>TRIM(RIGHT(RawSalesTable[[#This Row],[Customer_Info]], LEN(RawSalesTable[[#This Row],[Customer_Info]])-FIND(",",RawSalesTable[[#This Row],[Customer_Info]],FIND(",",RawSalesTable[[#This Row],[Customer_Info]])+1)))</f>
        <v>Consumer</v>
      </c>
      <c r="V255" s="8" t="str">
        <f>VLOOKUP(RawSalesTable[[#This Row],[Product_ID]],ProductsTable[],2,FALSE)</f>
        <v>Coffee Maker</v>
      </c>
      <c r="W255" s="8" t="str">
        <f>VLOOKUP(RawSalesTable[[#This Row],[Product_ID]],ProductsTable[],3,FALSE)</f>
        <v>Home</v>
      </c>
      <c r="X255" s="8">
        <f>VLOOKUP(RawSalesTable[[#This Row],[Product_ID]],ProductsTable[],5,FALSE)</f>
        <v>241.16</v>
      </c>
      <c r="Y255" s="8">
        <f>RawSalesTable[[#This Row],[Quantity]]*RawSalesTable[[#This Row],[Unit_Price]]</f>
        <v>746.6</v>
      </c>
      <c r="Z255" s="8">
        <f>RawSalesTable[[#This Row],[Gross_Sales]]*RawSalesTable[[#This Row],[Discount_Pct]]</f>
        <v>0</v>
      </c>
      <c r="AA255" s="8">
        <f>RawSalesTable[[#This Row],[Gross_Sales]]-RawSalesTable[[#This Row],[Discount_Amount]]</f>
        <v>746.6</v>
      </c>
      <c r="AB255" s="8">
        <f>RawSalesTable[[#This Row],[Unit_Cost]]*RawSalesTable[[#This Row],[Quantity]]</f>
        <v>482.32</v>
      </c>
      <c r="AC255" s="8">
        <f>RawSalesTable[[#This Row],[Net_Sales]]-RawSalesTable[[#This Row],[Total_Cost]]</f>
        <v>264.28000000000003</v>
      </c>
      <c r="AD255" s="9">
        <f>RawSalesTable[[#This Row],[Profit]]/RawSalesTable[[#This Row],[Net_Sales]]</f>
        <v>0.35397803375301368</v>
      </c>
      <c r="AE255" s="8">
        <f>IF(RawSalesTable[[#This Row],[Return_Status]]="Yes",1,0)</f>
        <v>1</v>
      </c>
      <c r="AF255" s="8">
        <f>YEAR(RawSalesTable[[#This Row],[Order_Date]])</f>
        <v>2025</v>
      </c>
      <c r="AG255" s="8">
        <f>MONTH(RawSalesTable[[#This Row],[Order_Date]])</f>
        <v>7</v>
      </c>
      <c r="AH255" s="8" t="str">
        <f>TEXT(RawSalesTable[[#This Row],[Order_Date]],"mmmm")</f>
        <v>juillet</v>
      </c>
      <c r="AI255" s="8" t="str">
        <f>IF(RawSalesTable[[#This Row],[Month_Number]]&lt;=3,"Q1",IF(RawSalesTable[[#This Row],[Month_Number]]&lt;=6,"Q2",IF(RawSalesTable[[#This Row],[Month_Number]]&lt;=9,"Q3","Q4")))</f>
        <v>Q3</v>
      </c>
      <c r="AJ255" s="13">
        <f>DATE(YEAR(RawSalesTable[[#This Row],[Order_Date]]),MONTH(RawSalesTable[[#This Row],[Order_Date]]),1)</f>
        <v>45839</v>
      </c>
      <c r="AK255" s="8" t="str">
        <f>VLOOKUP(RawSalesTable[[#This Row],[Customer_ID_clean]],CustomersTable[],4,FALSE)</f>
        <v>British Columbia</v>
      </c>
    </row>
    <row r="256" spans="1:37">
      <c r="A256" t="s">
        <v>632</v>
      </c>
      <c r="B256" s="3">
        <v>46013</v>
      </c>
      <c r="C256" t="s">
        <v>283</v>
      </c>
      <c r="D256" t="s">
        <v>181</v>
      </c>
      <c r="E256" t="s">
        <v>284</v>
      </c>
      <c r="F256" t="s">
        <v>116</v>
      </c>
      <c r="G256" t="s">
        <v>130</v>
      </c>
      <c r="H256" t="s">
        <v>89</v>
      </c>
      <c r="I256">
        <v>1</v>
      </c>
      <c r="J256" s="2">
        <v>359.5</v>
      </c>
      <c r="K256" s="4">
        <v>0</v>
      </c>
      <c r="L256" t="s">
        <v>90</v>
      </c>
      <c r="M256">
        <v>2</v>
      </c>
      <c r="N256" t="s">
        <v>91</v>
      </c>
      <c r="O256" t="str">
        <f>SUBSTITUTE(PROPER(TRIM(RawSalesTable[[#This Row],[Channel_Raw]])), "Market Place", "Marketplace")</f>
        <v>Online</v>
      </c>
      <c r="P256" t="str">
        <f>TRIM(RawSalesTable[[#This Row],[Store_Raw]])</f>
        <v>Toronto Downtown</v>
      </c>
      <c r="Q256" t="str">
        <f>IF(TRIM(RawSalesTable[[#This Row],[Payment_Method_Raw]])="","Non renseigné",SUBSTITUTE(TRIM(RawSalesTable[[#This Row],[Payment_Method_Raw]]),"CC","Credit Card"))</f>
        <v>PayPal</v>
      </c>
      <c r="R256" s="8" t="str">
        <f>UPPER(PROPER(RawSalesTable[[#This Row],[Customer_ID]]))</f>
        <v>C0033</v>
      </c>
      <c r="S256" s="8" t="str">
        <f>TRIM(LEFT(RawSalesTable[[#This Row],[Customer_Info]],FIND(",",RawSalesTable[[#This Row],[Customer_Info]]) -1))</f>
        <v>Maya Hall</v>
      </c>
      <c r="T256" s="8" t="str">
        <f>TRIM(MID(RawSalesTable[[#This Row],[Customer_Info]],FIND(",",RawSalesTable[[#This Row],[Customer_Info]])+1,FIND(",",RawSalesTable[[#This Row],[Customer_Info]],FIND(",",RawSalesTable[[#This Row],[Customer_Info]])+1)-FIND(",",RawSalesTable[[#This Row],[Customer_Info]])-1))</f>
        <v>Winnipeg</v>
      </c>
      <c r="U256" s="8" t="str">
        <f>TRIM(RIGHT(RawSalesTable[[#This Row],[Customer_Info]], LEN(RawSalesTable[[#This Row],[Customer_Info]])-FIND(",",RawSalesTable[[#This Row],[Customer_Info]],FIND(",",RawSalesTable[[#This Row],[Customer_Info]])+1)))</f>
        <v>Consumer</v>
      </c>
      <c r="V256" s="8" t="str">
        <f>VLOOKUP(RawSalesTable[[#This Row],[Product_ID]],ProductsTable[],2,FALSE)</f>
        <v>Monitor</v>
      </c>
      <c r="W256" s="8" t="str">
        <f>VLOOKUP(RawSalesTable[[#This Row],[Product_ID]],ProductsTable[],3,FALSE)</f>
        <v>Electronics</v>
      </c>
      <c r="X256" s="8">
        <f>VLOOKUP(RawSalesTable[[#This Row],[Product_ID]],ProductsTable[],5,FALSE)</f>
        <v>224.47</v>
      </c>
      <c r="Y256" s="8">
        <f>RawSalesTable[[#This Row],[Quantity]]*RawSalesTable[[#This Row],[Unit_Price]]</f>
        <v>359.5</v>
      </c>
      <c r="Z256" s="8">
        <f>RawSalesTable[[#This Row],[Gross_Sales]]*RawSalesTable[[#This Row],[Discount_Pct]]</f>
        <v>0</v>
      </c>
      <c r="AA256" s="8">
        <f>RawSalesTable[[#This Row],[Gross_Sales]]-RawSalesTable[[#This Row],[Discount_Amount]]</f>
        <v>359.5</v>
      </c>
      <c r="AB256" s="8">
        <f>RawSalesTable[[#This Row],[Unit_Cost]]*RawSalesTable[[#This Row],[Quantity]]</f>
        <v>224.47</v>
      </c>
      <c r="AC256" s="8">
        <f>RawSalesTable[[#This Row],[Net_Sales]]-RawSalesTable[[#This Row],[Total_Cost]]</f>
        <v>135.03</v>
      </c>
      <c r="AD256" s="9">
        <f>RawSalesTable[[#This Row],[Profit]]/RawSalesTable[[#This Row],[Net_Sales]]</f>
        <v>0.37560500695410293</v>
      </c>
      <c r="AE256" s="8">
        <f>IF(RawSalesTable[[#This Row],[Return_Status]]="Yes",1,0)</f>
        <v>0</v>
      </c>
      <c r="AF256" s="8">
        <f>YEAR(RawSalesTable[[#This Row],[Order_Date]])</f>
        <v>2025</v>
      </c>
      <c r="AG256" s="8">
        <f>MONTH(RawSalesTable[[#This Row],[Order_Date]])</f>
        <v>12</v>
      </c>
      <c r="AH256" s="8" t="str">
        <f>TEXT(RawSalesTable[[#This Row],[Order_Date]],"mmmm")</f>
        <v>décembre</v>
      </c>
      <c r="AI256" s="8" t="str">
        <f>IF(RawSalesTable[[#This Row],[Month_Number]]&lt;=3,"Q1",IF(RawSalesTable[[#This Row],[Month_Number]]&lt;=6,"Q2",IF(RawSalesTable[[#This Row],[Month_Number]]&lt;=9,"Q3","Q4")))</f>
        <v>Q4</v>
      </c>
      <c r="AJ256" s="13">
        <f>DATE(YEAR(RawSalesTable[[#This Row],[Order_Date]]),MONTH(RawSalesTable[[#This Row],[Order_Date]]),1)</f>
        <v>45992</v>
      </c>
      <c r="AK256" s="8" t="str">
        <f>VLOOKUP(RawSalesTable[[#This Row],[Customer_ID_clean]],CustomersTable[],4,FALSE)</f>
        <v>Manitoba</v>
      </c>
    </row>
    <row r="257" spans="1:37">
      <c r="A257" t="s">
        <v>633</v>
      </c>
      <c r="B257" s="3">
        <v>45743</v>
      </c>
      <c r="C257" t="s">
        <v>113</v>
      </c>
      <c r="D257" t="s">
        <v>249</v>
      </c>
      <c r="E257" t="s">
        <v>115</v>
      </c>
      <c r="F257" t="s">
        <v>111</v>
      </c>
      <c r="G257" t="s">
        <v>104</v>
      </c>
      <c r="H257" t="s">
        <v>97</v>
      </c>
      <c r="I257">
        <v>2</v>
      </c>
      <c r="J257" s="2">
        <v>416.38</v>
      </c>
      <c r="K257" s="4">
        <v>0.1</v>
      </c>
      <c r="L257" t="s">
        <v>106</v>
      </c>
      <c r="M257">
        <v>4</v>
      </c>
      <c r="N257" t="s">
        <v>91</v>
      </c>
      <c r="O257" t="str">
        <f>SUBSTITUTE(PROPER(TRIM(RawSalesTable[[#This Row],[Channel_Raw]])), "Market Place", "Marketplace")</f>
        <v>Retail Store</v>
      </c>
      <c r="P257" t="str">
        <f>TRIM(RawSalesTable[[#This Row],[Store_Raw]])</f>
        <v>Montreal Central</v>
      </c>
      <c r="Q257" t="str">
        <f>IF(TRIM(RawSalesTable[[#This Row],[Payment_Method_Raw]])="","Non renseigné",SUBSTITUTE(TRIM(RawSalesTable[[#This Row],[Payment_Method_Raw]]),"CC","Credit Card"))</f>
        <v>Credit Card</v>
      </c>
      <c r="R257" s="8" t="str">
        <f>UPPER(PROPER(RawSalesTable[[#This Row],[Customer_ID]]))</f>
        <v>C0083</v>
      </c>
      <c r="S257" s="8" t="str">
        <f>TRIM(LEFT(RawSalesTable[[#This Row],[Customer_Info]],FIND(",",RawSalesTable[[#This Row],[Customer_Info]]) -1))</f>
        <v>Amine King</v>
      </c>
      <c r="T257" s="8" t="str">
        <f>TRIM(MID(RawSalesTable[[#This Row],[Customer_Info]],FIND(",",RawSalesTable[[#This Row],[Customer_Info]])+1,FIND(",",RawSalesTable[[#This Row],[Customer_Info]],FIND(",",RawSalesTable[[#This Row],[Customer_Info]])+1)-FIND(",",RawSalesTable[[#This Row],[Customer_Info]])-1))</f>
        <v>Edmonton</v>
      </c>
      <c r="U257" s="8" t="str">
        <f>TRIM(RIGHT(RawSalesTable[[#This Row],[Customer_Info]], LEN(RawSalesTable[[#This Row],[Customer_Info]])-FIND(",",RawSalesTable[[#This Row],[Customer_Info]],FIND(",",RawSalesTable[[#This Row],[Customer_Info]])+1)))</f>
        <v>Consumer</v>
      </c>
      <c r="V257" s="8" t="str">
        <f>VLOOKUP(RawSalesTable[[#This Row],[Product_ID]],ProductsTable[],2,FALSE)</f>
        <v>Humidifier</v>
      </c>
      <c r="W257" s="8" t="str">
        <f>VLOOKUP(RawSalesTable[[#This Row],[Product_ID]],ProductsTable[],3,FALSE)</f>
        <v>Home</v>
      </c>
      <c r="X257" s="8">
        <f>VLOOKUP(RawSalesTable[[#This Row],[Product_ID]],ProductsTable[],5,FALSE)</f>
        <v>239.67</v>
      </c>
      <c r="Y257" s="8">
        <f>RawSalesTable[[#This Row],[Quantity]]*RawSalesTable[[#This Row],[Unit_Price]]</f>
        <v>832.76</v>
      </c>
      <c r="Z257" s="8">
        <f>RawSalesTable[[#This Row],[Gross_Sales]]*RawSalesTable[[#This Row],[Discount_Pct]]</f>
        <v>83.27600000000001</v>
      </c>
      <c r="AA257" s="8">
        <f>RawSalesTable[[#This Row],[Gross_Sales]]-RawSalesTable[[#This Row],[Discount_Amount]]</f>
        <v>749.48399999999992</v>
      </c>
      <c r="AB257" s="8">
        <f>RawSalesTable[[#This Row],[Unit_Cost]]*RawSalesTable[[#This Row],[Quantity]]</f>
        <v>479.34</v>
      </c>
      <c r="AC257" s="8">
        <f>RawSalesTable[[#This Row],[Net_Sales]]-RawSalesTable[[#This Row],[Total_Cost]]</f>
        <v>270.14399999999995</v>
      </c>
      <c r="AD257" s="9">
        <f>RawSalesTable[[#This Row],[Profit]]/RawSalesTable[[#This Row],[Net_Sales]]</f>
        <v>0.36043998270810312</v>
      </c>
      <c r="AE257" s="8">
        <f>IF(RawSalesTable[[#This Row],[Return_Status]]="Yes",1,0)</f>
        <v>0</v>
      </c>
      <c r="AF257" s="8">
        <f>YEAR(RawSalesTable[[#This Row],[Order_Date]])</f>
        <v>2025</v>
      </c>
      <c r="AG257" s="8">
        <f>MONTH(RawSalesTable[[#This Row],[Order_Date]])</f>
        <v>3</v>
      </c>
      <c r="AH257" s="8" t="str">
        <f>TEXT(RawSalesTable[[#This Row],[Order_Date]],"mmmm")</f>
        <v>mars</v>
      </c>
      <c r="AI257" s="8" t="str">
        <f>IF(RawSalesTable[[#This Row],[Month_Number]]&lt;=3,"Q1",IF(RawSalesTable[[#This Row],[Month_Number]]&lt;=6,"Q2",IF(RawSalesTable[[#This Row],[Month_Number]]&lt;=9,"Q3","Q4")))</f>
        <v>Q1</v>
      </c>
      <c r="AJ257" s="13">
        <f>DATE(YEAR(RawSalesTable[[#This Row],[Order_Date]]),MONTH(RawSalesTable[[#This Row],[Order_Date]]),1)</f>
        <v>45717</v>
      </c>
      <c r="AK257" s="8" t="str">
        <f>VLOOKUP(RawSalesTable[[#This Row],[Customer_ID_clean]],CustomersTable[],4,FALSE)</f>
        <v>Alberta</v>
      </c>
    </row>
    <row r="258" spans="1:37">
      <c r="A258" t="s">
        <v>634</v>
      </c>
      <c r="B258" s="3">
        <v>45729</v>
      </c>
      <c r="C258" t="s">
        <v>600</v>
      </c>
      <c r="D258" t="s">
        <v>125</v>
      </c>
      <c r="E258" t="s">
        <v>635</v>
      </c>
      <c r="F258" t="s">
        <v>111</v>
      </c>
      <c r="G258" t="s">
        <v>171</v>
      </c>
      <c r="H258" t="s">
        <v>97</v>
      </c>
      <c r="I258">
        <v>3</v>
      </c>
      <c r="J258" s="2">
        <v>58.01</v>
      </c>
      <c r="K258" s="4">
        <v>0</v>
      </c>
      <c r="L258" t="s">
        <v>98</v>
      </c>
      <c r="M258">
        <v>3</v>
      </c>
      <c r="N258" t="s">
        <v>91</v>
      </c>
      <c r="O258" t="str">
        <f>SUBSTITUTE(PROPER(TRIM(RawSalesTable[[#This Row],[Channel_Raw]])), "Market Place", "Marketplace")</f>
        <v>Retail Store</v>
      </c>
      <c r="P258" t="str">
        <f>TRIM(RawSalesTable[[#This Row],[Store_Raw]])</f>
        <v>Montreal Central</v>
      </c>
      <c r="Q258" t="str">
        <f>IF(TRIM(RawSalesTable[[#This Row],[Payment_Method_Raw]])="","Non renseigné",SUBSTITUTE(TRIM(RawSalesTable[[#This Row],[Payment_Method_Raw]]),"CC","Credit Card"))</f>
        <v>Debit Card</v>
      </c>
      <c r="R258" s="8" t="str">
        <f>UPPER(PROPER(RawSalesTable[[#This Row],[Customer_ID]]))</f>
        <v>C0109</v>
      </c>
      <c r="S258" s="8" t="str">
        <f>TRIM(LEFT(RawSalesTable[[#This Row],[Customer_Info]],FIND(",",RawSalesTable[[#This Row],[Customer_Info]]) -1))</f>
        <v>Emma Wilson</v>
      </c>
      <c r="T258" s="8" t="str">
        <f>TRIM(MID(RawSalesTable[[#This Row],[Customer_Info]],FIND(",",RawSalesTable[[#This Row],[Customer_Info]])+1,FIND(",",RawSalesTable[[#This Row],[Customer_Info]],FIND(",",RawSalesTable[[#This Row],[Customer_Info]])+1)-FIND(",",RawSalesTable[[#This Row],[Customer_Info]])-1))</f>
        <v>Victoria</v>
      </c>
      <c r="U258" s="8" t="str">
        <f>TRIM(RIGHT(RawSalesTable[[#This Row],[Customer_Info]], LEN(RawSalesTable[[#This Row],[Customer_Info]])-FIND(",",RawSalesTable[[#This Row],[Customer_Info]],FIND(",",RawSalesTable[[#This Row],[Customer_Info]])+1)))</f>
        <v>Consumer</v>
      </c>
      <c r="V258" s="8" t="str">
        <f>VLOOKUP(RawSalesTable[[#This Row],[Product_ID]],ProductsTable[],2,FALSE)</f>
        <v>Kettlebell</v>
      </c>
      <c r="W258" s="8" t="str">
        <f>VLOOKUP(RawSalesTable[[#This Row],[Product_ID]],ProductsTable[],3,FALSE)</f>
        <v>Fitness</v>
      </c>
      <c r="X258" s="8">
        <f>VLOOKUP(RawSalesTable[[#This Row],[Product_ID]],ProductsTable[],5,FALSE)</f>
        <v>25.97</v>
      </c>
      <c r="Y258" s="8">
        <f>RawSalesTable[[#This Row],[Quantity]]*RawSalesTable[[#This Row],[Unit_Price]]</f>
        <v>174.03</v>
      </c>
      <c r="Z258" s="8">
        <f>RawSalesTable[[#This Row],[Gross_Sales]]*RawSalesTable[[#This Row],[Discount_Pct]]</f>
        <v>0</v>
      </c>
      <c r="AA258" s="8">
        <f>RawSalesTable[[#This Row],[Gross_Sales]]-RawSalesTable[[#This Row],[Discount_Amount]]</f>
        <v>174.03</v>
      </c>
      <c r="AB258" s="8">
        <f>RawSalesTable[[#This Row],[Unit_Cost]]*RawSalesTable[[#This Row],[Quantity]]</f>
        <v>77.91</v>
      </c>
      <c r="AC258" s="8">
        <f>RawSalesTable[[#This Row],[Net_Sales]]-RawSalesTable[[#This Row],[Total_Cost]]</f>
        <v>96.12</v>
      </c>
      <c r="AD258" s="9">
        <f>RawSalesTable[[#This Row],[Profit]]/RawSalesTable[[#This Row],[Net_Sales]]</f>
        <v>0.55231856576452343</v>
      </c>
      <c r="AE258" s="8">
        <f>IF(RawSalesTable[[#This Row],[Return_Status]]="Yes",1,0)</f>
        <v>0</v>
      </c>
      <c r="AF258" s="8">
        <f>YEAR(RawSalesTable[[#This Row],[Order_Date]])</f>
        <v>2025</v>
      </c>
      <c r="AG258" s="8">
        <f>MONTH(RawSalesTable[[#This Row],[Order_Date]])</f>
        <v>3</v>
      </c>
      <c r="AH258" s="8" t="str">
        <f>TEXT(RawSalesTable[[#This Row],[Order_Date]],"mmmm")</f>
        <v>mars</v>
      </c>
      <c r="AI258" s="8" t="str">
        <f>IF(RawSalesTable[[#This Row],[Month_Number]]&lt;=3,"Q1",IF(RawSalesTable[[#This Row],[Month_Number]]&lt;=6,"Q2",IF(RawSalesTable[[#This Row],[Month_Number]]&lt;=9,"Q3","Q4")))</f>
        <v>Q1</v>
      </c>
      <c r="AJ258" s="13">
        <f>DATE(YEAR(RawSalesTable[[#This Row],[Order_Date]]),MONTH(RawSalesTable[[#This Row],[Order_Date]]),1)</f>
        <v>45717</v>
      </c>
      <c r="AK258" s="8" t="str">
        <f>VLOOKUP(RawSalesTable[[#This Row],[Customer_ID_clean]],CustomersTable[],4,FALSE)</f>
        <v>British Columbia</v>
      </c>
    </row>
    <row r="259" spans="1:37">
      <c r="A259" t="s">
        <v>636</v>
      </c>
      <c r="B259" s="3">
        <v>45864</v>
      </c>
      <c r="C259" t="s">
        <v>637</v>
      </c>
      <c r="D259" t="s">
        <v>469</v>
      </c>
      <c r="E259" t="s">
        <v>638</v>
      </c>
      <c r="F259" t="s">
        <v>111</v>
      </c>
      <c r="G259" t="s">
        <v>117</v>
      </c>
      <c r="H259" t="s">
        <v>89</v>
      </c>
      <c r="I259">
        <v>2</v>
      </c>
      <c r="J259" s="2">
        <v>83.7</v>
      </c>
      <c r="K259" s="4">
        <v>0.05</v>
      </c>
      <c r="L259" t="s">
        <v>353</v>
      </c>
      <c r="M259">
        <v>1</v>
      </c>
      <c r="N259" t="s">
        <v>91</v>
      </c>
      <c r="O259" t="str">
        <f>SUBSTITUTE(PROPER(TRIM(RawSalesTable[[#This Row],[Channel_Raw]])), "Market Place", "Marketplace")</f>
        <v>Online</v>
      </c>
      <c r="P259" t="str">
        <f>TRIM(RawSalesTable[[#This Row],[Store_Raw]])</f>
        <v>Montreal Central</v>
      </c>
      <c r="Q259" t="str">
        <f>IF(TRIM(RawSalesTable[[#This Row],[Payment_Method_Raw]])="","Non renseigné",SUBSTITUTE(TRIM(RawSalesTable[[#This Row],[Payment_Method_Raw]]),"CC","Credit Card"))</f>
        <v>Credit Card</v>
      </c>
      <c r="R259" s="8" t="str">
        <f>UPPER(PROPER(RawSalesTable[[#This Row],[Customer_ID]]))</f>
        <v>C0024</v>
      </c>
      <c r="S259" s="8" t="str">
        <f>TRIM(LEFT(RawSalesTable[[#This Row],[Customer_Info]],FIND(",",RawSalesTable[[#This Row],[Customer_Info]]) -1))</f>
        <v>Ryan King</v>
      </c>
      <c r="T259" s="8" t="str">
        <f>TRIM(MID(RawSalesTable[[#This Row],[Customer_Info]],FIND(",",RawSalesTable[[#This Row],[Customer_Info]])+1,FIND(",",RawSalesTable[[#This Row],[Customer_Info]],FIND(",",RawSalesTable[[#This Row],[Customer_Info]])+1)-FIND(",",RawSalesTable[[#This Row],[Customer_Info]])-1))</f>
        <v>Mississauga</v>
      </c>
      <c r="U259" s="8" t="str">
        <f>TRIM(RIGHT(RawSalesTable[[#This Row],[Customer_Info]], LEN(RawSalesTable[[#This Row],[Customer_Info]])-FIND(",",RawSalesTable[[#This Row],[Customer_Info]],FIND(",",RawSalesTable[[#This Row],[Customer_Info]])+1)))</f>
        <v>Consumer</v>
      </c>
      <c r="V259" s="8" t="str">
        <f>VLOOKUP(RawSalesTable[[#This Row],[Product_ID]],ProductsTable[],2,FALSE)</f>
        <v>Phone Stand</v>
      </c>
      <c r="W259" s="8" t="str">
        <f>VLOOKUP(RawSalesTable[[#This Row],[Product_ID]],ProductsTable[],3,FALSE)</f>
        <v>Accessories</v>
      </c>
      <c r="X259" s="8">
        <f>VLOOKUP(RawSalesTable[[#This Row],[Product_ID]],ProductsTable[],5,FALSE)</f>
        <v>59.85</v>
      </c>
      <c r="Y259" s="8">
        <f>RawSalesTable[[#This Row],[Quantity]]*RawSalesTable[[#This Row],[Unit_Price]]</f>
        <v>167.4</v>
      </c>
      <c r="Z259" s="8">
        <f>RawSalesTable[[#This Row],[Gross_Sales]]*RawSalesTable[[#This Row],[Discount_Pct]]</f>
        <v>8.370000000000001</v>
      </c>
      <c r="AA259" s="8">
        <f>RawSalesTable[[#This Row],[Gross_Sales]]-RawSalesTable[[#This Row],[Discount_Amount]]</f>
        <v>159.03</v>
      </c>
      <c r="AB259" s="8">
        <f>RawSalesTable[[#This Row],[Unit_Cost]]*RawSalesTable[[#This Row],[Quantity]]</f>
        <v>119.7</v>
      </c>
      <c r="AC259" s="8">
        <f>RawSalesTable[[#This Row],[Net_Sales]]-RawSalesTable[[#This Row],[Total_Cost]]</f>
        <v>39.33</v>
      </c>
      <c r="AD259" s="9">
        <f>RawSalesTable[[#This Row],[Profit]]/RawSalesTable[[#This Row],[Net_Sales]]</f>
        <v>0.24731182795698922</v>
      </c>
      <c r="AE259" s="8">
        <f>IF(RawSalesTable[[#This Row],[Return_Status]]="Yes",1,0)</f>
        <v>0</v>
      </c>
      <c r="AF259" s="8">
        <f>YEAR(RawSalesTable[[#This Row],[Order_Date]])</f>
        <v>2025</v>
      </c>
      <c r="AG259" s="8">
        <f>MONTH(RawSalesTable[[#This Row],[Order_Date]])</f>
        <v>7</v>
      </c>
      <c r="AH259" s="8" t="str">
        <f>TEXT(RawSalesTable[[#This Row],[Order_Date]],"mmmm")</f>
        <v>juillet</v>
      </c>
      <c r="AI259" s="8" t="str">
        <f>IF(RawSalesTable[[#This Row],[Month_Number]]&lt;=3,"Q1",IF(RawSalesTable[[#This Row],[Month_Number]]&lt;=6,"Q2",IF(RawSalesTable[[#This Row],[Month_Number]]&lt;=9,"Q3","Q4")))</f>
        <v>Q3</v>
      </c>
      <c r="AJ259" s="13">
        <f>DATE(YEAR(RawSalesTable[[#This Row],[Order_Date]]),MONTH(RawSalesTable[[#This Row],[Order_Date]]),1)</f>
        <v>45839</v>
      </c>
      <c r="AK259" s="8" t="str">
        <f>VLOOKUP(RawSalesTable[[#This Row],[Customer_ID_clean]],CustomersTable[],4,FALSE)</f>
        <v>Ontario</v>
      </c>
    </row>
    <row r="260" spans="1:37">
      <c r="A260" t="s">
        <v>639</v>
      </c>
      <c r="B260" s="3">
        <v>45842</v>
      </c>
      <c r="C260" t="s">
        <v>132</v>
      </c>
      <c r="D260" t="s">
        <v>120</v>
      </c>
      <c r="E260" t="s">
        <v>134</v>
      </c>
      <c r="F260" t="s">
        <v>116</v>
      </c>
      <c r="G260" t="s">
        <v>117</v>
      </c>
      <c r="H260" t="s">
        <v>105</v>
      </c>
      <c r="I260">
        <v>1</v>
      </c>
      <c r="J260" s="2">
        <v>385.1</v>
      </c>
      <c r="K260" s="4">
        <v>0.1</v>
      </c>
      <c r="L260" t="s">
        <v>106</v>
      </c>
      <c r="M260">
        <v>3</v>
      </c>
      <c r="N260" t="s">
        <v>91</v>
      </c>
      <c r="O260" t="str">
        <f>SUBSTITUTE(PROPER(TRIM(RawSalesTable[[#This Row],[Channel_Raw]])), "Market Place", "Marketplace")</f>
        <v>Marketplace</v>
      </c>
      <c r="P260" t="str">
        <f>TRIM(RawSalesTable[[#This Row],[Store_Raw]])</f>
        <v>Toronto Downtown</v>
      </c>
      <c r="Q260" t="str">
        <f>IF(TRIM(RawSalesTable[[#This Row],[Payment_Method_Raw]])="","Non renseigné",SUBSTITUTE(TRIM(RawSalesTable[[#This Row],[Payment_Method_Raw]]),"CC","Credit Card"))</f>
        <v>Credit Card</v>
      </c>
      <c r="R260" s="8" t="str">
        <f>UPPER(PROPER(RawSalesTable[[#This Row],[Customer_ID]]))</f>
        <v>C0104</v>
      </c>
      <c r="S260" s="8" t="str">
        <f>TRIM(LEFT(RawSalesTable[[#This Row],[Customer_Info]],FIND(",",RawSalesTable[[#This Row],[Customer_Info]]) -1))</f>
        <v>Ava Scott</v>
      </c>
      <c r="T260" s="8" t="str">
        <f>TRIM(MID(RawSalesTable[[#This Row],[Customer_Info]],FIND(",",RawSalesTable[[#This Row],[Customer_Info]])+1,FIND(",",RawSalesTable[[#This Row],[Customer_Info]],FIND(",",RawSalesTable[[#This Row],[Customer_Info]])+1)-FIND(",",RawSalesTable[[#This Row],[Customer_Info]])-1))</f>
        <v>Edmonton</v>
      </c>
      <c r="U260" s="8" t="str">
        <f>TRIM(RIGHT(RawSalesTable[[#This Row],[Customer_Info]], LEN(RawSalesTable[[#This Row],[Customer_Info]])-FIND(",",RawSalesTable[[#This Row],[Customer_Info]],FIND(",",RawSalesTable[[#This Row],[Customer_Info]])+1)))</f>
        <v>Corporate</v>
      </c>
      <c r="V260" s="8" t="str">
        <f>VLOOKUP(RawSalesTable[[#This Row],[Product_ID]],ProductsTable[],2,FALSE)</f>
        <v>Desk Organizer</v>
      </c>
      <c r="W260" s="8" t="str">
        <f>VLOOKUP(RawSalesTable[[#This Row],[Product_ID]],ProductsTable[],3,FALSE)</f>
        <v>Office</v>
      </c>
      <c r="X260" s="8">
        <f>VLOOKUP(RawSalesTable[[#This Row],[Product_ID]],ProductsTable[],5,FALSE)</f>
        <v>235.76</v>
      </c>
      <c r="Y260" s="8">
        <f>RawSalesTable[[#This Row],[Quantity]]*RawSalesTable[[#This Row],[Unit_Price]]</f>
        <v>385.1</v>
      </c>
      <c r="Z260" s="8">
        <f>RawSalesTable[[#This Row],[Gross_Sales]]*RawSalesTable[[#This Row],[Discount_Pct]]</f>
        <v>38.510000000000005</v>
      </c>
      <c r="AA260" s="8">
        <f>RawSalesTable[[#This Row],[Gross_Sales]]-RawSalesTable[[#This Row],[Discount_Amount]]</f>
        <v>346.59000000000003</v>
      </c>
      <c r="AB260" s="8">
        <f>RawSalesTable[[#This Row],[Unit_Cost]]*RawSalesTable[[#This Row],[Quantity]]</f>
        <v>235.76</v>
      </c>
      <c r="AC260" s="8">
        <f>RawSalesTable[[#This Row],[Net_Sales]]-RawSalesTable[[#This Row],[Total_Cost]]</f>
        <v>110.83000000000004</v>
      </c>
      <c r="AD260" s="9">
        <f>RawSalesTable[[#This Row],[Profit]]/RawSalesTable[[#This Row],[Net_Sales]]</f>
        <v>0.31977264202660211</v>
      </c>
      <c r="AE260" s="8">
        <f>IF(RawSalesTable[[#This Row],[Return_Status]]="Yes",1,0)</f>
        <v>0</v>
      </c>
      <c r="AF260" s="8">
        <f>YEAR(RawSalesTable[[#This Row],[Order_Date]])</f>
        <v>2025</v>
      </c>
      <c r="AG260" s="8">
        <f>MONTH(RawSalesTable[[#This Row],[Order_Date]])</f>
        <v>7</v>
      </c>
      <c r="AH260" s="8" t="str">
        <f>TEXT(RawSalesTable[[#This Row],[Order_Date]],"mmmm")</f>
        <v>juillet</v>
      </c>
      <c r="AI260" s="8" t="str">
        <f>IF(RawSalesTable[[#This Row],[Month_Number]]&lt;=3,"Q1",IF(RawSalesTable[[#This Row],[Month_Number]]&lt;=6,"Q2",IF(RawSalesTable[[#This Row],[Month_Number]]&lt;=9,"Q3","Q4")))</f>
        <v>Q3</v>
      </c>
      <c r="AJ260" s="13">
        <f>DATE(YEAR(RawSalesTable[[#This Row],[Order_Date]]),MONTH(RawSalesTable[[#This Row],[Order_Date]]),1)</f>
        <v>45839</v>
      </c>
      <c r="AK260" s="8" t="str">
        <f>VLOOKUP(RawSalesTable[[#This Row],[Customer_ID_clean]],CustomersTable[],4,FALSE)</f>
        <v>Alberta</v>
      </c>
    </row>
    <row r="261" spans="1:37">
      <c r="A261" t="s">
        <v>640</v>
      </c>
      <c r="B261" s="3">
        <v>45884</v>
      </c>
      <c r="C261" t="s">
        <v>113</v>
      </c>
      <c r="D261" t="s">
        <v>101</v>
      </c>
      <c r="E261" t="s">
        <v>115</v>
      </c>
      <c r="F261" t="s">
        <v>87</v>
      </c>
      <c r="G261" t="s">
        <v>183</v>
      </c>
      <c r="H261" t="s">
        <v>89</v>
      </c>
      <c r="I261">
        <v>1</v>
      </c>
      <c r="J261" s="2">
        <v>296.18</v>
      </c>
      <c r="K261" s="4">
        <v>0</v>
      </c>
      <c r="L261" t="s">
        <v>106</v>
      </c>
      <c r="M261">
        <v>4</v>
      </c>
      <c r="N261" t="s">
        <v>91</v>
      </c>
      <c r="O261" t="str">
        <f>SUBSTITUTE(PROPER(TRIM(RawSalesTable[[#This Row],[Channel_Raw]])), "Market Place", "Marketplace")</f>
        <v>Online</v>
      </c>
      <c r="P261" t="str">
        <f>TRIM(RawSalesTable[[#This Row],[Store_Raw]])</f>
        <v>Online Fulfillment</v>
      </c>
      <c r="Q261" t="str">
        <f>IF(TRIM(RawSalesTable[[#This Row],[Payment_Method_Raw]])="","Non renseigné",SUBSTITUTE(TRIM(RawSalesTable[[#This Row],[Payment_Method_Raw]]),"CC","Credit Card"))</f>
        <v>Credit Card</v>
      </c>
      <c r="R261" s="8" t="str">
        <f>UPPER(PROPER(RawSalesTable[[#This Row],[Customer_ID]]))</f>
        <v>C0083</v>
      </c>
      <c r="S261" s="8" t="str">
        <f>TRIM(LEFT(RawSalesTable[[#This Row],[Customer_Info]],FIND(",",RawSalesTable[[#This Row],[Customer_Info]]) -1))</f>
        <v>Amine King</v>
      </c>
      <c r="T261" s="8" t="str">
        <f>TRIM(MID(RawSalesTable[[#This Row],[Customer_Info]],FIND(",",RawSalesTable[[#This Row],[Customer_Info]])+1,FIND(",",RawSalesTable[[#This Row],[Customer_Info]],FIND(",",RawSalesTable[[#This Row],[Customer_Info]])+1)-FIND(",",RawSalesTable[[#This Row],[Customer_Info]])-1))</f>
        <v>Edmonton</v>
      </c>
      <c r="U261" s="8" t="str">
        <f>TRIM(RIGHT(RawSalesTable[[#This Row],[Customer_Info]], LEN(RawSalesTable[[#This Row],[Customer_Info]])-FIND(",",RawSalesTable[[#This Row],[Customer_Info]],FIND(",",RawSalesTable[[#This Row],[Customer_Info]])+1)))</f>
        <v>Consumer</v>
      </c>
      <c r="V261" s="8" t="str">
        <f>VLOOKUP(RawSalesTable[[#This Row],[Product_ID]],ProductsTable[],2,FALSE)</f>
        <v>Kettle</v>
      </c>
      <c r="W261" s="8" t="str">
        <f>VLOOKUP(RawSalesTable[[#This Row],[Product_ID]],ProductsTable[],3,FALSE)</f>
        <v>Home</v>
      </c>
      <c r="X261" s="8">
        <f>VLOOKUP(RawSalesTable[[#This Row],[Product_ID]],ProductsTable[],5,FALSE)</f>
        <v>139.86000000000001</v>
      </c>
      <c r="Y261" s="8">
        <f>RawSalesTable[[#This Row],[Quantity]]*RawSalesTable[[#This Row],[Unit_Price]]</f>
        <v>296.18</v>
      </c>
      <c r="Z261" s="8">
        <f>RawSalesTable[[#This Row],[Gross_Sales]]*RawSalesTable[[#This Row],[Discount_Pct]]</f>
        <v>0</v>
      </c>
      <c r="AA261" s="8">
        <f>RawSalesTable[[#This Row],[Gross_Sales]]-RawSalesTable[[#This Row],[Discount_Amount]]</f>
        <v>296.18</v>
      </c>
      <c r="AB261" s="8">
        <f>RawSalesTable[[#This Row],[Unit_Cost]]*RawSalesTable[[#This Row],[Quantity]]</f>
        <v>139.86000000000001</v>
      </c>
      <c r="AC261" s="8">
        <f>RawSalesTable[[#This Row],[Net_Sales]]-RawSalesTable[[#This Row],[Total_Cost]]</f>
        <v>156.32</v>
      </c>
      <c r="AD261" s="9">
        <f>RawSalesTable[[#This Row],[Profit]]/RawSalesTable[[#This Row],[Net_Sales]]</f>
        <v>0.52778715645891006</v>
      </c>
      <c r="AE261" s="8">
        <f>IF(RawSalesTable[[#This Row],[Return_Status]]="Yes",1,0)</f>
        <v>0</v>
      </c>
      <c r="AF261" s="8">
        <f>YEAR(RawSalesTable[[#This Row],[Order_Date]])</f>
        <v>2025</v>
      </c>
      <c r="AG261" s="8">
        <f>MONTH(RawSalesTable[[#This Row],[Order_Date]])</f>
        <v>8</v>
      </c>
      <c r="AH261" s="8" t="str">
        <f>TEXT(RawSalesTable[[#This Row],[Order_Date]],"mmmm")</f>
        <v>août</v>
      </c>
      <c r="AI261" s="8" t="str">
        <f>IF(RawSalesTable[[#This Row],[Month_Number]]&lt;=3,"Q1",IF(RawSalesTable[[#This Row],[Month_Number]]&lt;=6,"Q2",IF(RawSalesTable[[#This Row],[Month_Number]]&lt;=9,"Q3","Q4")))</f>
        <v>Q3</v>
      </c>
      <c r="AJ261" s="13">
        <f>DATE(YEAR(RawSalesTable[[#This Row],[Order_Date]]),MONTH(RawSalesTable[[#This Row],[Order_Date]]),1)</f>
        <v>45870</v>
      </c>
      <c r="AK261" s="8" t="str">
        <f>VLOOKUP(RawSalesTable[[#This Row],[Customer_ID_clean]],CustomersTable[],4,FALSE)</f>
        <v>Alberta</v>
      </c>
    </row>
    <row r="262" spans="1:37">
      <c r="A262" t="s">
        <v>641</v>
      </c>
      <c r="B262" s="3">
        <v>45776</v>
      </c>
      <c r="C262" t="s">
        <v>313</v>
      </c>
      <c r="D262" t="s">
        <v>231</v>
      </c>
      <c r="E262" t="s">
        <v>314</v>
      </c>
      <c r="F262" t="s">
        <v>103</v>
      </c>
      <c r="G262" t="s">
        <v>117</v>
      </c>
      <c r="H262" t="s">
        <v>97</v>
      </c>
      <c r="I262">
        <v>2</v>
      </c>
      <c r="J262" s="2">
        <v>352.88</v>
      </c>
      <c r="K262" s="4">
        <v>0.15</v>
      </c>
      <c r="L262" t="s">
        <v>441</v>
      </c>
      <c r="M262">
        <v>2</v>
      </c>
      <c r="N262" t="s">
        <v>91</v>
      </c>
      <c r="O262" t="str">
        <f>SUBSTITUTE(PROPER(TRIM(RawSalesTable[[#This Row],[Channel_Raw]])), "Market Place", "Marketplace")</f>
        <v>Retail Store</v>
      </c>
      <c r="P262" t="str">
        <f>TRIM(RawSalesTable[[#This Row],[Store_Raw]])</f>
        <v>Vancouver West</v>
      </c>
      <c r="Q262" t="str">
        <f>IF(TRIM(RawSalesTable[[#This Row],[Payment_Method_Raw]])="","Non renseigné",SUBSTITUTE(TRIM(RawSalesTable[[#This Row],[Payment_Method_Raw]]),"CC","Credit Card"))</f>
        <v>credit card</v>
      </c>
      <c r="R262" s="8" t="str">
        <f>UPPER(PROPER(RawSalesTable[[#This Row],[Customer_ID]]))</f>
        <v>C0080</v>
      </c>
      <c r="S262" s="8" t="str">
        <f>TRIM(LEFT(RawSalesTable[[#This Row],[Customer_Info]],FIND(",",RawSalesTable[[#This Row],[Customer_Info]]) -1))</f>
        <v>Sarah Smith</v>
      </c>
      <c r="T262" s="8" t="str">
        <f>TRIM(MID(RawSalesTable[[#This Row],[Customer_Info]],FIND(",",RawSalesTable[[#This Row],[Customer_Info]])+1,FIND(",",RawSalesTable[[#This Row],[Customer_Info]],FIND(",",RawSalesTable[[#This Row],[Customer_Info]])+1)-FIND(",",RawSalesTable[[#This Row],[Customer_Info]])-1))</f>
        <v>Mississauga</v>
      </c>
      <c r="U262" s="8" t="str">
        <f>TRIM(RIGHT(RawSalesTable[[#This Row],[Customer_Info]], LEN(RawSalesTable[[#This Row],[Customer_Info]])-FIND(",",RawSalesTable[[#This Row],[Customer_Info]],FIND(",",RawSalesTable[[#This Row],[Customer_Info]])+1)))</f>
        <v>Corporate</v>
      </c>
      <c r="V262" s="8" t="str">
        <f>VLOOKUP(RawSalesTable[[#This Row],[Product_ID]],ProductsTable[],2,FALSE)</f>
        <v>Cable Set</v>
      </c>
      <c r="W262" s="8" t="str">
        <f>VLOOKUP(RawSalesTable[[#This Row],[Product_ID]],ProductsTable[],3,FALSE)</f>
        <v>Accessories</v>
      </c>
      <c r="X262" s="8">
        <f>VLOOKUP(RawSalesTable[[#This Row],[Product_ID]],ProductsTable[],5,FALSE)</f>
        <v>200.16</v>
      </c>
      <c r="Y262" s="8">
        <f>RawSalesTable[[#This Row],[Quantity]]*RawSalesTable[[#This Row],[Unit_Price]]</f>
        <v>705.76</v>
      </c>
      <c r="Z262" s="8">
        <f>RawSalesTable[[#This Row],[Gross_Sales]]*RawSalesTable[[#This Row],[Discount_Pct]]</f>
        <v>105.86399999999999</v>
      </c>
      <c r="AA262" s="8">
        <f>RawSalesTable[[#This Row],[Gross_Sales]]-RawSalesTable[[#This Row],[Discount_Amount]]</f>
        <v>599.89599999999996</v>
      </c>
      <c r="AB262" s="8">
        <f>RawSalesTable[[#This Row],[Unit_Cost]]*RawSalesTable[[#This Row],[Quantity]]</f>
        <v>400.32</v>
      </c>
      <c r="AC262" s="8">
        <f>RawSalesTable[[#This Row],[Net_Sales]]-RawSalesTable[[#This Row],[Total_Cost]]</f>
        <v>199.57599999999996</v>
      </c>
      <c r="AD262" s="9">
        <f>RawSalesTable[[#This Row],[Profit]]/RawSalesTable[[#This Row],[Net_Sales]]</f>
        <v>0.33268433195087144</v>
      </c>
      <c r="AE262" s="8">
        <f>IF(RawSalesTable[[#This Row],[Return_Status]]="Yes",1,0)</f>
        <v>0</v>
      </c>
      <c r="AF262" s="8">
        <f>YEAR(RawSalesTable[[#This Row],[Order_Date]])</f>
        <v>2025</v>
      </c>
      <c r="AG262" s="8">
        <f>MONTH(RawSalesTable[[#This Row],[Order_Date]])</f>
        <v>4</v>
      </c>
      <c r="AH262" s="8" t="str">
        <f>TEXT(RawSalesTable[[#This Row],[Order_Date]],"mmmm")</f>
        <v>avril</v>
      </c>
      <c r="AI262" s="8" t="str">
        <f>IF(RawSalesTable[[#This Row],[Month_Number]]&lt;=3,"Q1",IF(RawSalesTable[[#This Row],[Month_Number]]&lt;=6,"Q2",IF(RawSalesTable[[#This Row],[Month_Number]]&lt;=9,"Q3","Q4")))</f>
        <v>Q2</v>
      </c>
      <c r="AJ262" s="13">
        <f>DATE(YEAR(RawSalesTable[[#This Row],[Order_Date]]),MONTH(RawSalesTable[[#This Row],[Order_Date]]),1)</f>
        <v>45748</v>
      </c>
      <c r="AK262" s="8" t="str">
        <f>VLOOKUP(RawSalesTable[[#This Row],[Customer_ID_clean]],CustomersTable[],4,FALSE)</f>
        <v>Ontario</v>
      </c>
    </row>
    <row r="263" spans="1:37">
      <c r="A263" t="s">
        <v>642</v>
      </c>
      <c r="B263" s="3">
        <v>45691</v>
      </c>
      <c r="C263" t="s">
        <v>305</v>
      </c>
      <c r="D263" t="s">
        <v>174</v>
      </c>
      <c r="E263" t="s">
        <v>306</v>
      </c>
      <c r="F263" t="s">
        <v>145</v>
      </c>
      <c r="G263" t="s">
        <v>104</v>
      </c>
      <c r="H263" t="s">
        <v>105</v>
      </c>
      <c r="I263">
        <v>3</v>
      </c>
      <c r="J263" s="2">
        <v>36.1</v>
      </c>
      <c r="K263" s="4">
        <v>0</v>
      </c>
      <c r="L263" t="s">
        <v>106</v>
      </c>
      <c r="M263">
        <v>8</v>
      </c>
      <c r="N263" t="s">
        <v>91</v>
      </c>
      <c r="O263" t="str">
        <f>SUBSTITUTE(PROPER(TRIM(RawSalesTable[[#This Row],[Channel_Raw]])), "Market Place", "Marketplace")</f>
        <v>Marketplace</v>
      </c>
      <c r="P263" t="str">
        <f>TRIM(RawSalesTable[[#This Row],[Store_Raw]])</f>
        <v>Calgary North</v>
      </c>
      <c r="Q263" t="str">
        <f>IF(TRIM(RawSalesTable[[#This Row],[Payment_Method_Raw]])="","Non renseigné",SUBSTITUTE(TRIM(RawSalesTable[[#This Row],[Payment_Method_Raw]]),"CC","Credit Card"))</f>
        <v>Credit Card</v>
      </c>
      <c r="R263" s="8" t="str">
        <f>UPPER(PROPER(RawSalesTable[[#This Row],[Customer_ID]]))</f>
        <v>C0055</v>
      </c>
      <c r="S263" s="8" t="str">
        <f>TRIM(LEFT(RawSalesTable[[#This Row],[Customer_Info]],FIND(",",RawSalesTable[[#This Row],[Customer_Info]]) -1))</f>
        <v>Sarah Scott</v>
      </c>
      <c r="T263" s="8" t="str">
        <f>TRIM(MID(RawSalesTable[[#This Row],[Customer_Info]],FIND(",",RawSalesTable[[#This Row],[Customer_Info]])+1,FIND(",",RawSalesTable[[#This Row],[Customer_Info]],FIND(",",RawSalesTable[[#This Row],[Customer_Info]])+1)-FIND(",",RawSalesTable[[#This Row],[Customer_Info]])-1))</f>
        <v>Surrey</v>
      </c>
      <c r="U263" s="8" t="str">
        <f>TRIM(RIGHT(RawSalesTable[[#This Row],[Customer_Info]], LEN(RawSalesTable[[#This Row],[Customer_Info]])-FIND(",",RawSalesTable[[#This Row],[Customer_Info]],FIND(",",RawSalesTable[[#This Row],[Customer_Info]])+1)))</f>
        <v>Consumer</v>
      </c>
      <c r="V263" s="8" t="str">
        <f>VLOOKUP(RawSalesTable[[#This Row],[Product_ID]],ProductsTable[],2,FALSE)</f>
        <v>Keyboard</v>
      </c>
      <c r="W263" s="8" t="str">
        <f>VLOOKUP(RawSalesTable[[#This Row],[Product_ID]],ProductsTable[],3,FALSE)</f>
        <v>Electronics</v>
      </c>
      <c r="X263" s="8">
        <f>VLOOKUP(RawSalesTable[[#This Row],[Product_ID]],ProductsTable[],5,FALSE)</f>
        <v>23.5</v>
      </c>
      <c r="Y263" s="8">
        <f>RawSalesTable[[#This Row],[Quantity]]*RawSalesTable[[#This Row],[Unit_Price]]</f>
        <v>108.30000000000001</v>
      </c>
      <c r="Z263" s="8">
        <f>RawSalesTable[[#This Row],[Gross_Sales]]*RawSalesTable[[#This Row],[Discount_Pct]]</f>
        <v>0</v>
      </c>
      <c r="AA263" s="8">
        <f>RawSalesTable[[#This Row],[Gross_Sales]]-RawSalesTable[[#This Row],[Discount_Amount]]</f>
        <v>108.30000000000001</v>
      </c>
      <c r="AB263" s="8">
        <f>RawSalesTable[[#This Row],[Unit_Cost]]*RawSalesTable[[#This Row],[Quantity]]</f>
        <v>70.5</v>
      </c>
      <c r="AC263" s="8">
        <f>RawSalesTable[[#This Row],[Net_Sales]]-RawSalesTable[[#This Row],[Total_Cost]]</f>
        <v>37.800000000000011</v>
      </c>
      <c r="AD263" s="9">
        <f>RawSalesTable[[#This Row],[Profit]]/RawSalesTable[[#This Row],[Net_Sales]]</f>
        <v>0.34903047091412748</v>
      </c>
      <c r="AE263" s="8">
        <f>IF(RawSalesTable[[#This Row],[Return_Status]]="Yes",1,0)</f>
        <v>0</v>
      </c>
      <c r="AF263" s="8">
        <f>YEAR(RawSalesTable[[#This Row],[Order_Date]])</f>
        <v>2025</v>
      </c>
      <c r="AG263" s="8">
        <f>MONTH(RawSalesTable[[#This Row],[Order_Date]])</f>
        <v>2</v>
      </c>
      <c r="AH263" s="8" t="str">
        <f>TEXT(RawSalesTable[[#This Row],[Order_Date]],"mmmm")</f>
        <v>février</v>
      </c>
      <c r="AI263" s="8" t="str">
        <f>IF(RawSalesTable[[#This Row],[Month_Number]]&lt;=3,"Q1",IF(RawSalesTable[[#This Row],[Month_Number]]&lt;=6,"Q2",IF(RawSalesTable[[#This Row],[Month_Number]]&lt;=9,"Q3","Q4")))</f>
        <v>Q1</v>
      </c>
      <c r="AJ263" s="13">
        <f>DATE(YEAR(RawSalesTable[[#This Row],[Order_Date]]),MONTH(RawSalesTable[[#This Row],[Order_Date]]),1)</f>
        <v>45689</v>
      </c>
      <c r="AK263" s="8" t="str">
        <f>VLOOKUP(RawSalesTable[[#This Row],[Customer_ID_clean]],CustomersTable[],4,FALSE)</f>
        <v>British Columbia</v>
      </c>
    </row>
    <row r="264" spans="1:37">
      <c r="A264" t="s">
        <v>643</v>
      </c>
      <c r="B264" s="3">
        <v>45829</v>
      </c>
      <c r="C264" t="s">
        <v>644</v>
      </c>
      <c r="D264" t="s">
        <v>217</v>
      </c>
      <c r="E264" t="s">
        <v>645</v>
      </c>
      <c r="F264" t="s">
        <v>145</v>
      </c>
      <c r="G264" t="s">
        <v>88</v>
      </c>
      <c r="H264" t="s">
        <v>246</v>
      </c>
      <c r="I264">
        <v>1</v>
      </c>
      <c r="J264" s="2">
        <v>101.87</v>
      </c>
      <c r="K264" s="4">
        <v>0.1</v>
      </c>
      <c r="L264" t="s">
        <v>98</v>
      </c>
      <c r="M264">
        <v>2</v>
      </c>
      <c r="N264" t="s">
        <v>91</v>
      </c>
      <c r="O264" t="str">
        <f>SUBSTITUTE(PROPER(TRIM(RawSalesTable[[#This Row],[Channel_Raw]])), "Market Place", "Marketplace")</f>
        <v>Retail Store</v>
      </c>
      <c r="P264" t="str">
        <f>TRIM(RawSalesTable[[#This Row],[Store_Raw]])</f>
        <v>Calgary North</v>
      </c>
      <c r="Q264" t="str">
        <f>IF(TRIM(RawSalesTable[[#This Row],[Payment_Method_Raw]])="","Non renseigné",SUBSTITUTE(TRIM(RawSalesTable[[#This Row],[Payment_Method_Raw]]),"CC","Credit Card"))</f>
        <v>Debit Card</v>
      </c>
      <c r="R264" s="8" t="str">
        <f>UPPER(PROPER(RawSalesTable[[#This Row],[Customer_ID]]))</f>
        <v>C0011</v>
      </c>
      <c r="S264" s="8" t="str">
        <f>TRIM(LEFT(RawSalesTable[[#This Row],[Customer_Info]],FIND(",",RawSalesTable[[#This Row],[Customer_Info]]) -1))</f>
        <v>Ethan Hall</v>
      </c>
      <c r="T264" s="8" t="str">
        <f>TRIM(MID(RawSalesTable[[#This Row],[Customer_Info]],FIND(",",RawSalesTable[[#This Row],[Customer_Info]])+1,FIND(",",RawSalesTable[[#This Row],[Customer_Info]],FIND(",",RawSalesTable[[#This Row],[Customer_Info]])+1)-FIND(",",RawSalesTable[[#This Row],[Customer_Info]])-1))</f>
        <v>Quebec City</v>
      </c>
      <c r="U264" s="8" t="str">
        <f>TRIM(RIGHT(RawSalesTable[[#This Row],[Customer_Info]], LEN(RawSalesTable[[#This Row],[Customer_Info]])-FIND(",",RawSalesTable[[#This Row],[Customer_Info]],FIND(",",RawSalesTable[[#This Row],[Customer_Info]])+1)))</f>
        <v>Consumer</v>
      </c>
      <c r="V264" s="8" t="str">
        <f>VLOOKUP(RawSalesTable[[#This Row],[Product_ID]],ProductsTable[],2,FALSE)</f>
        <v>USB-C Hub</v>
      </c>
      <c r="W264" s="8" t="str">
        <f>VLOOKUP(RawSalesTable[[#This Row],[Product_ID]],ProductsTable[],3,FALSE)</f>
        <v>Electronics</v>
      </c>
      <c r="X264" s="8">
        <f>VLOOKUP(RawSalesTable[[#This Row],[Product_ID]],ProductsTable[],5,FALSE)</f>
        <v>72</v>
      </c>
      <c r="Y264" s="8">
        <f>RawSalesTable[[#This Row],[Quantity]]*RawSalesTable[[#This Row],[Unit_Price]]</f>
        <v>101.87</v>
      </c>
      <c r="Z264" s="8">
        <f>RawSalesTable[[#This Row],[Gross_Sales]]*RawSalesTable[[#This Row],[Discount_Pct]]</f>
        <v>10.187000000000001</v>
      </c>
      <c r="AA264" s="8">
        <f>RawSalesTable[[#This Row],[Gross_Sales]]-RawSalesTable[[#This Row],[Discount_Amount]]</f>
        <v>91.683000000000007</v>
      </c>
      <c r="AB264" s="8">
        <f>RawSalesTable[[#This Row],[Unit_Cost]]*RawSalesTable[[#This Row],[Quantity]]</f>
        <v>72</v>
      </c>
      <c r="AC264" s="8">
        <f>RawSalesTable[[#This Row],[Net_Sales]]-RawSalesTable[[#This Row],[Total_Cost]]</f>
        <v>19.683000000000007</v>
      </c>
      <c r="AD264" s="9">
        <f>RawSalesTable[[#This Row],[Profit]]/RawSalesTable[[#This Row],[Net_Sales]]</f>
        <v>0.21468538333169732</v>
      </c>
      <c r="AE264" s="8">
        <f>IF(RawSalesTable[[#This Row],[Return_Status]]="Yes",1,0)</f>
        <v>0</v>
      </c>
      <c r="AF264" s="8">
        <f>YEAR(RawSalesTable[[#This Row],[Order_Date]])</f>
        <v>2025</v>
      </c>
      <c r="AG264" s="8">
        <f>MONTH(RawSalesTable[[#This Row],[Order_Date]])</f>
        <v>6</v>
      </c>
      <c r="AH264" s="8" t="str">
        <f>TEXT(RawSalesTable[[#This Row],[Order_Date]],"mmmm")</f>
        <v>juin</v>
      </c>
      <c r="AI264" s="8" t="str">
        <f>IF(RawSalesTable[[#This Row],[Month_Number]]&lt;=3,"Q1",IF(RawSalesTable[[#This Row],[Month_Number]]&lt;=6,"Q2",IF(RawSalesTable[[#This Row],[Month_Number]]&lt;=9,"Q3","Q4")))</f>
        <v>Q2</v>
      </c>
      <c r="AJ264" s="13">
        <f>DATE(YEAR(RawSalesTable[[#This Row],[Order_Date]]),MONTH(RawSalesTable[[#This Row],[Order_Date]]),1)</f>
        <v>45809</v>
      </c>
      <c r="AK264" s="8" t="str">
        <f>VLOOKUP(RawSalesTable[[#This Row],[Customer_ID_clean]],CustomersTable[],4,FALSE)</f>
        <v>Quebec</v>
      </c>
    </row>
    <row r="265" spans="1:37">
      <c r="A265" t="s">
        <v>646</v>
      </c>
      <c r="B265" s="3">
        <v>46020</v>
      </c>
      <c r="C265" t="s">
        <v>647</v>
      </c>
      <c r="D265" t="s">
        <v>133</v>
      </c>
      <c r="E265" t="s">
        <v>648</v>
      </c>
      <c r="F265" t="s">
        <v>145</v>
      </c>
      <c r="G265" t="s">
        <v>122</v>
      </c>
      <c r="H265" t="s">
        <v>89</v>
      </c>
      <c r="I265">
        <v>2</v>
      </c>
      <c r="J265" s="2">
        <v>349.83</v>
      </c>
      <c r="K265" s="4">
        <v>0</v>
      </c>
      <c r="L265" t="s">
        <v>98</v>
      </c>
      <c r="M265">
        <v>4</v>
      </c>
      <c r="N265" t="s">
        <v>91</v>
      </c>
      <c r="O265" t="str">
        <f>SUBSTITUTE(PROPER(TRIM(RawSalesTable[[#This Row],[Channel_Raw]])), "Market Place", "Marketplace")</f>
        <v>Online</v>
      </c>
      <c r="P265" t="str">
        <f>TRIM(RawSalesTable[[#This Row],[Store_Raw]])</f>
        <v>Calgary North</v>
      </c>
      <c r="Q265" t="str">
        <f>IF(TRIM(RawSalesTable[[#This Row],[Payment_Method_Raw]])="","Non renseigné",SUBSTITUTE(TRIM(RawSalesTable[[#This Row],[Payment_Method_Raw]]),"CC","Credit Card"))</f>
        <v>Debit Card</v>
      </c>
      <c r="R265" s="8" t="str">
        <f>UPPER(PROPER(RawSalesTable[[#This Row],[Customer_ID]]))</f>
        <v>C0050</v>
      </c>
      <c r="S265" s="8" t="str">
        <f>TRIM(LEFT(RawSalesTable[[#This Row],[Customer_Info]],FIND(",",RawSalesTable[[#This Row],[Customer_Info]]) -1))</f>
        <v>Sarah Singh</v>
      </c>
      <c r="T265" s="8" t="str">
        <f>TRIM(MID(RawSalesTable[[#This Row],[Customer_Info]],FIND(",",RawSalesTable[[#This Row],[Customer_Info]])+1,FIND(",",RawSalesTable[[#This Row],[Customer_Info]],FIND(",",RawSalesTable[[#This Row],[Customer_Info]])+1)-FIND(",",RawSalesTable[[#This Row],[Customer_Info]])-1))</f>
        <v>Mississauga</v>
      </c>
      <c r="U265" s="8" t="str">
        <f>TRIM(RIGHT(RawSalesTable[[#This Row],[Customer_Info]], LEN(RawSalesTable[[#This Row],[Customer_Info]])-FIND(",",RawSalesTable[[#This Row],[Customer_Info]],FIND(",",RawSalesTable[[#This Row],[Customer_Info]])+1)))</f>
        <v>Consumer</v>
      </c>
      <c r="V265" s="8" t="str">
        <f>VLOOKUP(RawSalesTable[[#This Row],[Product_ID]],ProductsTable[],2,FALSE)</f>
        <v>Travel Adapter</v>
      </c>
      <c r="W265" s="8" t="str">
        <f>VLOOKUP(RawSalesTable[[#This Row],[Product_ID]],ProductsTable[],3,FALSE)</f>
        <v>Accessories</v>
      </c>
      <c r="X265" s="8">
        <f>VLOOKUP(RawSalesTable[[#This Row],[Product_ID]],ProductsTable[],5,FALSE)</f>
        <v>229.86</v>
      </c>
      <c r="Y265" s="8">
        <f>RawSalesTable[[#This Row],[Quantity]]*RawSalesTable[[#This Row],[Unit_Price]]</f>
        <v>699.66</v>
      </c>
      <c r="Z265" s="8">
        <f>RawSalesTable[[#This Row],[Gross_Sales]]*RawSalesTable[[#This Row],[Discount_Pct]]</f>
        <v>0</v>
      </c>
      <c r="AA265" s="8">
        <f>RawSalesTable[[#This Row],[Gross_Sales]]-RawSalesTable[[#This Row],[Discount_Amount]]</f>
        <v>699.66</v>
      </c>
      <c r="AB265" s="8">
        <f>RawSalesTable[[#This Row],[Unit_Cost]]*RawSalesTable[[#This Row],[Quantity]]</f>
        <v>459.72</v>
      </c>
      <c r="AC265" s="8">
        <f>RawSalesTable[[#This Row],[Net_Sales]]-RawSalesTable[[#This Row],[Total_Cost]]</f>
        <v>239.93999999999994</v>
      </c>
      <c r="AD265" s="9">
        <f>RawSalesTable[[#This Row],[Profit]]/RawSalesTable[[#This Row],[Net_Sales]]</f>
        <v>0.34293799845639306</v>
      </c>
      <c r="AE265" s="8">
        <f>IF(RawSalesTable[[#This Row],[Return_Status]]="Yes",1,0)</f>
        <v>0</v>
      </c>
      <c r="AF265" s="8">
        <f>YEAR(RawSalesTable[[#This Row],[Order_Date]])</f>
        <v>2025</v>
      </c>
      <c r="AG265" s="8">
        <f>MONTH(RawSalesTable[[#This Row],[Order_Date]])</f>
        <v>12</v>
      </c>
      <c r="AH265" s="8" t="str">
        <f>TEXT(RawSalesTable[[#This Row],[Order_Date]],"mmmm")</f>
        <v>décembre</v>
      </c>
      <c r="AI265" s="8" t="str">
        <f>IF(RawSalesTable[[#This Row],[Month_Number]]&lt;=3,"Q1",IF(RawSalesTable[[#This Row],[Month_Number]]&lt;=6,"Q2",IF(RawSalesTable[[#This Row],[Month_Number]]&lt;=9,"Q3","Q4")))</f>
        <v>Q4</v>
      </c>
      <c r="AJ265" s="13">
        <f>DATE(YEAR(RawSalesTable[[#This Row],[Order_Date]]),MONTH(RawSalesTable[[#This Row],[Order_Date]]),1)</f>
        <v>45992</v>
      </c>
      <c r="AK265" s="8" t="str">
        <f>VLOOKUP(RawSalesTable[[#This Row],[Customer_ID_clean]],CustomersTable[],4,FALSE)</f>
        <v>Ontario</v>
      </c>
    </row>
    <row r="266" spans="1:37">
      <c r="A266" t="s">
        <v>649</v>
      </c>
      <c r="B266" s="3">
        <v>45786</v>
      </c>
      <c r="C266" t="s">
        <v>610</v>
      </c>
      <c r="D266" t="s">
        <v>231</v>
      </c>
      <c r="E266" t="s">
        <v>611</v>
      </c>
      <c r="F266" t="s">
        <v>103</v>
      </c>
      <c r="G266" t="s">
        <v>96</v>
      </c>
      <c r="H266" t="s">
        <v>89</v>
      </c>
      <c r="I266">
        <v>1</v>
      </c>
      <c r="J266" s="2">
        <v>343.83</v>
      </c>
      <c r="K266" s="4">
        <v>0</v>
      </c>
      <c r="L266" t="s">
        <v>504</v>
      </c>
      <c r="M266">
        <v>6</v>
      </c>
      <c r="N266" t="s">
        <v>91</v>
      </c>
      <c r="O266" t="str">
        <f>SUBSTITUTE(PROPER(TRIM(RawSalesTable[[#This Row],[Channel_Raw]])), "Market Place", "Marketplace")</f>
        <v>Online</v>
      </c>
      <c r="P266" t="str">
        <f>TRIM(RawSalesTable[[#This Row],[Store_Raw]])</f>
        <v>Vancouver West</v>
      </c>
      <c r="Q266" t="str">
        <f>IF(TRIM(RawSalesTable[[#This Row],[Payment_Method_Raw]])="","Non renseigné",SUBSTITUTE(TRIM(RawSalesTable[[#This Row],[Payment_Method_Raw]]),"CC","Credit Card"))</f>
        <v>Debit Card</v>
      </c>
      <c r="R266" s="8" t="str">
        <f>UPPER(PROPER(RawSalesTable[[#This Row],[Customer_ID]]))</f>
        <v>C0051</v>
      </c>
      <c r="S266" s="8" t="str">
        <f>TRIM(LEFT(RawSalesTable[[#This Row],[Customer_Info]],FIND(",",RawSalesTable[[#This Row],[Customer_Info]]) -1))</f>
        <v>Daniel Brown</v>
      </c>
      <c r="T266" s="8" t="str">
        <f>TRIM(MID(RawSalesTable[[#This Row],[Customer_Info]],FIND(",",RawSalesTable[[#This Row],[Customer_Info]])+1,FIND(",",RawSalesTable[[#This Row],[Customer_Info]],FIND(",",RawSalesTable[[#This Row],[Customer_Info]])+1)-FIND(",",RawSalesTable[[#This Row],[Customer_Info]])-1))</f>
        <v>Vancouver</v>
      </c>
      <c r="U266" s="8" t="str">
        <f>TRIM(RIGHT(RawSalesTable[[#This Row],[Customer_Info]], LEN(RawSalesTable[[#This Row],[Customer_Info]])-FIND(",",RawSalesTable[[#This Row],[Customer_Info]],FIND(",",RawSalesTable[[#This Row],[Customer_Info]])+1)))</f>
        <v>Small Business</v>
      </c>
      <c r="V266" s="8" t="str">
        <f>VLOOKUP(RawSalesTable[[#This Row],[Product_ID]],ProductsTable[],2,FALSE)</f>
        <v>Cable Set</v>
      </c>
      <c r="W266" s="8" t="str">
        <f>VLOOKUP(RawSalesTable[[#This Row],[Product_ID]],ProductsTable[],3,FALSE)</f>
        <v>Accessories</v>
      </c>
      <c r="X266" s="8">
        <f>VLOOKUP(RawSalesTable[[#This Row],[Product_ID]],ProductsTable[],5,FALSE)</f>
        <v>200.16</v>
      </c>
      <c r="Y266" s="8">
        <f>RawSalesTable[[#This Row],[Quantity]]*RawSalesTable[[#This Row],[Unit_Price]]</f>
        <v>343.83</v>
      </c>
      <c r="Z266" s="8">
        <f>RawSalesTable[[#This Row],[Gross_Sales]]*RawSalesTable[[#This Row],[Discount_Pct]]</f>
        <v>0</v>
      </c>
      <c r="AA266" s="8">
        <f>RawSalesTable[[#This Row],[Gross_Sales]]-RawSalesTable[[#This Row],[Discount_Amount]]</f>
        <v>343.83</v>
      </c>
      <c r="AB266" s="8">
        <f>RawSalesTable[[#This Row],[Unit_Cost]]*RawSalesTable[[#This Row],[Quantity]]</f>
        <v>200.16</v>
      </c>
      <c r="AC266" s="8">
        <f>RawSalesTable[[#This Row],[Net_Sales]]-RawSalesTable[[#This Row],[Total_Cost]]</f>
        <v>143.66999999999999</v>
      </c>
      <c r="AD266" s="9">
        <f>RawSalesTable[[#This Row],[Profit]]/RawSalesTable[[#This Row],[Net_Sales]]</f>
        <v>0.41785184538870951</v>
      </c>
      <c r="AE266" s="8">
        <f>IF(RawSalesTable[[#This Row],[Return_Status]]="Yes",1,0)</f>
        <v>0</v>
      </c>
      <c r="AF266" s="8">
        <f>YEAR(RawSalesTable[[#This Row],[Order_Date]])</f>
        <v>2025</v>
      </c>
      <c r="AG266" s="8">
        <f>MONTH(RawSalesTable[[#This Row],[Order_Date]])</f>
        <v>5</v>
      </c>
      <c r="AH266" s="8" t="str">
        <f>TEXT(RawSalesTable[[#This Row],[Order_Date]],"mmmm")</f>
        <v>mai</v>
      </c>
      <c r="AI266" s="8" t="str">
        <f>IF(RawSalesTable[[#This Row],[Month_Number]]&lt;=3,"Q1",IF(RawSalesTable[[#This Row],[Month_Number]]&lt;=6,"Q2",IF(RawSalesTable[[#This Row],[Month_Number]]&lt;=9,"Q3","Q4")))</f>
        <v>Q2</v>
      </c>
      <c r="AJ266" s="13">
        <f>DATE(YEAR(RawSalesTable[[#This Row],[Order_Date]]),MONTH(RawSalesTable[[#This Row],[Order_Date]]),1)</f>
        <v>45778</v>
      </c>
      <c r="AK266" s="8" t="str">
        <f>VLOOKUP(RawSalesTable[[#This Row],[Customer_ID_clean]],CustomersTable[],4,FALSE)</f>
        <v>British Columbia</v>
      </c>
    </row>
    <row r="267" spans="1:37">
      <c r="A267" t="s">
        <v>650</v>
      </c>
      <c r="B267" s="3">
        <v>45838</v>
      </c>
      <c r="C267" t="s">
        <v>326</v>
      </c>
      <c r="D267" t="s">
        <v>271</v>
      </c>
      <c r="E267" t="s">
        <v>327</v>
      </c>
      <c r="F267" t="s">
        <v>103</v>
      </c>
      <c r="G267" t="s">
        <v>183</v>
      </c>
      <c r="H267" t="s">
        <v>89</v>
      </c>
      <c r="I267">
        <v>5</v>
      </c>
      <c r="J267" s="2">
        <v>214.13</v>
      </c>
      <c r="K267" s="4">
        <v>0.15</v>
      </c>
      <c r="L267" t="s">
        <v>106</v>
      </c>
      <c r="M267">
        <v>3</v>
      </c>
      <c r="N267" t="s">
        <v>91</v>
      </c>
      <c r="O267" t="str">
        <f>SUBSTITUTE(PROPER(TRIM(RawSalesTable[[#This Row],[Channel_Raw]])), "Market Place", "Marketplace")</f>
        <v>Online</v>
      </c>
      <c r="P267" t="str">
        <f>TRIM(RawSalesTable[[#This Row],[Store_Raw]])</f>
        <v>Vancouver West</v>
      </c>
      <c r="Q267" t="str">
        <f>IF(TRIM(RawSalesTable[[#This Row],[Payment_Method_Raw]])="","Non renseigné",SUBSTITUTE(TRIM(RawSalesTable[[#This Row],[Payment_Method_Raw]]),"CC","Credit Card"))</f>
        <v>Credit Card</v>
      </c>
      <c r="R267" s="8" t="str">
        <f>UPPER(PROPER(RawSalesTable[[#This Row],[Customer_ID]]))</f>
        <v>C0092</v>
      </c>
      <c r="S267" s="8" t="str">
        <f>TRIM(LEFT(RawSalesTable[[#This Row],[Customer_Info]],FIND(",",RawSalesTable[[#This Row],[Customer_Info]]) -1))</f>
        <v>Lucas Tremblay</v>
      </c>
      <c r="T267" s="8" t="str">
        <f>TRIM(MID(RawSalesTable[[#This Row],[Customer_Info]],FIND(",",RawSalesTable[[#This Row],[Customer_Info]])+1,FIND(",",RawSalesTable[[#This Row],[Customer_Info]],FIND(",",RawSalesTable[[#This Row],[Customer_Info]])+1)-FIND(",",RawSalesTable[[#This Row],[Customer_Info]])-1))</f>
        <v>Saskatoon</v>
      </c>
      <c r="U267" s="8" t="str">
        <f>TRIM(RIGHT(RawSalesTable[[#This Row],[Customer_Info]], LEN(RawSalesTable[[#This Row],[Customer_Info]])-FIND(",",RawSalesTable[[#This Row],[Customer_Info]],FIND(",",RawSalesTable[[#This Row],[Customer_Info]])+1)))</f>
        <v>Consumer</v>
      </c>
      <c r="V267" s="8" t="str">
        <f>VLOOKUP(RawSalesTable[[#This Row],[Product_ID]],ProductsTable[],2,FALSE)</f>
        <v>Resistance Bands</v>
      </c>
      <c r="W267" s="8" t="str">
        <f>VLOOKUP(RawSalesTable[[#This Row],[Product_ID]],ProductsTable[],3,FALSE)</f>
        <v>Fitness</v>
      </c>
      <c r="X267" s="8">
        <f>VLOOKUP(RawSalesTable[[#This Row],[Product_ID]],ProductsTable[],5,FALSE)</f>
        <v>139.19999999999999</v>
      </c>
      <c r="Y267" s="8">
        <f>RawSalesTable[[#This Row],[Quantity]]*RawSalesTable[[#This Row],[Unit_Price]]</f>
        <v>1070.6500000000001</v>
      </c>
      <c r="Z267" s="8">
        <f>RawSalesTable[[#This Row],[Gross_Sales]]*RawSalesTable[[#This Row],[Discount_Pct]]</f>
        <v>160.5975</v>
      </c>
      <c r="AA267" s="8">
        <f>RawSalesTable[[#This Row],[Gross_Sales]]-RawSalesTable[[#This Row],[Discount_Amount]]</f>
        <v>910.05250000000012</v>
      </c>
      <c r="AB267" s="8">
        <f>RawSalesTable[[#This Row],[Unit_Cost]]*RawSalesTable[[#This Row],[Quantity]]</f>
        <v>696</v>
      </c>
      <c r="AC267" s="8">
        <f>RawSalesTable[[#This Row],[Net_Sales]]-RawSalesTable[[#This Row],[Total_Cost]]</f>
        <v>214.05250000000012</v>
      </c>
      <c r="AD267" s="9">
        <f>RawSalesTable[[#This Row],[Profit]]/RawSalesTable[[#This Row],[Net_Sales]]</f>
        <v>0.23520895772496653</v>
      </c>
      <c r="AE267" s="8">
        <f>IF(RawSalesTable[[#This Row],[Return_Status]]="Yes",1,0)</f>
        <v>0</v>
      </c>
      <c r="AF267" s="8">
        <f>YEAR(RawSalesTable[[#This Row],[Order_Date]])</f>
        <v>2025</v>
      </c>
      <c r="AG267" s="8">
        <f>MONTH(RawSalesTable[[#This Row],[Order_Date]])</f>
        <v>6</v>
      </c>
      <c r="AH267" s="8" t="str">
        <f>TEXT(RawSalesTable[[#This Row],[Order_Date]],"mmmm")</f>
        <v>juin</v>
      </c>
      <c r="AI267" s="8" t="str">
        <f>IF(RawSalesTable[[#This Row],[Month_Number]]&lt;=3,"Q1",IF(RawSalesTable[[#This Row],[Month_Number]]&lt;=6,"Q2",IF(RawSalesTable[[#This Row],[Month_Number]]&lt;=9,"Q3","Q4")))</f>
        <v>Q2</v>
      </c>
      <c r="AJ267" s="13">
        <f>DATE(YEAR(RawSalesTable[[#This Row],[Order_Date]]),MONTH(RawSalesTable[[#This Row],[Order_Date]]),1)</f>
        <v>45809</v>
      </c>
      <c r="AK267" s="8" t="str">
        <f>VLOOKUP(RawSalesTable[[#This Row],[Customer_ID_clean]],CustomersTable[],4,FALSE)</f>
        <v>Saskatchewan</v>
      </c>
    </row>
    <row r="268" spans="1:37">
      <c r="A268" t="s">
        <v>651</v>
      </c>
      <c r="B268" s="3">
        <v>45817</v>
      </c>
      <c r="C268" t="s">
        <v>343</v>
      </c>
      <c r="D268" t="s">
        <v>157</v>
      </c>
      <c r="E268" t="s">
        <v>344</v>
      </c>
      <c r="F268" t="s">
        <v>87</v>
      </c>
      <c r="G268" t="s">
        <v>130</v>
      </c>
      <c r="H268" t="s">
        <v>89</v>
      </c>
      <c r="I268">
        <v>2</v>
      </c>
      <c r="J268" s="2">
        <v>278.27</v>
      </c>
      <c r="K268" s="4">
        <v>0.2</v>
      </c>
      <c r="L268" t="s">
        <v>98</v>
      </c>
      <c r="M268">
        <v>5</v>
      </c>
      <c r="N268" t="s">
        <v>91</v>
      </c>
      <c r="O268" t="str">
        <f>SUBSTITUTE(PROPER(TRIM(RawSalesTable[[#This Row],[Channel_Raw]])), "Market Place", "Marketplace")</f>
        <v>Online</v>
      </c>
      <c r="P268" t="str">
        <f>TRIM(RawSalesTable[[#This Row],[Store_Raw]])</f>
        <v>Online Fulfillment</v>
      </c>
      <c r="Q268" t="str">
        <f>IF(TRIM(RawSalesTable[[#This Row],[Payment_Method_Raw]])="","Non renseigné",SUBSTITUTE(TRIM(RawSalesTable[[#This Row],[Payment_Method_Raw]]),"CC","Credit Card"))</f>
        <v>Debit Card</v>
      </c>
      <c r="R268" s="8" t="str">
        <f>UPPER(PROPER(RawSalesTable[[#This Row],[Customer_ID]]))</f>
        <v>C0114</v>
      </c>
      <c r="S268" s="8" t="str">
        <f>TRIM(LEFT(RawSalesTable[[#This Row],[Customer_Info]],FIND(",",RawSalesTable[[#This Row],[Customer_Info]]) -1))</f>
        <v>Olivia Johnson</v>
      </c>
      <c r="T268" s="8" t="str">
        <f>TRIM(MID(RawSalesTable[[#This Row],[Customer_Info]],FIND(",",RawSalesTable[[#This Row],[Customer_Info]])+1,FIND(",",RawSalesTable[[#This Row],[Customer_Info]],FIND(",",RawSalesTable[[#This Row],[Customer_Info]])+1)-FIND(",",RawSalesTable[[#This Row],[Customer_Info]])-1))</f>
        <v>Ottawa</v>
      </c>
      <c r="U268" s="8" t="str">
        <f>TRIM(RIGHT(RawSalesTable[[#This Row],[Customer_Info]], LEN(RawSalesTable[[#This Row],[Customer_Info]])-FIND(",",RawSalesTable[[#This Row],[Customer_Info]],FIND(",",RawSalesTable[[#This Row],[Customer_Info]])+1)))</f>
        <v>Consumer</v>
      </c>
      <c r="V268" s="8" t="str">
        <f>VLOOKUP(RawSalesTable[[#This Row],[Product_ID]],ProductsTable[],2,FALSE)</f>
        <v>Notebook</v>
      </c>
      <c r="W268" s="8" t="str">
        <f>VLOOKUP(RawSalesTable[[#This Row],[Product_ID]],ProductsTable[],3,FALSE)</f>
        <v>Office</v>
      </c>
      <c r="X268" s="8">
        <f>VLOOKUP(RawSalesTable[[#This Row],[Product_ID]],ProductsTable[],5,FALSE)</f>
        <v>176.13</v>
      </c>
      <c r="Y268" s="8">
        <f>RawSalesTable[[#This Row],[Quantity]]*RawSalesTable[[#This Row],[Unit_Price]]</f>
        <v>556.54</v>
      </c>
      <c r="Z268" s="8">
        <f>RawSalesTable[[#This Row],[Gross_Sales]]*RawSalesTable[[#This Row],[Discount_Pct]]</f>
        <v>111.30799999999999</v>
      </c>
      <c r="AA268" s="8">
        <f>RawSalesTable[[#This Row],[Gross_Sales]]-RawSalesTable[[#This Row],[Discount_Amount]]</f>
        <v>445.23199999999997</v>
      </c>
      <c r="AB268" s="8">
        <f>RawSalesTable[[#This Row],[Unit_Cost]]*RawSalesTable[[#This Row],[Quantity]]</f>
        <v>352.26</v>
      </c>
      <c r="AC268" s="8">
        <f>RawSalesTable[[#This Row],[Net_Sales]]-RawSalesTable[[#This Row],[Total_Cost]]</f>
        <v>92.97199999999998</v>
      </c>
      <c r="AD268" s="9">
        <f>RawSalesTable[[#This Row],[Profit]]/RawSalesTable[[#This Row],[Net_Sales]]</f>
        <v>0.20881697631796453</v>
      </c>
      <c r="AE268" s="8">
        <f>IF(RawSalesTable[[#This Row],[Return_Status]]="Yes",1,0)</f>
        <v>0</v>
      </c>
      <c r="AF268" s="8">
        <f>YEAR(RawSalesTable[[#This Row],[Order_Date]])</f>
        <v>2025</v>
      </c>
      <c r="AG268" s="8">
        <f>MONTH(RawSalesTable[[#This Row],[Order_Date]])</f>
        <v>6</v>
      </c>
      <c r="AH268" s="8" t="str">
        <f>TEXT(RawSalesTable[[#This Row],[Order_Date]],"mmmm")</f>
        <v>juin</v>
      </c>
      <c r="AI268" s="8" t="str">
        <f>IF(RawSalesTable[[#This Row],[Month_Number]]&lt;=3,"Q1",IF(RawSalesTable[[#This Row],[Month_Number]]&lt;=6,"Q2",IF(RawSalesTable[[#This Row],[Month_Number]]&lt;=9,"Q3","Q4")))</f>
        <v>Q2</v>
      </c>
      <c r="AJ268" s="13">
        <f>DATE(YEAR(RawSalesTable[[#This Row],[Order_Date]]),MONTH(RawSalesTable[[#This Row],[Order_Date]]),1)</f>
        <v>45809</v>
      </c>
      <c r="AK268" s="8" t="str">
        <f>VLOOKUP(RawSalesTable[[#This Row],[Customer_ID_clean]],CustomersTable[],4,FALSE)</f>
        <v>Ontario</v>
      </c>
    </row>
    <row r="269" spans="1:37">
      <c r="A269" t="s">
        <v>652</v>
      </c>
      <c r="B269" s="3">
        <v>45847</v>
      </c>
      <c r="C269" t="s">
        <v>653</v>
      </c>
      <c r="D269" t="s">
        <v>249</v>
      </c>
      <c r="E269" t="s">
        <v>654</v>
      </c>
      <c r="F269" t="s">
        <v>655</v>
      </c>
      <c r="G269" t="s">
        <v>130</v>
      </c>
      <c r="H269" t="s">
        <v>105</v>
      </c>
      <c r="I269">
        <v>3</v>
      </c>
      <c r="J269" s="2">
        <v>404.74</v>
      </c>
      <c r="K269" s="4">
        <v>0.05</v>
      </c>
      <c r="L269" t="s">
        <v>98</v>
      </c>
      <c r="M269">
        <v>3</v>
      </c>
      <c r="N269" t="s">
        <v>147</v>
      </c>
      <c r="O269" t="str">
        <f>SUBSTITUTE(PROPER(TRIM(RawSalesTable[[#This Row],[Channel_Raw]])), "Market Place", "Marketplace")</f>
        <v>Marketplace</v>
      </c>
      <c r="P269" t="str">
        <f>TRIM(RawSalesTable[[#This Row],[Store_Raw]])</f>
        <v>Online Fulfillment</v>
      </c>
      <c r="Q269" t="str">
        <f>IF(TRIM(RawSalesTable[[#This Row],[Payment_Method_Raw]])="","Non renseigné",SUBSTITUTE(TRIM(RawSalesTable[[#This Row],[Payment_Method_Raw]]),"CC","Credit Card"))</f>
        <v>Debit Card</v>
      </c>
      <c r="R269" s="8" t="str">
        <f>UPPER(PROPER(RawSalesTable[[#This Row],[Customer_ID]]))</f>
        <v>C0100</v>
      </c>
      <c r="S269" s="8" t="str">
        <f>TRIM(LEFT(RawSalesTable[[#This Row],[Customer_Info]],FIND(",",RawSalesTable[[#This Row],[Customer_Info]]) -1))</f>
        <v>Yasmine Smith</v>
      </c>
      <c r="T269" s="8" t="str">
        <f>TRIM(MID(RawSalesTable[[#This Row],[Customer_Info]],FIND(",",RawSalesTable[[#This Row],[Customer_Info]])+1,FIND(",",RawSalesTable[[#This Row],[Customer_Info]],FIND(",",RawSalesTable[[#This Row],[Customer_Info]])+1)-FIND(",",RawSalesTable[[#This Row],[Customer_Info]])-1))</f>
        <v>Mississauga</v>
      </c>
      <c r="U269" s="8" t="str">
        <f>TRIM(RIGHT(RawSalesTable[[#This Row],[Customer_Info]], LEN(RawSalesTable[[#This Row],[Customer_Info]])-FIND(",",RawSalesTable[[#This Row],[Customer_Info]],FIND(",",RawSalesTable[[#This Row],[Customer_Info]])+1)))</f>
        <v>Consumer</v>
      </c>
      <c r="V269" s="8" t="str">
        <f>VLOOKUP(RawSalesTable[[#This Row],[Product_ID]],ProductsTable[],2,FALSE)</f>
        <v>Humidifier</v>
      </c>
      <c r="W269" s="8" t="str">
        <f>VLOOKUP(RawSalesTable[[#This Row],[Product_ID]],ProductsTable[],3,FALSE)</f>
        <v>Home</v>
      </c>
      <c r="X269" s="8">
        <f>VLOOKUP(RawSalesTable[[#This Row],[Product_ID]],ProductsTable[],5,FALSE)</f>
        <v>239.67</v>
      </c>
      <c r="Y269" s="8">
        <f>RawSalesTable[[#This Row],[Quantity]]*RawSalesTable[[#This Row],[Unit_Price]]</f>
        <v>1214.22</v>
      </c>
      <c r="Z269" s="8">
        <f>RawSalesTable[[#This Row],[Gross_Sales]]*RawSalesTable[[#This Row],[Discount_Pct]]</f>
        <v>60.711000000000006</v>
      </c>
      <c r="AA269" s="8">
        <f>RawSalesTable[[#This Row],[Gross_Sales]]-RawSalesTable[[#This Row],[Discount_Amount]]</f>
        <v>1153.509</v>
      </c>
      <c r="AB269" s="8">
        <f>RawSalesTable[[#This Row],[Unit_Cost]]*RawSalesTable[[#This Row],[Quantity]]</f>
        <v>719.01</v>
      </c>
      <c r="AC269" s="8">
        <f>RawSalesTable[[#This Row],[Net_Sales]]-RawSalesTable[[#This Row],[Total_Cost]]</f>
        <v>434.49900000000002</v>
      </c>
      <c r="AD269" s="9">
        <f>RawSalesTable[[#This Row],[Profit]]/RawSalesTable[[#This Row],[Net_Sales]]</f>
        <v>0.37667586468766173</v>
      </c>
      <c r="AE269" s="8">
        <f>IF(RawSalesTable[[#This Row],[Return_Status]]="Yes",1,0)</f>
        <v>1</v>
      </c>
      <c r="AF269" s="8">
        <f>YEAR(RawSalesTable[[#This Row],[Order_Date]])</f>
        <v>2025</v>
      </c>
      <c r="AG269" s="8">
        <f>MONTH(RawSalesTable[[#This Row],[Order_Date]])</f>
        <v>7</v>
      </c>
      <c r="AH269" s="8" t="str">
        <f>TEXT(RawSalesTable[[#This Row],[Order_Date]],"mmmm")</f>
        <v>juillet</v>
      </c>
      <c r="AI269" s="8" t="str">
        <f>IF(RawSalesTable[[#This Row],[Month_Number]]&lt;=3,"Q1",IF(RawSalesTable[[#This Row],[Month_Number]]&lt;=6,"Q2",IF(RawSalesTable[[#This Row],[Month_Number]]&lt;=9,"Q3","Q4")))</f>
        <v>Q3</v>
      </c>
      <c r="AJ269" s="13">
        <f>DATE(YEAR(RawSalesTable[[#This Row],[Order_Date]]),MONTH(RawSalesTable[[#This Row],[Order_Date]]),1)</f>
        <v>45839</v>
      </c>
      <c r="AK269" s="8" t="str">
        <f>VLOOKUP(RawSalesTable[[#This Row],[Customer_ID_clean]],CustomersTable[],4,FALSE)</f>
        <v>Ontario</v>
      </c>
    </row>
    <row r="270" spans="1:37">
      <c r="A270" t="s">
        <v>656</v>
      </c>
      <c r="B270" s="3">
        <v>45980</v>
      </c>
      <c r="C270" t="s">
        <v>93</v>
      </c>
      <c r="D270" t="s">
        <v>271</v>
      </c>
      <c r="E270" t="s">
        <v>95</v>
      </c>
      <c r="F270" t="s">
        <v>116</v>
      </c>
      <c r="G270" t="s">
        <v>96</v>
      </c>
      <c r="H270" t="s">
        <v>89</v>
      </c>
      <c r="I270">
        <v>3</v>
      </c>
      <c r="J270" s="2">
        <v>223.29</v>
      </c>
      <c r="K270" s="4">
        <v>0.2</v>
      </c>
      <c r="L270" t="s">
        <v>98</v>
      </c>
      <c r="M270">
        <v>3</v>
      </c>
      <c r="N270" t="s">
        <v>91</v>
      </c>
      <c r="O270" t="str">
        <f>SUBSTITUTE(PROPER(TRIM(RawSalesTable[[#This Row],[Channel_Raw]])), "Market Place", "Marketplace")</f>
        <v>Online</v>
      </c>
      <c r="P270" t="str">
        <f>TRIM(RawSalesTable[[#This Row],[Store_Raw]])</f>
        <v>Toronto Downtown</v>
      </c>
      <c r="Q270" t="str">
        <f>IF(TRIM(RawSalesTable[[#This Row],[Payment_Method_Raw]])="","Non renseigné",SUBSTITUTE(TRIM(RawSalesTable[[#This Row],[Payment_Method_Raw]]),"CC","Credit Card"))</f>
        <v>Debit Card</v>
      </c>
      <c r="R270" s="8" t="str">
        <f>UPPER(PROPER(RawSalesTable[[#This Row],[Customer_ID]]))</f>
        <v>C0084</v>
      </c>
      <c r="S270" s="8" t="str">
        <f>TRIM(LEFT(RawSalesTable[[#This Row],[Customer_Info]],FIND(",",RawSalesTable[[#This Row],[Customer_Info]]) -1))</f>
        <v>Ryan Clark</v>
      </c>
      <c r="T270" s="8" t="str">
        <f>TRIM(MID(RawSalesTable[[#This Row],[Customer_Info]],FIND(",",RawSalesTable[[#This Row],[Customer_Info]])+1,FIND(",",RawSalesTable[[#This Row],[Customer_Info]],FIND(",",RawSalesTable[[#This Row],[Customer_Info]])+1)-FIND(",",RawSalesTable[[#This Row],[Customer_Info]])-1))</f>
        <v>Montreal</v>
      </c>
      <c r="U270" s="8" t="str">
        <f>TRIM(RIGHT(RawSalesTable[[#This Row],[Customer_Info]], LEN(RawSalesTable[[#This Row],[Customer_Info]])-FIND(",",RawSalesTable[[#This Row],[Customer_Info]],FIND(",",RawSalesTable[[#This Row],[Customer_Info]])+1)))</f>
        <v>Corporate</v>
      </c>
      <c r="V270" s="8" t="str">
        <f>VLOOKUP(RawSalesTable[[#This Row],[Product_ID]],ProductsTable[],2,FALSE)</f>
        <v>Resistance Bands</v>
      </c>
      <c r="W270" s="8" t="str">
        <f>VLOOKUP(RawSalesTable[[#This Row],[Product_ID]],ProductsTable[],3,FALSE)</f>
        <v>Fitness</v>
      </c>
      <c r="X270" s="8">
        <f>VLOOKUP(RawSalesTable[[#This Row],[Product_ID]],ProductsTable[],5,FALSE)</f>
        <v>139.19999999999999</v>
      </c>
      <c r="Y270" s="8">
        <f>RawSalesTable[[#This Row],[Quantity]]*RawSalesTable[[#This Row],[Unit_Price]]</f>
        <v>669.87</v>
      </c>
      <c r="Z270" s="8">
        <f>RawSalesTable[[#This Row],[Gross_Sales]]*RawSalesTable[[#This Row],[Discount_Pct]]</f>
        <v>133.97400000000002</v>
      </c>
      <c r="AA270" s="8">
        <f>RawSalesTable[[#This Row],[Gross_Sales]]-RawSalesTable[[#This Row],[Discount_Amount]]</f>
        <v>535.89599999999996</v>
      </c>
      <c r="AB270" s="8">
        <f>RawSalesTable[[#This Row],[Unit_Cost]]*RawSalesTable[[#This Row],[Quantity]]</f>
        <v>417.59999999999997</v>
      </c>
      <c r="AC270" s="8">
        <f>RawSalesTable[[#This Row],[Net_Sales]]-RawSalesTable[[#This Row],[Total_Cost]]</f>
        <v>118.29599999999999</v>
      </c>
      <c r="AD270" s="9">
        <f>RawSalesTable[[#This Row],[Profit]]/RawSalesTable[[#This Row],[Net_Sales]]</f>
        <v>0.22074432352546017</v>
      </c>
      <c r="AE270" s="8">
        <f>IF(RawSalesTable[[#This Row],[Return_Status]]="Yes",1,0)</f>
        <v>0</v>
      </c>
      <c r="AF270" s="8">
        <f>YEAR(RawSalesTable[[#This Row],[Order_Date]])</f>
        <v>2025</v>
      </c>
      <c r="AG270" s="8">
        <f>MONTH(RawSalesTable[[#This Row],[Order_Date]])</f>
        <v>11</v>
      </c>
      <c r="AH270" s="8" t="str">
        <f>TEXT(RawSalesTable[[#This Row],[Order_Date]],"mmmm")</f>
        <v>novembre</v>
      </c>
      <c r="AI270" s="8" t="str">
        <f>IF(RawSalesTable[[#This Row],[Month_Number]]&lt;=3,"Q1",IF(RawSalesTable[[#This Row],[Month_Number]]&lt;=6,"Q2",IF(RawSalesTable[[#This Row],[Month_Number]]&lt;=9,"Q3","Q4")))</f>
        <v>Q4</v>
      </c>
      <c r="AJ270" s="13">
        <f>DATE(YEAR(RawSalesTable[[#This Row],[Order_Date]]),MONTH(RawSalesTable[[#This Row],[Order_Date]]),1)</f>
        <v>45962</v>
      </c>
      <c r="AK270" s="8" t="str">
        <f>VLOOKUP(RawSalesTable[[#This Row],[Customer_ID_clean]],CustomersTable[],4,FALSE)</f>
        <v>Quebec</v>
      </c>
    </row>
    <row r="271" spans="1:37">
      <c r="A271" t="s">
        <v>657</v>
      </c>
      <c r="B271" s="3">
        <v>45780</v>
      </c>
      <c r="C271" t="s">
        <v>313</v>
      </c>
      <c r="D271" t="s">
        <v>94</v>
      </c>
      <c r="E271" t="s">
        <v>314</v>
      </c>
      <c r="F271" t="s">
        <v>103</v>
      </c>
      <c r="G271" t="s">
        <v>130</v>
      </c>
      <c r="H271" t="s">
        <v>233</v>
      </c>
      <c r="I271">
        <v>1</v>
      </c>
      <c r="J271" s="2">
        <v>293.24</v>
      </c>
      <c r="K271" s="4">
        <v>0.1</v>
      </c>
      <c r="L271" t="s">
        <v>90</v>
      </c>
      <c r="M271">
        <v>1</v>
      </c>
      <c r="N271" t="s">
        <v>91</v>
      </c>
      <c r="O271" t="str">
        <f>SUBSTITUTE(PROPER(TRIM(RawSalesTable[[#This Row],[Channel_Raw]])), "Market Place", "Marketplace")</f>
        <v>Retail Store</v>
      </c>
      <c r="P271" t="str">
        <f>TRIM(RawSalesTable[[#This Row],[Store_Raw]])</f>
        <v>Vancouver West</v>
      </c>
      <c r="Q271" t="str">
        <f>IF(TRIM(RawSalesTable[[#This Row],[Payment_Method_Raw]])="","Non renseigné",SUBSTITUTE(TRIM(RawSalesTable[[#This Row],[Payment_Method_Raw]]),"CC","Credit Card"))</f>
        <v>PayPal</v>
      </c>
      <c r="R271" s="8" t="str">
        <f>UPPER(PROPER(RawSalesTable[[#This Row],[Customer_ID]]))</f>
        <v>C0080</v>
      </c>
      <c r="S271" s="8" t="str">
        <f>TRIM(LEFT(RawSalesTable[[#This Row],[Customer_Info]],FIND(",",RawSalesTable[[#This Row],[Customer_Info]]) -1))</f>
        <v>Sarah Smith</v>
      </c>
      <c r="T271" s="8" t="str">
        <f>TRIM(MID(RawSalesTable[[#This Row],[Customer_Info]],FIND(",",RawSalesTable[[#This Row],[Customer_Info]])+1,FIND(",",RawSalesTable[[#This Row],[Customer_Info]],FIND(",",RawSalesTable[[#This Row],[Customer_Info]])+1)-FIND(",",RawSalesTable[[#This Row],[Customer_Info]])-1))</f>
        <v>Mississauga</v>
      </c>
      <c r="U271" s="8" t="str">
        <f>TRIM(RIGHT(RawSalesTable[[#This Row],[Customer_Info]], LEN(RawSalesTable[[#This Row],[Customer_Info]])-FIND(",",RawSalesTable[[#This Row],[Customer_Info]],FIND(",",RawSalesTable[[#This Row],[Customer_Info]])+1)))</f>
        <v>Corporate</v>
      </c>
      <c r="V271" s="8" t="str">
        <f>VLOOKUP(RawSalesTable[[#This Row],[Product_ID]],ProductsTable[],2,FALSE)</f>
        <v>Backpack</v>
      </c>
      <c r="W271" s="8" t="str">
        <f>VLOOKUP(RawSalesTable[[#This Row],[Product_ID]],ProductsTable[],3,FALSE)</f>
        <v>Accessories</v>
      </c>
      <c r="X271" s="8">
        <f>VLOOKUP(RawSalesTable[[#This Row],[Product_ID]],ProductsTable[],5,FALSE)</f>
        <v>152.55000000000001</v>
      </c>
      <c r="Y271" s="8">
        <f>RawSalesTable[[#This Row],[Quantity]]*RawSalesTable[[#This Row],[Unit_Price]]</f>
        <v>293.24</v>
      </c>
      <c r="Z271" s="8">
        <f>RawSalesTable[[#This Row],[Gross_Sales]]*RawSalesTable[[#This Row],[Discount_Pct]]</f>
        <v>29.324000000000002</v>
      </c>
      <c r="AA271" s="8">
        <f>RawSalesTable[[#This Row],[Gross_Sales]]-RawSalesTable[[#This Row],[Discount_Amount]]</f>
        <v>263.916</v>
      </c>
      <c r="AB271" s="8">
        <f>RawSalesTable[[#This Row],[Unit_Cost]]*RawSalesTable[[#This Row],[Quantity]]</f>
        <v>152.55000000000001</v>
      </c>
      <c r="AC271" s="8">
        <f>RawSalesTable[[#This Row],[Net_Sales]]-RawSalesTable[[#This Row],[Total_Cost]]</f>
        <v>111.36599999999999</v>
      </c>
      <c r="AD271" s="9">
        <f>RawSalesTable[[#This Row],[Profit]]/RawSalesTable[[#This Row],[Net_Sales]]</f>
        <v>0.42197517391897416</v>
      </c>
      <c r="AE271" s="8">
        <f>IF(RawSalesTable[[#This Row],[Return_Status]]="Yes",1,0)</f>
        <v>0</v>
      </c>
      <c r="AF271" s="8">
        <f>YEAR(RawSalesTable[[#This Row],[Order_Date]])</f>
        <v>2025</v>
      </c>
      <c r="AG271" s="8">
        <f>MONTH(RawSalesTable[[#This Row],[Order_Date]])</f>
        <v>5</v>
      </c>
      <c r="AH271" s="8" t="str">
        <f>TEXT(RawSalesTable[[#This Row],[Order_Date]],"mmmm")</f>
        <v>mai</v>
      </c>
      <c r="AI271" s="8" t="str">
        <f>IF(RawSalesTable[[#This Row],[Month_Number]]&lt;=3,"Q1",IF(RawSalesTable[[#This Row],[Month_Number]]&lt;=6,"Q2",IF(RawSalesTable[[#This Row],[Month_Number]]&lt;=9,"Q3","Q4")))</f>
        <v>Q2</v>
      </c>
      <c r="AJ271" s="13">
        <f>DATE(YEAR(RawSalesTable[[#This Row],[Order_Date]]),MONTH(RawSalesTable[[#This Row],[Order_Date]]),1)</f>
        <v>45778</v>
      </c>
      <c r="AK271" s="8" t="str">
        <f>VLOOKUP(RawSalesTable[[#This Row],[Customer_ID_clean]],CustomersTable[],4,FALSE)</f>
        <v>Ontario</v>
      </c>
    </row>
    <row r="272" spans="1:37">
      <c r="A272" t="s">
        <v>658</v>
      </c>
      <c r="B272" s="3">
        <v>45685</v>
      </c>
      <c r="C272" t="s">
        <v>569</v>
      </c>
      <c r="D272" t="s">
        <v>217</v>
      </c>
      <c r="E272" t="s">
        <v>570</v>
      </c>
      <c r="F272" t="s">
        <v>116</v>
      </c>
      <c r="G272" t="s">
        <v>122</v>
      </c>
      <c r="H272" t="s">
        <v>97</v>
      </c>
      <c r="I272">
        <v>2</v>
      </c>
      <c r="J272" s="2">
        <v>104.7</v>
      </c>
      <c r="K272" s="4">
        <v>0.15</v>
      </c>
      <c r="L272" t="s">
        <v>90</v>
      </c>
      <c r="M272">
        <v>0</v>
      </c>
      <c r="N272" t="s">
        <v>91</v>
      </c>
      <c r="O272" t="str">
        <f>SUBSTITUTE(PROPER(TRIM(RawSalesTable[[#This Row],[Channel_Raw]])), "Market Place", "Marketplace")</f>
        <v>Retail Store</v>
      </c>
      <c r="P272" t="str">
        <f>TRIM(RawSalesTable[[#This Row],[Store_Raw]])</f>
        <v>Toronto Downtown</v>
      </c>
      <c r="Q272" t="str">
        <f>IF(TRIM(RawSalesTable[[#This Row],[Payment_Method_Raw]])="","Non renseigné",SUBSTITUTE(TRIM(RawSalesTable[[#This Row],[Payment_Method_Raw]]),"CC","Credit Card"))</f>
        <v>PayPal</v>
      </c>
      <c r="R272" s="8" t="str">
        <f>UPPER(PROPER(RawSalesTable[[#This Row],[Customer_ID]]))</f>
        <v>C0087</v>
      </c>
      <c r="S272" s="8" t="str">
        <f>TRIM(LEFT(RawSalesTable[[#This Row],[Customer_Info]],FIND(",",RawSalesTable[[#This Row],[Customer_Info]]) -1))</f>
        <v>Daniel Johnson</v>
      </c>
      <c r="T272" s="8" t="str">
        <f>TRIM(MID(RawSalesTable[[#This Row],[Customer_Info]],FIND(",",RawSalesTable[[#This Row],[Customer_Info]])+1,FIND(",",RawSalesTable[[#This Row],[Customer_Info]],FIND(",",RawSalesTable[[#This Row],[Customer_Info]])+1)-FIND(",",RawSalesTable[[#This Row],[Customer_Info]])-1))</f>
        <v>Halifax</v>
      </c>
      <c r="U272" s="8" t="str">
        <f>TRIM(RIGHT(RawSalesTable[[#This Row],[Customer_Info]], LEN(RawSalesTable[[#This Row],[Customer_Info]])-FIND(",",RawSalesTable[[#This Row],[Customer_Info]],FIND(",",RawSalesTable[[#This Row],[Customer_Info]])+1)))</f>
        <v>Consumer</v>
      </c>
      <c r="V272" s="8" t="str">
        <f>VLOOKUP(RawSalesTable[[#This Row],[Product_ID]],ProductsTable[],2,FALSE)</f>
        <v>USB-C Hub</v>
      </c>
      <c r="W272" s="8" t="str">
        <f>VLOOKUP(RawSalesTable[[#This Row],[Product_ID]],ProductsTable[],3,FALSE)</f>
        <v>Electronics</v>
      </c>
      <c r="X272" s="8">
        <f>VLOOKUP(RawSalesTable[[#This Row],[Product_ID]],ProductsTable[],5,FALSE)</f>
        <v>72</v>
      </c>
      <c r="Y272" s="8">
        <f>RawSalesTable[[#This Row],[Quantity]]*RawSalesTable[[#This Row],[Unit_Price]]</f>
        <v>209.4</v>
      </c>
      <c r="Z272" s="8">
        <f>RawSalesTable[[#This Row],[Gross_Sales]]*RawSalesTable[[#This Row],[Discount_Pct]]</f>
        <v>31.41</v>
      </c>
      <c r="AA272" s="8">
        <f>RawSalesTable[[#This Row],[Gross_Sales]]-RawSalesTable[[#This Row],[Discount_Amount]]</f>
        <v>177.99</v>
      </c>
      <c r="AB272" s="8">
        <f>RawSalesTable[[#This Row],[Unit_Cost]]*RawSalesTable[[#This Row],[Quantity]]</f>
        <v>144</v>
      </c>
      <c r="AC272" s="8">
        <f>RawSalesTable[[#This Row],[Net_Sales]]-RawSalesTable[[#This Row],[Total_Cost]]</f>
        <v>33.990000000000009</v>
      </c>
      <c r="AD272" s="9">
        <f>RawSalesTable[[#This Row],[Profit]]/RawSalesTable[[#This Row],[Net_Sales]]</f>
        <v>0.1909657845946402</v>
      </c>
      <c r="AE272" s="8">
        <f>IF(RawSalesTable[[#This Row],[Return_Status]]="Yes",1,0)</f>
        <v>0</v>
      </c>
      <c r="AF272" s="8">
        <f>YEAR(RawSalesTable[[#This Row],[Order_Date]])</f>
        <v>2025</v>
      </c>
      <c r="AG272" s="8">
        <f>MONTH(RawSalesTable[[#This Row],[Order_Date]])</f>
        <v>1</v>
      </c>
      <c r="AH272" s="8" t="str">
        <f>TEXT(RawSalesTable[[#This Row],[Order_Date]],"mmmm")</f>
        <v>janvier</v>
      </c>
      <c r="AI272" s="8" t="str">
        <f>IF(RawSalesTable[[#This Row],[Month_Number]]&lt;=3,"Q1",IF(RawSalesTable[[#This Row],[Month_Number]]&lt;=6,"Q2",IF(RawSalesTable[[#This Row],[Month_Number]]&lt;=9,"Q3","Q4")))</f>
        <v>Q1</v>
      </c>
      <c r="AJ272" s="13">
        <f>DATE(YEAR(RawSalesTable[[#This Row],[Order_Date]]),MONTH(RawSalesTable[[#This Row],[Order_Date]]),1)</f>
        <v>45658</v>
      </c>
      <c r="AK272" s="8" t="str">
        <f>VLOOKUP(RawSalesTable[[#This Row],[Customer_ID_clean]],CustomersTable[],4,FALSE)</f>
        <v>Nova Scotia</v>
      </c>
    </row>
    <row r="273" spans="1:37">
      <c r="A273" t="s">
        <v>659</v>
      </c>
      <c r="B273" s="3">
        <v>45700</v>
      </c>
      <c r="C273" t="s">
        <v>203</v>
      </c>
      <c r="D273" t="s">
        <v>165</v>
      </c>
      <c r="E273" t="s">
        <v>573</v>
      </c>
      <c r="F273" t="s">
        <v>116</v>
      </c>
      <c r="G273" t="s">
        <v>171</v>
      </c>
      <c r="H273" t="s">
        <v>167</v>
      </c>
      <c r="I273">
        <v>1</v>
      </c>
      <c r="J273" s="2">
        <v>104.04</v>
      </c>
      <c r="K273" s="4">
        <v>0</v>
      </c>
      <c r="L273" t="s">
        <v>98</v>
      </c>
      <c r="M273">
        <v>6</v>
      </c>
      <c r="N273" t="s">
        <v>91</v>
      </c>
      <c r="O273" t="str">
        <f>SUBSTITUTE(PROPER(TRIM(RawSalesTable[[#This Row],[Channel_Raw]])), "Market Place", "Marketplace")</f>
        <v>Marketplace</v>
      </c>
      <c r="P273" t="str">
        <f>TRIM(RawSalesTable[[#This Row],[Store_Raw]])</f>
        <v>Toronto Downtown</v>
      </c>
      <c r="Q273" t="str">
        <f>IF(TRIM(RawSalesTable[[#This Row],[Payment_Method_Raw]])="","Non renseigné",SUBSTITUTE(TRIM(RawSalesTable[[#This Row],[Payment_Method_Raw]]),"CC","Credit Card"))</f>
        <v>Debit Card</v>
      </c>
      <c r="R273" s="8" t="str">
        <f>UPPER(PROPER(RawSalesTable[[#This Row],[Customer_ID]]))</f>
        <v>C0029</v>
      </c>
      <c r="S273" s="8" t="str">
        <f>TRIM(LEFT(RawSalesTable[[#This Row],[Customer_Info]],FIND(",",RawSalesTable[[#This Row],[Customer_Info]]) -1))</f>
        <v>Olivia White</v>
      </c>
      <c r="T273" s="8" t="str">
        <f>TRIM(MID(RawSalesTable[[#This Row],[Customer_Info]],FIND(",",RawSalesTable[[#This Row],[Customer_Info]])+1,FIND(",",RawSalesTable[[#This Row],[Customer_Info]],FIND(",",RawSalesTable[[#This Row],[Customer_Info]])+1)-FIND(",",RawSalesTable[[#This Row],[Customer_Info]])-1))</f>
        <v>Victoria</v>
      </c>
      <c r="U273" s="8" t="str">
        <f>TRIM(RIGHT(RawSalesTable[[#This Row],[Customer_Info]], LEN(RawSalesTable[[#This Row],[Customer_Info]])-FIND(",",RawSalesTable[[#This Row],[Customer_Info]],FIND(",",RawSalesTable[[#This Row],[Customer_Info]])+1)))</f>
        <v>Consumer</v>
      </c>
      <c r="V273" s="8" t="str">
        <f>VLOOKUP(RawSalesTable[[#This Row],[Product_ID]],ProductsTable[],2,FALSE)</f>
        <v>Food Scale</v>
      </c>
      <c r="W273" s="8" t="str">
        <f>VLOOKUP(RawSalesTable[[#This Row],[Product_ID]],ProductsTable[],3,FALSE)</f>
        <v>Home</v>
      </c>
      <c r="X273" s="8">
        <f>VLOOKUP(RawSalesTable[[#This Row],[Product_ID]],ProductsTable[],5,FALSE)</f>
        <v>46.07</v>
      </c>
      <c r="Y273" s="8">
        <f>RawSalesTable[[#This Row],[Quantity]]*RawSalesTable[[#This Row],[Unit_Price]]</f>
        <v>104.04</v>
      </c>
      <c r="Z273" s="8">
        <f>RawSalesTable[[#This Row],[Gross_Sales]]*RawSalesTable[[#This Row],[Discount_Pct]]</f>
        <v>0</v>
      </c>
      <c r="AA273" s="8">
        <f>RawSalesTable[[#This Row],[Gross_Sales]]-RawSalesTable[[#This Row],[Discount_Amount]]</f>
        <v>104.04</v>
      </c>
      <c r="AB273" s="8">
        <f>RawSalesTable[[#This Row],[Unit_Cost]]*RawSalesTable[[#This Row],[Quantity]]</f>
        <v>46.07</v>
      </c>
      <c r="AC273" s="8">
        <f>RawSalesTable[[#This Row],[Net_Sales]]-RawSalesTable[[#This Row],[Total_Cost]]</f>
        <v>57.970000000000006</v>
      </c>
      <c r="AD273" s="9">
        <f>RawSalesTable[[#This Row],[Profit]]/RawSalesTable[[#This Row],[Net_Sales]]</f>
        <v>0.55718954248366015</v>
      </c>
      <c r="AE273" s="8">
        <f>IF(RawSalesTable[[#This Row],[Return_Status]]="Yes",1,0)</f>
        <v>0</v>
      </c>
      <c r="AF273" s="8">
        <f>YEAR(RawSalesTable[[#This Row],[Order_Date]])</f>
        <v>2025</v>
      </c>
      <c r="AG273" s="8">
        <f>MONTH(RawSalesTable[[#This Row],[Order_Date]])</f>
        <v>2</v>
      </c>
      <c r="AH273" s="8" t="str">
        <f>TEXT(RawSalesTable[[#This Row],[Order_Date]],"mmmm")</f>
        <v>février</v>
      </c>
      <c r="AI273" s="8" t="str">
        <f>IF(RawSalesTable[[#This Row],[Month_Number]]&lt;=3,"Q1",IF(RawSalesTable[[#This Row],[Month_Number]]&lt;=6,"Q2",IF(RawSalesTable[[#This Row],[Month_Number]]&lt;=9,"Q3","Q4")))</f>
        <v>Q1</v>
      </c>
      <c r="AJ273" s="13">
        <f>DATE(YEAR(RawSalesTable[[#This Row],[Order_Date]]),MONTH(RawSalesTable[[#This Row],[Order_Date]]),1)</f>
        <v>45689</v>
      </c>
      <c r="AK273" s="8" t="str">
        <f>VLOOKUP(RawSalesTable[[#This Row],[Customer_ID_clean]],CustomersTable[],4,FALSE)</f>
        <v>British Columbia</v>
      </c>
    </row>
    <row r="274" spans="1:37">
      <c r="A274" t="s">
        <v>660</v>
      </c>
      <c r="B274" s="3">
        <v>45918</v>
      </c>
      <c r="C274" t="s">
        <v>661</v>
      </c>
      <c r="D274" t="s">
        <v>418</v>
      </c>
      <c r="E274" t="s">
        <v>662</v>
      </c>
      <c r="F274" t="s">
        <v>111</v>
      </c>
      <c r="G274" t="s">
        <v>183</v>
      </c>
      <c r="H274" t="s">
        <v>97</v>
      </c>
      <c r="I274">
        <v>1</v>
      </c>
      <c r="J274" s="2">
        <v>374.04</v>
      </c>
      <c r="K274" s="4">
        <v>0.1</v>
      </c>
      <c r="L274" t="s">
        <v>98</v>
      </c>
      <c r="M274">
        <v>3</v>
      </c>
      <c r="N274" t="s">
        <v>147</v>
      </c>
      <c r="O274" t="str">
        <f>SUBSTITUTE(PROPER(TRIM(RawSalesTable[[#This Row],[Channel_Raw]])), "Market Place", "Marketplace")</f>
        <v>Retail Store</v>
      </c>
      <c r="P274" t="str">
        <f>TRIM(RawSalesTable[[#This Row],[Store_Raw]])</f>
        <v>Montreal Central</v>
      </c>
      <c r="Q274" t="str">
        <f>IF(TRIM(RawSalesTable[[#This Row],[Payment_Method_Raw]])="","Non renseigné",SUBSTITUTE(TRIM(RawSalesTable[[#This Row],[Payment_Method_Raw]]),"CC","Credit Card"))</f>
        <v>Debit Card</v>
      </c>
      <c r="R274" s="8" t="str">
        <f>UPPER(PROPER(RawSalesTable[[#This Row],[Customer_ID]]))</f>
        <v>C0111</v>
      </c>
      <c r="S274" s="8" t="str">
        <f>TRIM(LEFT(RawSalesTable[[#This Row],[Customer_Info]],FIND(",",RawSalesTable[[#This Row],[Customer_Info]]) -1))</f>
        <v>Noah Khan</v>
      </c>
      <c r="T274" s="8" t="str">
        <f>TRIM(MID(RawSalesTable[[#This Row],[Customer_Info]],FIND(",",RawSalesTable[[#This Row],[Customer_Info]])+1,FIND(",",RawSalesTable[[#This Row],[Customer_Info]],FIND(",",RawSalesTable[[#This Row],[Customer_Info]])+1)-FIND(",",RawSalesTable[[#This Row],[Customer_Info]])-1))</f>
        <v>Halifax</v>
      </c>
      <c r="U274" s="8" t="str">
        <f>TRIM(RIGHT(RawSalesTable[[#This Row],[Customer_Info]], LEN(RawSalesTable[[#This Row],[Customer_Info]])-FIND(",",RawSalesTable[[#This Row],[Customer_Info]],FIND(",",RawSalesTable[[#This Row],[Customer_Info]])+1)))</f>
        <v>Consumer</v>
      </c>
      <c r="V274" s="8" t="str">
        <f>VLOOKUP(RawSalesTable[[#This Row],[Product_ID]],ProductsTable[],2,FALSE)</f>
        <v>Foam Roller</v>
      </c>
      <c r="W274" s="8" t="str">
        <f>VLOOKUP(RawSalesTable[[#This Row],[Product_ID]],ProductsTable[],3,FALSE)</f>
        <v>Fitness</v>
      </c>
      <c r="X274" s="8">
        <f>VLOOKUP(RawSalesTable[[#This Row],[Product_ID]],ProductsTable[],5,FALSE)</f>
        <v>212.02</v>
      </c>
      <c r="Y274" s="8">
        <f>RawSalesTable[[#This Row],[Quantity]]*RawSalesTable[[#This Row],[Unit_Price]]</f>
        <v>374.04</v>
      </c>
      <c r="Z274" s="8">
        <f>RawSalesTable[[#This Row],[Gross_Sales]]*RawSalesTable[[#This Row],[Discount_Pct]]</f>
        <v>37.404000000000003</v>
      </c>
      <c r="AA274" s="8">
        <f>RawSalesTable[[#This Row],[Gross_Sales]]-RawSalesTable[[#This Row],[Discount_Amount]]</f>
        <v>336.63600000000002</v>
      </c>
      <c r="AB274" s="8">
        <f>RawSalesTable[[#This Row],[Unit_Cost]]*RawSalesTable[[#This Row],[Quantity]]</f>
        <v>212.02</v>
      </c>
      <c r="AC274" s="8">
        <f>RawSalesTable[[#This Row],[Net_Sales]]-RawSalesTable[[#This Row],[Total_Cost]]</f>
        <v>124.61600000000001</v>
      </c>
      <c r="AD274" s="9">
        <f>RawSalesTable[[#This Row],[Profit]]/RawSalesTable[[#This Row],[Net_Sales]]</f>
        <v>0.37018025404294252</v>
      </c>
      <c r="AE274" s="8">
        <f>IF(RawSalesTable[[#This Row],[Return_Status]]="Yes",1,0)</f>
        <v>1</v>
      </c>
      <c r="AF274" s="8">
        <f>YEAR(RawSalesTable[[#This Row],[Order_Date]])</f>
        <v>2025</v>
      </c>
      <c r="AG274" s="8">
        <f>MONTH(RawSalesTable[[#This Row],[Order_Date]])</f>
        <v>9</v>
      </c>
      <c r="AH274" s="8" t="str">
        <f>TEXT(RawSalesTable[[#This Row],[Order_Date]],"mmmm")</f>
        <v>septembre</v>
      </c>
      <c r="AI274" s="8" t="str">
        <f>IF(RawSalesTable[[#This Row],[Month_Number]]&lt;=3,"Q1",IF(RawSalesTable[[#This Row],[Month_Number]]&lt;=6,"Q2",IF(RawSalesTable[[#This Row],[Month_Number]]&lt;=9,"Q3","Q4")))</f>
        <v>Q3</v>
      </c>
      <c r="AJ274" s="13">
        <f>DATE(YEAR(RawSalesTable[[#This Row],[Order_Date]]),MONTH(RawSalesTable[[#This Row],[Order_Date]]),1)</f>
        <v>45901</v>
      </c>
      <c r="AK274" s="8" t="str">
        <f>VLOOKUP(RawSalesTable[[#This Row],[Customer_ID_clean]],CustomersTable[],4,FALSE)</f>
        <v>Nova Scotia</v>
      </c>
    </row>
    <row r="275" spans="1:37">
      <c r="A275" t="s">
        <v>663</v>
      </c>
      <c r="B275" s="3">
        <v>45729</v>
      </c>
      <c r="C275" t="s">
        <v>597</v>
      </c>
      <c r="D275" t="s">
        <v>85</v>
      </c>
      <c r="E275" t="s">
        <v>598</v>
      </c>
      <c r="F275" t="s">
        <v>87</v>
      </c>
      <c r="G275" t="s">
        <v>122</v>
      </c>
      <c r="H275" t="s">
        <v>89</v>
      </c>
      <c r="I275">
        <v>3</v>
      </c>
      <c r="J275" s="2">
        <v>313.31</v>
      </c>
      <c r="K275" s="4">
        <v>0.2</v>
      </c>
      <c r="L275" t="s">
        <v>106</v>
      </c>
      <c r="M275">
        <v>2</v>
      </c>
      <c r="N275" t="s">
        <v>91</v>
      </c>
      <c r="O275" t="str">
        <f>SUBSTITUTE(PROPER(TRIM(RawSalesTable[[#This Row],[Channel_Raw]])), "Market Place", "Marketplace")</f>
        <v>Online</v>
      </c>
      <c r="P275" t="str">
        <f>TRIM(RawSalesTable[[#This Row],[Store_Raw]])</f>
        <v>Online Fulfillment</v>
      </c>
      <c r="Q275" t="str">
        <f>IF(TRIM(RawSalesTable[[#This Row],[Payment_Method_Raw]])="","Non renseigné",SUBSTITUTE(TRIM(RawSalesTable[[#This Row],[Payment_Method_Raw]]),"CC","Credit Card"))</f>
        <v>Credit Card</v>
      </c>
      <c r="R275" s="8" t="str">
        <f>UPPER(PROPER(RawSalesTable[[#This Row],[Customer_ID]]))</f>
        <v>C0004</v>
      </c>
      <c r="S275" s="8" t="str">
        <f>TRIM(LEFT(RawSalesTable[[#This Row],[Customer_Info]],FIND(",",RawSalesTable[[#This Row],[Customer_Info]]) -1))</f>
        <v>Mia Bennett</v>
      </c>
      <c r="T275" s="8" t="str">
        <f>TRIM(MID(RawSalesTable[[#This Row],[Customer_Info]],FIND(",",RawSalesTable[[#This Row],[Customer_Info]])+1,FIND(",",RawSalesTable[[#This Row],[Customer_Info]],FIND(",",RawSalesTable[[#This Row],[Customer_Info]])+1)-FIND(",",RawSalesTable[[#This Row],[Customer_Info]])-1))</f>
        <v>Laval</v>
      </c>
      <c r="U275" s="8" t="str">
        <f>TRIM(RIGHT(RawSalesTable[[#This Row],[Customer_Info]], LEN(RawSalesTable[[#This Row],[Customer_Info]])-FIND(",",RawSalesTable[[#This Row],[Customer_Info]],FIND(",",RawSalesTable[[#This Row],[Customer_Info]])+1)))</f>
        <v>Consumer</v>
      </c>
      <c r="V275" s="8" t="str">
        <f>VLOOKUP(RawSalesTable[[#This Row],[Product_ID]],ProductsTable[],2,FALSE)</f>
        <v>Yoga Mat</v>
      </c>
      <c r="W275" s="8" t="str">
        <f>VLOOKUP(RawSalesTable[[#This Row],[Product_ID]],ProductsTable[],3,FALSE)</f>
        <v>Fitness</v>
      </c>
      <c r="X275" s="8">
        <f>VLOOKUP(RawSalesTable[[#This Row],[Product_ID]],ProductsTable[],5,FALSE)</f>
        <v>197.33</v>
      </c>
      <c r="Y275" s="8">
        <f>RawSalesTable[[#This Row],[Quantity]]*RawSalesTable[[#This Row],[Unit_Price]]</f>
        <v>939.93000000000006</v>
      </c>
      <c r="Z275" s="8">
        <f>RawSalesTable[[#This Row],[Gross_Sales]]*RawSalesTable[[#This Row],[Discount_Pct]]</f>
        <v>187.98600000000002</v>
      </c>
      <c r="AA275" s="8">
        <f>RawSalesTable[[#This Row],[Gross_Sales]]-RawSalesTable[[#This Row],[Discount_Amount]]</f>
        <v>751.94400000000007</v>
      </c>
      <c r="AB275" s="8">
        <f>RawSalesTable[[#This Row],[Unit_Cost]]*RawSalesTable[[#This Row],[Quantity]]</f>
        <v>591.99</v>
      </c>
      <c r="AC275" s="8">
        <f>RawSalesTable[[#This Row],[Net_Sales]]-RawSalesTable[[#This Row],[Total_Cost]]</f>
        <v>159.95400000000006</v>
      </c>
      <c r="AD275" s="9">
        <f>RawSalesTable[[#This Row],[Profit]]/RawSalesTable[[#This Row],[Net_Sales]]</f>
        <v>0.21272062813188222</v>
      </c>
      <c r="AE275" s="8">
        <f>IF(RawSalesTable[[#This Row],[Return_Status]]="Yes",1,0)</f>
        <v>0</v>
      </c>
      <c r="AF275" s="8">
        <f>YEAR(RawSalesTable[[#This Row],[Order_Date]])</f>
        <v>2025</v>
      </c>
      <c r="AG275" s="8">
        <f>MONTH(RawSalesTable[[#This Row],[Order_Date]])</f>
        <v>3</v>
      </c>
      <c r="AH275" s="8" t="str">
        <f>TEXT(RawSalesTable[[#This Row],[Order_Date]],"mmmm")</f>
        <v>mars</v>
      </c>
      <c r="AI275" s="8" t="str">
        <f>IF(RawSalesTable[[#This Row],[Month_Number]]&lt;=3,"Q1",IF(RawSalesTable[[#This Row],[Month_Number]]&lt;=6,"Q2",IF(RawSalesTable[[#This Row],[Month_Number]]&lt;=9,"Q3","Q4")))</f>
        <v>Q1</v>
      </c>
      <c r="AJ275" s="13">
        <f>DATE(YEAR(RawSalesTable[[#This Row],[Order_Date]]),MONTH(RawSalesTable[[#This Row],[Order_Date]]),1)</f>
        <v>45717</v>
      </c>
      <c r="AK275" s="8" t="str">
        <f>VLOOKUP(RawSalesTable[[#This Row],[Customer_ID_clean]],CustomersTable[],4,FALSE)</f>
        <v>Quebec</v>
      </c>
    </row>
    <row r="276" spans="1:37">
      <c r="A276" t="s">
        <v>664</v>
      </c>
      <c r="B276" s="3">
        <v>45945</v>
      </c>
      <c r="C276" t="s">
        <v>316</v>
      </c>
      <c r="D276" t="s">
        <v>136</v>
      </c>
      <c r="E276" t="s">
        <v>317</v>
      </c>
      <c r="F276" t="s">
        <v>111</v>
      </c>
      <c r="G276" t="s">
        <v>183</v>
      </c>
      <c r="H276" t="s">
        <v>97</v>
      </c>
      <c r="I276">
        <v>5</v>
      </c>
      <c r="J276" s="2">
        <v>150.72999999999999</v>
      </c>
      <c r="K276" s="4">
        <v>0.05</v>
      </c>
      <c r="L276" t="s">
        <v>90</v>
      </c>
      <c r="M276">
        <v>2</v>
      </c>
      <c r="N276" t="s">
        <v>91</v>
      </c>
      <c r="O276" t="str">
        <f>SUBSTITUTE(PROPER(TRIM(RawSalesTable[[#This Row],[Channel_Raw]])), "Market Place", "Marketplace")</f>
        <v>Retail Store</v>
      </c>
      <c r="P276" t="str">
        <f>TRIM(RawSalesTable[[#This Row],[Store_Raw]])</f>
        <v>Montreal Central</v>
      </c>
      <c r="Q276" t="str">
        <f>IF(TRIM(RawSalesTable[[#This Row],[Payment_Method_Raw]])="","Non renseigné",SUBSTITUTE(TRIM(RawSalesTable[[#This Row],[Payment_Method_Raw]]),"CC","Credit Card"))</f>
        <v>PayPal</v>
      </c>
      <c r="R276" s="8" t="str">
        <f>UPPER(PROPER(RawSalesTable[[#This Row],[Customer_ID]]))</f>
        <v>C0075</v>
      </c>
      <c r="S276" s="8" t="str">
        <f>TRIM(LEFT(RawSalesTable[[#This Row],[Customer_Info]],FIND(",",RawSalesTable[[#This Row],[Customer_Info]]) -1))</f>
        <v>Amelia Wilson</v>
      </c>
      <c r="T276" s="8" t="str">
        <f>TRIM(MID(RawSalesTable[[#This Row],[Customer_Info]],FIND(",",RawSalesTable[[#This Row],[Customer_Info]])+1,FIND(",",RawSalesTable[[#This Row],[Customer_Info]],FIND(",",RawSalesTable[[#This Row],[Customer_Info]])+1)-FIND(",",RawSalesTable[[#This Row],[Customer_Info]])-1))</f>
        <v>Vancouver</v>
      </c>
      <c r="U276" s="8" t="str">
        <f>TRIM(RIGHT(RawSalesTable[[#This Row],[Customer_Info]], LEN(RawSalesTable[[#This Row],[Customer_Info]])-FIND(",",RawSalesTable[[#This Row],[Customer_Info]],FIND(",",RawSalesTable[[#This Row],[Customer_Info]])+1)))</f>
        <v>Consumer</v>
      </c>
      <c r="V276" s="8" t="str">
        <f>VLOOKUP(RawSalesTable[[#This Row],[Product_ID]],ProductsTable[],2,FALSE)</f>
        <v>Mouse</v>
      </c>
      <c r="W276" s="8" t="str">
        <f>VLOOKUP(RawSalesTable[[#This Row],[Product_ID]],ProductsTable[],3,FALSE)</f>
        <v>Electronics</v>
      </c>
      <c r="X276" s="8">
        <f>VLOOKUP(RawSalesTable[[#This Row],[Product_ID]],ProductsTable[],5,FALSE)</f>
        <v>106.4</v>
      </c>
      <c r="Y276" s="8">
        <f>RawSalesTable[[#This Row],[Quantity]]*RawSalesTable[[#This Row],[Unit_Price]]</f>
        <v>753.65</v>
      </c>
      <c r="Z276" s="8">
        <f>RawSalesTable[[#This Row],[Gross_Sales]]*RawSalesTable[[#This Row],[Discount_Pct]]</f>
        <v>37.682499999999997</v>
      </c>
      <c r="AA276" s="8">
        <f>RawSalesTable[[#This Row],[Gross_Sales]]-RawSalesTable[[#This Row],[Discount_Amount]]</f>
        <v>715.96749999999997</v>
      </c>
      <c r="AB276" s="8">
        <f>RawSalesTable[[#This Row],[Unit_Cost]]*RawSalesTable[[#This Row],[Quantity]]</f>
        <v>532</v>
      </c>
      <c r="AC276" s="8">
        <f>RawSalesTable[[#This Row],[Net_Sales]]-RawSalesTable[[#This Row],[Total_Cost]]</f>
        <v>183.96749999999997</v>
      </c>
      <c r="AD276" s="9">
        <f>RawSalesTable[[#This Row],[Profit]]/RawSalesTable[[#This Row],[Net_Sales]]</f>
        <v>0.25694951237311747</v>
      </c>
      <c r="AE276" s="8">
        <f>IF(RawSalesTable[[#This Row],[Return_Status]]="Yes",1,0)</f>
        <v>0</v>
      </c>
      <c r="AF276" s="8">
        <f>YEAR(RawSalesTable[[#This Row],[Order_Date]])</f>
        <v>2025</v>
      </c>
      <c r="AG276" s="8">
        <f>MONTH(RawSalesTable[[#This Row],[Order_Date]])</f>
        <v>10</v>
      </c>
      <c r="AH276" s="8" t="str">
        <f>TEXT(RawSalesTable[[#This Row],[Order_Date]],"mmmm")</f>
        <v>octobre</v>
      </c>
      <c r="AI276" s="8" t="str">
        <f>IF(RawSalesTable[[#This Row],[Month_Number]]&lt;=3,"Q1",IF(RawSalesTable[[#This Row],[Month_Number]]&lt;=6,"Q2",IF(RawSalesTable[[#This Row],[Month_Number]]&lt;=9,"Q3","Q4")))</f>
        <v>Q4</v>
      </c>
      <c r="AJ276" s="13">
        <f>DATE(YEAR(RawSalesTable[[#This Row],[Order_Date]]),MONTH(RawSalesTable[[#This Row],[Order_Date]]),1)</f>
        <v>45931</v>
      </c>
      <c r="AK276" s="8" t="str">
        <f>VLOOKUP(RawSalesTable[[#This Row],[Customer_ID_clean]],CustomersTable[],4,FALSE)</f>
        <v>British Columbia</v>
      </c>
    </row>
    <row r="277" spans="1:37">
      <c r="A277" t="s">
        <v>665</v>
      </c>
      <c r="B277" s="3">
        <v>45854</v>
      </c>
      <c r="C277" t="s">
        <v>480</v>
      </c>
      <c r="D277" t="s">
        <v>165</v>
      </c>
      <c r="E277" t="s">
        <v>481</v>
      </c>
      <c r="F277" t="s">
        <v>103</v>
      </c>
      <c r="G277" t="s">
        <v>122</v>
      </c>
      <c r="H277" t="s">
        <v>97</v>
      </c>
      <c r="I277">
        <v>5</v>
      </c>
      <c r="J277" s="2">
        <v>102.86</v>
      </c>
      <c r="K277" s="4">
        <v>0.05</v>
      </c>
      <c r="L277" t="s">
        <v>106</v>
      </c>
      <c r="M277">
        <v>2</v>
      </c>
      <c r="N277" t="s">
        <v>91</v>
      </c>
      <c r="O277" t="str">
        <f>SUBSTITUTE(PROPER(TRIM(RawSalesTable[[#This Row],[Channel_Raw]])), "Market Place", "Marketplace")</f>
        <v>Retail Store</v>
      </c>
      <c r="P277" t="str">
        <f>TRIM(RawSalesTable[[#This Row],[Store_Raw]])</f>
        <v>Vancouver West</v>
      </c>
      <c r="Q277" t="str">
        <f>IF(TRIM(RawSalesTable[[#This Row],[Payment_Method_Raw]])="","Non renseigné",SUBSTITUTE(TRIM(RawSalesTable[[#This Row],[Payment_Method_Raw]]),"CC","Credit Card"))</f>
        <v>Credit Card</v>
      </c>
      <c r="R277" s="8" t="str">
        <f>UPPER(PROPER(RawSalesTable[[#This Row],[Customer_ID]]))</f>
        <v>C0053</v>
      </c>
      <c r="S277" s="8" t="str">
        <f>TRIM(LEFT(RawSalesTable[[#This Row],[Customer_Info]],FIND(",",RawSalesTable[[#This Row],[Customer_Info]]) -1))</f>
        <v>Ryan Lee</v>
      </c>
      <c r="T277" s="8" t="str">
        <f>TRIM(MID(RawSalesTable[[#This Row],[Customer_Info]],FIND(",",RawSalesTable[[#This Row],[Customer_Info]])+1,FIND(",",RawSalesTable[[#This Row],[Customer_Info]],FIND(",",RawSalesTable[[#This Row],[Customer_Info]])+1)-FIND(",",RawSalesTable[[#This Row],[Customer_Info]])-1))</f>
        <v>Laval</v>
      </c>
      <c r="U277" s="8" t="str">
        <f>TRIM(RIGHT(RawSalesTable[[#This Row],[Customer_Info]], LEN(RawSalesTable[[#This Row],[Customer_Info]])-FIND(",",RawSalesTable[[#This Row],[Customer_Info]],FIND(",",RawSalesTable[[#This Row],[Customer_Info]])+1)))</f>
        <v>Consumer</v>
      </c>
      <c r="V277" s="8" t="str">
        <f>VLOOKUP(RawSalesTable[[#This Row],[Product_ID]],ProductsTable[],2,FALSE)</f>
        <v>Food Scale</v>
      </c>
      <c r="W277" s="8" t="str">
        <f>VLOOKUP(RawSalesTable[[#This Row],[Product_ID]],ProductsTable[],3,FALSE)</f>
        <v>Home</v>
      </c>
      <c r="X277" s="8">
        <f>VLOOKUP(RawSalesTable[[#This Row],[Product_ID]],ProductsTable[],5,FALSE)</f>
        <v>46.07</v>
      </c>
      <c r="Y277" s="8">
        <f>RawSalesTable[[#This Row],[Quantity]]*RawSalesTable[[#This Row],[Unit_Price]]</f>
        <v>514.29999999999995</v>
      </c>
      <c r="Z277" s="8">
        <f>RawSalesTable[[#This Row],[Gross_Sales]]*RawSalesTable[[#This Row],[Discount_Pct]]</f>
        <v>25.715</v>
      </c>
      <c r="AA277" s="8">
        <f>RawSalesTable[[#This Row],[Gross_Sales]]-RawSalesTable[[#This Row],[Discount_Amount]]</f>
        <v>488.58499999999998</v>
      </c>
      <c r="AB277" s="8">
        <f>RawSalesTable[[#This Row],[Unit_Cost]]*RawSalesTable[[#This Row],[Quantity]]</f>
        <v>230.35</v>
      </c>
      <c r="AC277" s="8">
        <f>RawSalesTable[[#This Row],[Net_Sales]]-RawSalesTable[[#This Row],[Total_Cost]]</f>
        <v>258.23500000000001</v>
      </c>
      <c r="AD277" s="9">
        <f>RawSalesTable[[#This Row],[Profit]]/RawSalesTable[[#This Row],[Net_Sales]]</f>
        <v>0.52853648802153164</v>
      </c>
      <c r="AE277" s="8">
        <f>IF(RawSalesTable[[#This Row],[Return_Status]]="Yes",1,0)</f>
        <v>0</v>
      </c>
      <c r="AF277" s="8">
        <f>YEAR(RawSalesTable[[#This Row],[Order_Date]])</f>
        <v>2025</v>
      </c>
      <c r="AG277" s="8">
        <f>MONTH(RawSalesTable[[#This Row],[Order_Date]])</f>
        <v>7</v>
      </c>
      <c r="AH277" s="8" t="str">
        <f>TEXT(RawSalesTable[[#This Row],[Order_Date]],"mmmm")</f>
        <v>juillet</v>
      </c>
      <c r="AI277" s="8" t="str">
        <f>IF(RawSalesTable[[#This Row],[Month_Number]]&lt;=3,"Q1",IF(RawSalesTable[[#This Row],[Month_Number]]&lt;=6,"Q2",IF(RawSalesTable[[#This Row],[Month_Number]]&lt;=9,"Q3","Q4")))</f>
        <v>Q3</v>
      </c>
      <c r="AJ277" s="13">
        <f>DATE(YEAR(RawSalesTable[[#This Row],[Order_Date]]),MONTH(RawSalesTable[[#This Row],[Order_Date]]),1)</f>
        <v>45839</v>
      </c>
      <c r="AK277" s="8" t="str">
        <f>VLOOKUP(RawSalesTable[[#This Row],[Customer_ID_clean]],CustomersTable[],4,FALSE)</f>
        <v>Quebec</v>
      </c>
    </row>
    <row r="278" spans="1:37">
      <c r="A278" t="s">
        <v>666</v>
      </c>
      <c r="B278" s="3">
        <v>45827</v>
      </c>
      <c r="C278" t="s">
        <v>438</v>
      </c>
      <c r="D278" t="s">
        <v>190</v>
      </c>
      <c r="E278" t="s">
        <v>439</v>
      </c>
      <c r="F278" t="s">
        <v>111</v>
      </c>
      <c r="G278" t="s">
        <v>117</v>
      </c>
      <c r="H278" t="s">
        <v>97</v>
      </c>
      <c r="I278">
        <v>3</v>
      </c>
      <c r="J278" s="2">
        <v>275.74</v>
      </c>
      <c r="K278" s="4">
        <v>0.1</v>
      </c>
      <c r="L278" t="s">
        <v>353</v>
      </c>
      <c r="M278">
        <v>3</v>
      </c>
      <c r="N278" t="s">
        <v>91</v>
      </c>
      <c r="O278" t="str">
        <f>SUBSTITUTE(PROPER(TRIM(RawSalesTable[[#This Row],[Channel_Raw]])), "Market Place", "Marketplace")</f>
        <v>Retail Store</v>
      </c>
      <c r="P278" t="str">
        <f>TRIM(RawSalesTable[[#This Row],[Store_Raw]])</f>
        <v>Montreal Central</v>
      </c>
      <c r="Q278" t="str">
        <f>IF(TRIM(RawSalesTable[[#This Row],[Payment_Method_Raw]])="","Non renseigné",SUBSTITUTE(TRIM(RawSalesTable[[#This Row],[Payment_Method_Raw]]),"CC","Credit Card"))</f>
        <v>Credit Card</v>
      </c>
      <c r="R278" s="8" t="str">
        <f>UPPER(PROPER(RawSalesTable[[#This Row],[Customer_ID]]))</f>
        <v>C0028</v>
      </c>
      <c r="S278" s="8" t="str">
        <f>TRIM(LEFT(RawSalesTable[[#This Row],[Customer_Info]],FIND(",",RawSalesTable[[#This Row],[Customer_Info]]) -1))</f>
        <v>Mia Clark</v>
      </c>
      <c r="T278" s="8" t="str">
        <f>TRIM(MID(RawSalesTable[[#This Row],[Customer_Info]],FIND(",",RawSalesTable[[#This Row],[Customer_Info]])+1,FIND(",",RawSalesTable[[#This Row],[Customer_Info]],FIND(",",RawSalesTable[[#This Row],[Customer_Info]])+1)-FIND(",",RawSalesTable[[#This Row],[Customer_Info]])-1))</f>
        <v>Victoria</v>
      </c>
      <c r="U278" s="8" t="str">
        <f>TRIM(RIGHT(RawSalesTable[[#This Row],[Customer_Info]], LEN(RawSalesTable[[#This Row],[Customer_Info]])-FIND(",",RawSalesTable[[#This Row],[Customer_Info]],FIND(",",RawSalesTable[[#This Row],[Customer_Info]])+1)))</f>
        <v>Consumer</v>
      </c>
      <c r="V278" s="8" t="str">
        <f>VLOOKUP(RawSalesTable[[#This Row],[Product_ID]],ProductsTable[],2,FALSE)</f>
        <v>Webcam</v>
      </c>
      <c r="W278" s="8" t="str">
        <f>VLOOKUP(RawSalesTable[[#This Row],[Product_ID]],ProductsTable[],3,FALSE)</f>
        <v>Electronics</v>
      </c>
      <c r="X278" s="8">
        <f>VLOOKUP(RawSalesTable[[#This Row],[Product_ID]],ProductsTable[],5,FALSE)</f>
        <v>154.72999999999999</v>
      </c>
      <c r="Y278" s="8">
        <f>RawSalesTable[[#This Row],[Quantity]]*RawSalesTable[[#This Row],[Unit_Price]]</f>
        <v>827.22</v>
      </c>
      <c r="Z278" s="8">
        <f>RawSalesTable[[#This Row],[Gross_Sales]]*RawSalesTable[[#This Row],[Discount_Pct]]</f>
        <v>82.722000000000008</v>
      </c>
      <c r="AA278" s="8">
        <f>RawSalesTable[[#This Row],[Gross_Sales]]-RawSalesTable[[#This Row],[Discount_Amount]]</f>
        <v>744.49800000000005</v>
      </c>
      <c r="AB278" s="8">
        <f>RawSalesTable[[#This Row],[Unit_Cost]]*RawSalesTable[[#This Row],[Quantity]]</f>
        <v>464.18999999999994</v>
      </c>
      <c r="AC278" s="8">
        <f>RawSalesTable[[#This Row],[Net_Sales]]-RawSalesTable[[#This Row],[Total_Cost]]</f>
        <v>280.30800000000011</v>
      </c>
      <c r="AD278" s="9">
        <f>RawSalesTable[[#This Row],[Profit]]/RawSalesTable[[#This Row],[Net_Sales]]</f>
        <v>0.37650604837084867</v>
      </c>
      <c r="AE278" s="8">
        <f>IF(RawSalesTable[[#This Row],[Return_Status]]="Yes",1,0)</f>
        <v>0</v>
      </c>
      <c r="AF278" s="8">
        <f>YEAR(RawSalesTable[[#This Row],[Order_Date]])</f>
        <v>2025</v>
      </c>
      <c r="AG278" s="8">
        <f>MONTH(RawSalesTable[[#This Row],[Order_Date]])</f>
        <v>6</v>
      </c>
      <c r="AH278" s="8" t="str">
        <f>TEXT(RawSalesTable[[#This Row],[Order_Date]],"mmmm")</f>
        <v>juin</v>
      </c>
      <c r="AI278" s="8" t="str">
        <f>IF(RawSalesTable[[#This Row],[Month_Number]]&lt;=3,"Q1",IF(RawSalesTable[[#This Row],[Month_Number]]&lt;=6,"Q2",IF(RawSalesTable[[#This Row],[Month_Number]]&lt;=9,"Q3","Q4")))</f>
        <v>Q2</v>
      </c>
      <c r="AJ278" s="13">
        <f>DATE(YEAR(RawSalesTable[[#This Row],[Order_Date]]),MONTH(RawSalesTable[[#This Row],[Order_Date]]),1)</f>
        <v>45809</v>
      </c>
      <c r="AK278" s="8" t="str">
        <f>VLOOKUP(RawSalesTable[[#This Row],[Customer_ID_clean]],CustomersTable[],4,FALSE)</f>
        <v>British Columbia</v>
      </c>
    </row>
    <row r="279" spans="1:37">
      <c r="A279" t="s">
        <v>667</v>
      </c>
      <c r="B279" s="3">
        <v>45957</v>
      </c>
      <c r="C279" t="s">
        <v>427</v>
      </c>
      <c r="D279" t="s">
        <v>94</v>
      </c>
      <c r="E279" t="s">
        <v>428</v>
      </c>
      <c r="F279" t="s">
        <v>116</v>
      </c>
      <c r="G279" t="s">
        <v>117</v>
      </c>
      <c r="H279" t="s">
        <v>97</v>
      </c>
      <c r="I279">
        <v>1</v>
      </c>
      <c r="J279" s="2">
        <v>290.17</v>
      </c>
      <c r="K279" s="4">
        <v>0.15</v>
      </c>
      <c r="L279" t="s">
        <v>106</v>
      </c>
      <c r="M279">
        <v>4</v>
      </c>
      <c r="N279" t="s">
        <v>91</v>
      </c>
      <c r="O279" t="str">
        <f>SUBSTITUTE(PROPER(TRIM(RawSalesTable[[#This Row],[Channel_Raw]])), "Market Place", "Marketplace")</f>
        <v>Retail Store</v>
      </c>
      <c r="P279" t="str">
        <f>TRIM(RawSalesTable[[#This Row],[Store_Raw]])</f>
        <v>Toronto Downtown</v>
      </c>
      <c r="Q279" t="str">
        <f>IF(TRIM(RawSalesTable[[#This Row],[Payment_Method_Raw]])="","Non renseigné",SUBSTITUTE(TRIM(RawSalesTable[[#This Row],[Payment_Method_Raw]]),"CC","Credit Card"))</f>
        <v>Credit Card</v>
      </c>
      <c r="R279" s="8" t="str">
        <f>UPPER(PROPER(RawSalesTable[[#This Row],[Customer_ID]]))</f>
        <v>C0062</v>
      </c>
      <c r="S279" s="8" t="str">
        <f>TRIM(LEFT(RawSalesTable[[#This Row],[Customer_Info]],FIND(",",RawSalesTable[[#This Row],[Customer_Info]]) -1))</f>
        <v>Yasmine Scott</v>
      </c>
      <c r="T279" s="8" t="str">
        <f>TRIM(MID(RawSalesTable[[#This Row],[Customer_Info]],FIND(",",RawSalesTable[[#This Row],[Customer_Info]])+1,FIND(",",RawSalesTable[[#This Row],[Customer_Info]],FIND(",",RawSalesTable[[#This Row],[Customer_Info]])+1)-FIND(",",RawSalesTable[[#This Row],[Customer_Info]])-1))</f>
        <v>Toronto</v>
      </c>
      <c r="U279" s="8" t="str">
        <f>TRIM(RIGHT(RawSalesTable[[#This Row],[Customer_Info]], LEN(RawSalesTable[[#This Row],[Customer_Info]])-FIND(",",RawSalesTable[[#This Row],[Customer_Info]],FIND(",",RawSalesTable[[#This Row],[Customer_Info]])+1)))</f>
        <v>Consumer</v>
      </c>
      <c r="V279" s="8" t="str">
        <f>VLOOKUP(RawSalesTable[[#This Row],[Product_ID]],ProductsTable[],2,FALSE)</f>
        <v>Backpack</v>
      </c>
      <c r="W279" s="8" t="str">
        <f>VLOOKUP(RawSalesTable[[#This Row],[Product_ID]],ProductsTable[],3,FALSE)</f>
        <v>Accessories</v>
      </c>
      <c r="X279" s="8">
        <f>VLOOKUP(RawSalesTable[[#This Row],[Product_ID]],ProductsTable[],5,FALSE)</f>
        <v>152.55000000000001</v>
      </c>
      <c r="Y279" s="8">
        <f>RawSalesTable[[#This Row],[Quantity]]*RawSalesTable[[#This Row],[Unit_Price]]</f>
        <v>290.17</v>
      </c>
      <c r="Z279" s="8">
        <f>RawSalesTable[[#This Row],[Gross_Sales]]*RawSalesTable[[#This Row],[Discount_Pct]]</f>
        <v>43.525500000000001</v>
      </c>
      <c r="AA279" s="8">
        <f>RawSalesTable[[#This Row],[Gross_Sales]]-RawSalesTable[[#This Row],[Discount_Amount]]</f>
        <v>246.64450000000002</v>
      </c>
      <c r="AB279" s="8">
        <f>RawSalesTable[[#This Row],[Unit_Cost]]*RawSalesTable[[#This Row],[Quantity]]</f>
        <v>152.55000000000001</v>
      </c>
      <c r="AC279" s="8">
        <f>RawSalesTable[[#This Row],[Net_Sales]]-RawSalesTable[[#This Row],[Total_Cost]]</f>
        <v>94.094500000000011</v>
      </c>
      <c r="AD279" s="9">
        <f>RawSalesTable[[#This Row],[Profit]]/RawSalesTable[[#This Row],[Net_Sales]]</f>
        <v>0.38149847249786639</v>
      </c>
      <c r="AE279" s="8">
        <f>IF(RawSalesTable[[#This Row],[Return_Status]]="Yes",1,0)</f>
        <v>0</v>
      </c>
      <c r="AF279" s="8">
        <f>YEAR(RawSalesTable[[#This Row],[Order_Date]])</f>
        <v>2025</v>
      </c>
      <c r="AG279" s="8">
        <f>MONTH(RawSalesTable[[#This Row],[Order_Date]])</f>
        <v>10</v>
      </c>
      <c r="AH279" s="8" t="str">
        <f>TEXT(RawSalesTable[[#This Row],[Order_Date]],"mmmm")</f>
        <v>octobre</v>
      </c>
      <c r="AI279" s="8" t="str">
        <f>IF(RawSalesTable[[#This Row],[Month_Number]]&lt;=3,"Q1",IF(RawSalesTable[[#This Row],[Month_Number]]&lt;=6,"Q2",IF(RawSalesTable[[#This Row],[Month_Number]]&lt;=9,"Q3","Q4")))</f>
        <v>Q4</v>
      </c>
      <c r="AJ279" s="13">
        <f>DATE(YEAR(RawSalesTable[[#This Row],[Order_Date]]),MONTH(RawSalesTable[[#This Row],[Order_Date]]),1)</f>
        <v>45931</v>
      </c>
      <c r="AK279" s="8" t="str">
        <f>VLOOKUP(RawSalesTable[[#This Row],[Customer_ID_clean]],CustomersTable[],4,FALSE)</f>
        <v>Ontario</v>
      </c>
    </row>
    <row r="280" spans="1:37">
      <c r="A280" t="s">
        <v>668</v>
      </c>
      <c r="B280" s="3">
        <v>45936</v>
      </c>
      <c r="C280" t="s">
        <v>203</v>
      </c>
      <c r="D280" t="s">
        <v>346</v>
      </c>
      <c r="E280" t="s">
        <v>573</v>
      </c>
      <c r="F280" t="s">
        <v>116</v>
      </c>
      <c r="G280" t="s">
        <v>104</v>
      </c>
      <c r="H280" t="s">
        <v>97</v>
      </c>
      <c r="I280">
        <v>2</v>
      </c>
      <c r="J280" s="2">
        <v>250.11</v>
      </c>
      <c r="K280" s="4">
        <v>0</v>
      </c>
      <c r="L280" t="s">
        <v>98</v>
      </c>
      <c r="M280">
        <v>2</v>
      </c>
      <c r="N280" t="s">
        <v>91</v>
      </c>
      <c r="O280" t="str">
        <f>SUBSTITUTE(PROPER(TRIM(RawSalesTable[[#This Row],[Channel_Raw]])), "Market Place", "Marketplace")</f>
        <v>Retail Store</v>
      </c>
      <c r="P280" t="str">
        <f>TRIM(RawSalesTable[[#This Row],[Store_Raw]])</f>
        <v>Toronto Downtown</v>
      </c>
      <c r="Q280" t="str">
        <f>IF(TRIM(RawSalesTable[[#This Row],[Payment_Method_Raw]])="","Non renseigné",SUBSTITUTE(TRIM(RawSalesTable[[#This Row],[Payment_Method_Raw]]),"CC","Credit Card"))</f>
        <v>Debit Card</v>
      </c>
      <c r="R280" s="8" t="str">
        <f>UPPER(PROPER(RawSalesTable[[#This Row],[Customer_ID]]))</f>
        <v>C0029</v>
      </c>
      <c r="S280" s="8" t="str">
        <f>TRIM(LEFT(RawSalesTable[[#This Row],[Customer_Info]],FIND(",",RawSalesTable[[#This Row],[Customer_Info]]) -1))</f>
        <v>Olivia White</v>
      </c>
      <c r="T280" s="8" t="str">
        <f>TRIM(MID(RawSalesTable[[#This Row],[Customer_Info]],FIND(",",RawSalesTable[[#This Row],[Customer_Info]])+1,FIND(",",RawSalesTable[[#This Row],[Customer_Info]],FIND(",",RawSalesTable[[#This Row],[Customer_Info]])+1)-FIND(",",RawSalesTable[[#This Row],[Customer_Info]])-1))</f>
        <v>Victoria</v>
      </c>
      <c r="U280" s="8" t="str">
        <f>TRIM(RIGHT(RawSalesTable[[#This Row],[Customer_Info]], LEN(RawSalesTable[[#This Row],[Customer_Info]])-FIND(",",RawSalesTable[[#This Row],[Customer_Info]],FIND(",",RawSalesTable[[#This Row],[Customer_Info]])+1)))</f>
        <v>Consumer</v>
      </c>
      <c r="V280" s="8" t="str">
        <f>VLOOKUP(RawSalesTable[[#This Row],[Product_ID]],ProductsTable[],2,FALSE)</f>
        <v>Pull-up Bar</v>
      </c>
      <c r="W280" s="8" t="str">
        <f>VLOOKUP(RawSalesTable[[#This Row],[Product_ID]],ProductsTable[],3,FALSE)</f>
        <v>Fitness</v>
      </c>
      <c r="X280" s="8">
        <f>VLOOKUP(RawSalesTable[[#This Row],[Product_ID]],ProductsTable[],5,FALSE)</f>
        <v>125.4</v>
      </c>
      <c r="Y280" s="8">
        <f>RawSalesTable[[#This Row],[Quantity]]*RawSalesTable[[#This Row],[Unit_Price]]</f>
        <v>500.22</v>
      </c>
      <c r="Z280" s="8">
        <f>RawSalesTable[[#This Row],[Gross_Sales]]*RawSalesTable[[#This Row],[Discount_Pct]]</f>
        <v>0</v>
      </c>
      <c r="AA280" s="8">
        <f>RawSalesTable[[#This Row],[Gross_Sales]]-RawSalesTable[[#This Row],[Discount_Amount]]</f>
        <v>500.22</v>
      </c>
      <c r="AB280" s="8">
        <f>RawSalesTable[[#This Row],[Unit_Cost]]*RawSalesTable[[#This Row],[Quantity]]</f>
        <v>250.8</v>
      </c>
      <c r="AC280" s="8">
        <f>RawSalesTable[[#This Row],[Net_Sales]]-RawSalesTable[[#This Row],[Total_Cost]]</f>
        <v>249.42000000000002</v>
      </c>
      <c r="AD280" s="9">
        <f>RawSalesTable[[#This Row],[Profit]]/RawSalesTable[[#This Row],[Net_Sales]]</f>
        <v>0.49862060693294952</v>
      </c>
      <c r="AE280" s="8">
        <f>IF(RawSalesTable[[#This Row],[Return_Status]]="Yes",1,0)</f>
        <v>0</v>
      </c>
      <c r="AF280" s="8">
        <f>YEAR(RawSalesTable[[#This Row],[Order_Date]])</f>
        <v>2025</v>
      </c>
      <c r="AG280" s="8">
        <f>MONTH(RawSalesTable[[#This Row],[Order_Date]])</f>
        <v>10</v>
      </c>
      <c r="AH280" s="8" t="str">
        <f>TEXT(RawSalesTable[[#This Row],[Order_Date]],"mmmm")</f>
        <v>octobre</v>
      </c>
      <c r="AI280" s="8" t="str">
        <f>IF(RawSalesTable[[#This Row],[Month_Number]]&lt;=3,"Q1",IF(RawSalesTable[[#This Row],[Month_Number]]&lt;=6,"Q2",IF(RawSalesTable[[#This Row],[Month_Number]]&lt;=9,"Q3","Q4")))</f>
        <v>Q4</v>
      </c>
      <c r="AJ280" s="13">
        <f>DATE(YEAR(RawSalesTable[[#This Row],[Order_Date]]),MONTH(RawSalesTable[[#This Row],[Order_Date]]),1)</f>
        <v>45931</v>
      </c>
      <c r="AK280" s="8" t="str">
        <f>VLOOKUP(RawSalesTable[[#This Row],[Customer_ID_clean]],CustomersTable[],4,FALSE)</f>
        <v>British Columbia</v>
      </c>
    </row>
    <row r="281" spans="1:37">
      <c r="A281" t="s">
        <v>669</v>
      </c>
      <c r="B281" s="3">
        <v>45755</v>
      </c>
      <c r="C281" t="s">
        <v>670</v>
      </c>
      <c r="D281" t="s">
        <v>157</v>
      </c>
      <c r="E281" t="s">
        <v>671</v>
      </c>
      <c r="F281" t="s">
        <v>87</v>
      </c>
      <c r="G281" t="s">
        <v>130</v>
      </c>
      <c r="H281" t="s">
        <v>89</v>
      </c>
      <c r="I281">
        <v>2</v>
      </c>
      <c r="J281" s="2">
        <v>285.47000000000003</v>
      </c>
      <c r="K281" s="4">
        <v>0</v>
      </c>
      <c r="L281" t="s">
        <v>106</v>
      </c>
      <c r="M281">
        <v>1</v>
      </c>
      <c r="N281" t="s">
        <v>91</v>
      </c>
      <c r="O281" t="str">
        <f>SUBSTITUTE(PROPER(TRIM(RawSalesTable[[#This Row],[Channel_Raw]])), "Market Place", "Marketplace")</f>
        <v>Online</v>
      </c>
      <c r="P281" t="str">
        <f>TRIM(RawSalesTable[[#This Row],[Store_Raw]])</f>
        <v>Online Fulfillment</v>
      </c>
      <c r="Q281" t="str">
        <f>IF(TRIM(RawSalesTable[[#This Row],[Payment_Method_Raw]])="","Non renseigné",SUBSTITUTE(TRIM(RawSalesTable[[#This Row],[Payment_Method_Raw]]),"CC","Credit Card"))</f>
        <v>Credit Card</v>
      </c>
      <c r="R281" s="8" t="str">
        <f>UPPER(PROPER(RawSalesTable[[#This Row],[Customer_ID]]))</f>
        <v>C0107</v>
      </c>
      <c r="S281" s="8" t="str">
        <f>TRIM(LEFT(RawSalesTable[[#This Row],[Customer_Info]],FIND(",",RawSalesTable[[#This Row],[Customer_Info]]) -1))</f>
        <v>Ava Lee</v>
      </c>
      <c r="T281" s="8" t="str">
        <f>TRIM(MID(RawSalesTable[[#This Row],[Customer_Info]],FIND(",",RawSalesTable[[#This Row],[Customer_Info]])+1,FIND(",",RawSalesTable[[#This Row],[Customer_Info]],FIND(",",RawSalesTable[[#This Row],[Customer_Info]])+1)-FIND(",",RawSalesTable[[#This Row],[Customer_Info]])-1))</f>
        <v>Calgary</v>
      </c>
      <c r="U281" s="8" t="str">
        <f>TRIM(RIGHT(RawSalesTable[[#This Row],[Customer_Info]], LEN(RawSalesTable[[#This Row],[Customer_Info]])-FIND(",",RawSalesTable[[#This Row],[Customer_Info]],FIND(",",RawSalesTable[[#This Row],[Customer_Info]])+1)))</f>
        <v>Small Business</v>
      </c>
      <c r="V281" s="8" t="str">
        <f>VLOOKUP(RawSalesTable[[#This Row],[Product_ID]],ProductsTable[],2,FALSE)</f>
        <v>Notebook</v>
      </c>
      <c r="W281" s="8" t="str">
        <f>VLOOKUP(RawSalesTable[[#This Row],[Product_ID]],ProductsTable[],3,FALSE)</f>
        <v>Office</v>
      </c>
      <c r="X281" s="8">
        <f>VLOOKUP(RawSalesTable[[#This Row],[Product_ID]],ProductsTable[],5,FALSE)</f>
        <v>176.13</v>
      </c>
      <c r="Y281" s="8">
        <f>RawSalesTable[[#This Row],[Quantity]]*RawSalesTable[[#This Row],[Unit_Price]]</f>
        <v>570.94000000000005</v>
      </c>
      <c r="Z281" s="8">
        <f>RawSalesTable[[#This Row],[Gross_Sales]]*RawSalesTable[[#This Row],[Discount_Pct]]</f>
        <v>0</v>
      </c>
      <c r="AA281" s="8">
        <f>RawSalesTable[[#This Row],[Gross_Sales]]-RawSalesTable[[#This Row],[Discount_Amount]]</f>
        <v>570.94000000000005</v>
      </c>
      <c r="AB281" s="8">
        <f>RawSalesTable[[#This Row],[Unit_Cost]]*RawSalesTable[[#This Row],[Quantity]]</f>
        <v>352.26</v>
      </c>
      <c r="AC281" s="8">
        <f>RawSalesTable[[#This Row],[Net_Sales]]-RawSalesTable[[#This Row],[Total_Cost]]</f>
        <v>218.68000000000006</v>
      </c>
      <c r="AD281" s="9">
        <f>RawSalesTable[[#This Row],[Profit]]/RawSalesTable[[#This Row],[Net_Sales]]</f>
        <v>0.38301747994535335</v>
      </c>
      <c r="AE281" s="8">
        <f>IF(RawSalesTable[[#This Row],[Return_Status]]="Yes",1,0)</f>
        <v>0</v>
      </c>
      <c r="AF281" s="8">
        <f>YEAR(RawSalesTable[[#This Row],[Order_Date]])</f>
        <v>2025</v>
      </c>
      <c r="AG281" s="8">
        <f>MONTH(RawSalesTable[[#This Row],[Order_Date]])</f>
        <v>4</v>
      </c>
      <c r="AH281" s="8" t="str">
        <f>TEXT(RawSalesTable[[#This Row],[Order_Date]],"mmmm")</f>
        <v>avril</v>
      </c>
      <c r="AI281" s="8" t="str">
        <f>IF(RawSalesTable[[#This Row],[Month_Number]]&lt;=3,"Q1",IF(RawSalesTable[[#This Row],[Month_Number]]&lt;=6,"Q2",IF(RawSalesTable[[#This Row],[Month_Number]]&lt;=9,"Q3","Q4")))</f>
        <v>Q2</v>
      </c>
      <c r="AJ281" s="13">
        <f>DATE(YEAR(RawSalesTable[[#This Row],[Order_Date]]),MONTH(RawSalesTable[[#This Row],[Order_Date]]),1)</f>
        <v>45748</v>
      </c>
      <c r="AK281" s="8" t="str">
        <f>VLOOKUP(RawSalesTable[[#This Row],[Customer_ID_clean]],CustomersTable[],4,FALSE)</f>
        <v>Alberta</v>
      </c>
    </row>
    <row r="282" spans="1:37">
      <c r="A282" t="s">
        <v>672</v>
      </c>
      <c r="B282" s="3">
        <v>45861</v>
      </c>
      <c r="C282" t="s">
        <v>597</v>
      </c>
      <c r="D282" t="s">
        <v>85</v>
      </c>
      <c r="E282" t="s">
        <v>598</v>
      </c>
      <c r="F282" t="s">
        <v>87</v>
      </c>
      <c r="G282" t="s">
        <v>104</v>
      </c>
      <c r="H282" t="s">
        <v>105</v>
      </c>
      <c r="I282">
        <v>3</v>
      </c>
      <c r="J282" s="2">
        <v>297.58999999999997</v>
      </c>
      <c r="K282" s="4">
        <v>0.05</v>
      </c>
      <c r="L282" t="s">
        <v>98</v>
      </c>
      <c r="M282">
        <v>6</v>
      </c>
      <c r="N282" t="s">
        <v>91</v>
      </c>
      <c r="O282" t="str">
        <f>SUBSTITUTE(PROPER(TRIM(RawSalesTable[[#This Row],[Channel_Raw]])), "Market Place", "Marketplace")</f>
        <v>Marketplace</v>
      </c>
      <c r="P282" t="str">
        <f>TRIM(RawSalesTable[[#This Row],[Store_Raw]])</f>
        <v>Online Fulfillment</v>
      </c>
      <c r="Q282" t="str">
        <f>IF(TRIM(RawSalesTable[[#This Row],[Payment_Method_Raw]])="","Non renseigné",SUBSTITUTE(TRIM(RawSalesTable[[#This Row],[Payment_Method_Raw]]),"CC","Credit Card"))</f>
        <v>Debit Card</v>
      </c>
      <c r="R282" s="8" t="str">
        <f>UPPER(PROPER(RawSalesTable[[#This Row],[Customer_ID]]))</f>
        <v>C0004</v>
      </c>
      <c r="S282" s="8" t="str">
        <f>TRIM(LEFT(RawSalesTable[[#This Row],[Customer_Info]],FIND(",",RawSalesTable[[#This Row],[Customer_Info]]) -1))</f>
        <v>Mia Bennett</v>
      </c>
      <c r="T282" s="8" t="str">
        <f>TRIM(MID(RawSalesTable[[#This Row],[Customer_Info]],FIND(",",RawSalesTable[[#This Row],[Customer_Info]])+1,FIND(",",RawSalesTable[[#This Row],[Customer_Info]],FIND(",",RawSalesTable[[#This Row],[Customer_Info]])+1)-FIND(",",RawSalesTable[[#This Row],[Customer_Info]])-1))</f>
        <v>Laval</v>
      </c>
      <c r="U282" s="8" t="str">
        <f>TRIM(RIGHT(RawSalesTable[[#This Row],[Customer_Info]], LEN(RawSalesTable[[#This Row],[Customer_Info]])-FIND(",",RawSalesTable[[#This Row],[Customer_Info]],FIND(",",RawSalesTable[[#This Row],[Customer_Info]])+1)))</f>
        <v>Consumer</v>
      </c>
      <c r="V282" s="8" t="str">
        <f>VLOOKUP(RawSalesTable[[#This Row],[Product_ID]],ProductsTable[],2,FALSE)</f>
        <v>Yoga Mat</v>
      </c>
      <c r="W282" s="8" t="str">
        <f>VLOOKUP(RawSalesTable[[#This Row],[Product_ID]],ProductsTable[],3,FALSE)</f>
        <v>Fitness</v>
      </c>
      <c r="X282" s="8">
        <f>VLOOKUP(RawSalesTable[[#This Row],[Product_ID]],ProductsTable[],5,FALSE)</f>
        <v>197.33</v>
      </c>
      <c r="Y282" s="8">
        <f>RawSalesTable[[#This Row],[Quantity]]*RawSalesTable[[#This Row],[Unit_Price]]</f>
        <v>892.77</v>
      </c>
      <c r="Z282" s="8">
        <f>RawSalesTable[[#This Row],[Gross_Sales]]*RawSalesTable[[#This Row],[Discount_Pct]]</f>
        <v>44.638500000000001</v>
      </c>
      <c r="AA282" s="8">
        <f>RawSalesTable[[#This Row],[Gross_Sales]]-RawSalesTable[[#This Row],[Discount_Amount]]</f>
        <v>848.13149999999996</v>
      </c>
      <c r="AB282" s="8">
        <f>RawSalesTable[[#This Row],[Unit_Cost]]*RawSalesTable[[#This Row],[Quantity]]</f>
        <v>591.99</v>
      </c>
      <c r="AC282" s="8">
        <f>RawSalesTable[[#This Row],[Net_Sales]]-RawSalesTable[[#This Row],[Total_Cost]]</f>
        <v>256.14149999999995</v>
      </c>
      <c r="AD282" s="9">
        <f>RawSalesTable[[#This Row],[Profit]]/RawSalesTable[[#This Row],[Net_Sales]]</f>
        <v>0.30200682323436867</v>
      </c>
      <c r="AE282" s="8">
        <f>IF(RawSalesTable[[#This Row],[Return_Status]]="Yes",1,0)</f>
        <v>0</v>
      </c>
      <c r="AF282" s="8">
        <f>YEAR(RawSalesTable[[#This Row],[Order_Date]])</f>
        <v>2025</v>
      </c>
      <c r="AG282" s="8">
        <f>MONTH(RawSalesTable[[#This Row],[Order_Date]])</f>
        <v>7</v>
      </c>
      <c r="AH282" s="8" t="str">
        <f>TEXT(RawSalesTable[[#This Row],[Order_Date]],"mmmm")</f>
        <v>juillet</v>
      </c>
      <c r="AI282" s="8" t="str">
        <f>IF(RawSalesTable[[#This Row],[Month_Number]]&lt;=3,"Q1",IF(RawSalesTable[[#This Row],[Month_Number]]&lt;=6,"Q2",IF(RawSalesTable[[#This Row],[Month_Number]]&lt;=9,"Q3","Q4")))</f>
        <v>Q3</v>
      </c>
      <c r="AJ282" s="13">
        <f>DATE(YEAR(RawSalesTable[[#This Row],[Order_Date]]),MONTH(RawSalesTable[[#This Row],[Order_Date]]),1)</f>
        <v>45839</v>
      </c>
      <c r="AK282" s="8" t="str">
        <f>VLOOKUP(RawSalesTable[[#This Row],[Customer_ID_clean]],CustomersTable[],4,FALSE)</f>
        <v>Quebec</v>
      </c>
    </row>
    <row r="283" spans="1:37">
      <c r="A283" t="s">
        <v>673</v>
      </c>
      <c r="B283" s="3">
        <v>46004</v>
      </c>
      <c r="C283" t="s">
        <v>594</v>
      </c>
      <c r="D283" t="s">
        <v>252</v>
      </c>
      <c r="E283" t="s">
        <v>595</v>
      </c>
      <c r="F283" t="s">
        <v>116</v>
      </c>
      <c r="G283" t="s">
        <v>117</v>
      </c>
      <c r="H283" t="s">
        <v>105</v>
      </c>
      <c r="I283">
        <v>3</v>
      </c>
      <c r="J283" s="2">
        <v>272.70999999999998</v>
      </c>
      <c r="K283" s="4">
        <v>0.25</v>
      </c>
      <c r="L283" t="s">
        <v>106</v>
      </c>
      <c r="M283">
        <v>3</v>
      </c>
      <c r="N283" t="s">
        <v>91</v>
      </c>
      <c r="O283" t="str">
        <f>SUBSTITUTE(PROPER(TRIM(RawSalesTable[[#This Row],[Channel_Raw]])), "Market Place", "Marketplace")</f>
        <v>Marketplace</v>
      </c>
      <c r="P283" t="str">
        <f>TRIM(RawSalesTable[[#This Row],[Store_Raw]])</f>
        <v>Toronto Downtown</v>
      </c>
      <c r="Q283" t="str">
        <f>IF(TRIM(RawSalesTable[[#This Row],[Payment_Method_Raw]])="","Non renseigné",SUBSTITUTE(TRIM(RawSalesTable[[#This Row],[Payment_Method_Raw]]),"CC","Credit Card"))</f>
        <v>Credit Card</v>
      </c>
      <c r="R283" s="8" t="str">
        <f>UPPER(PROPER(RawSalesTable[[#This Row],[Customer_ID]]))</f>
        <v>C0027</v>
      </c>
      <c r="S283" s="8" t="str">
        <f>TRIM(LEFT(RawSalesTable[[#This Row],[Customer_Info]],FIND(",",RawSalesTable[[#This Row],[Customer_Info]]) -1))</f>
        <v>Nora Wilson</v>
      </c>
      <c r="T283" s="8" t="str">
        <f>TRIM(MID(RawSalesTable[[#This Row],[Customer_Info]],FIND(",",RawSalesTable[[#This Row],[Customer_Info]])+1,FIND(",",RawSalesTable[[#This Row],[Customer_Info]],FIND(",",RawSalesTable[[#This Row],[Customer_Info]])+1)-FIND(",",RawSalesTable[[#This Row],[Customer_Info]])-1))</f>
        <v>Toronto</v>
      </c>
      <c r="U283" s="8" t="str">
        <f>TRIM(RIGHT(RawSalesTable[[#This Row],[Customer_Info]], LEN(RawSalesTable[[#This Row],[Customer_Info]])-FIND(",",RawSalesTable[[#This Row],[Customer_Info]],FIND(",",RawSalesTable[[#This Row],[Customer_Info]])+1)))</f>
        <v>Small Business</v>
      </c>
      <c r="V283" s="8" t="str">
        <f>VLOOKUP(RawSalesTable[[#This Row],[Product_ID]],ProductsTable[],2,FALSE)</f>
        <v>Vacuum</v>
      </c>
      <c r="W283" s="8" t="str">
        <f>VLOOKUP(RawSalesTable[[#This Row],[Product_ID]],ProductsTable[],3,FALSE)</f>
        <v>Home</v>
      </c>
      <c r="X283" s="8">
        <f>VLOOKUP(RawSalesTable[[#This Row],[Product_ID]],ProductsTable[],5,FALSE)</f>
        <v>186.94</v>
      </c>
      <c r="Y283" s="8">
        <f>RawSalesTable[[#This Row],[Quantity]]*RawSalesTable[[#This Row],[Unit_Price]]</f>
        <v>818.12999999999988</v>
      </c>
      <c r="Z283" s="8">
        <f>RawSalesTable[[#This Row],[Gross_Sales]]*RawSalesTable[[#This Row],[Discount_Pct]]</f>
        <v>204.53249999999997</v>
      </c>
      <c r="AA283" s="8">
        <f>RawSalesTable[[#This Row],[Gross_Sales]]-RawSalesTable[[#This Row],[Discount_Amount]]</f>
        <v>613.59749999999985</v>
      </c>
      <c r="AB283" s="8">
        <f>RawSalesTable[[#This Row],[Unit_Cost]]*RawSalesTable[[#This Row],[Quantity]]</f>
        <v>560.81999999999994</v>
      </c>
      <c r="AC283" s="8">
        <f>RawSalesTable[[#This Row],[Net_Sales]]-RawSalesTable[[#This Row],[Total_Cost]]</f>
        <v>52.777499999999918</v>
      </c>
      <c r="AD283" s="9">
        <f>RawSalesTable[[#This Row],[Profit]]/RawSalesTable[[#This Row],[Net_Sales]]</f>
        <v>8.6013225282045525E-2</v>
      </c>
      <c r="AE283" s="8">
        <f>IF(RawSalesTable[[#This Row],[Return_Status]]="Yes",1,0)</f>
        <v>0</v>
      </c>
      <c r="AF283" s="8">
        <f>YEAR(RawSalesTable[[#This Row],[Order_Date]])</f>
        <v>2025</v>
      </c>
      <c r="AG283" s="8">
        <f>MONTH(RawSalesTable[[#This Row],[Order_Date]])</f>
        <v>12</v>
      </c>
      <c r="AH283" s="8" t="str">
        <f>TEXT(RawSalesTable[[#This Row],[Order_Date]],"mmmm")</f>
        <v>décembre</v>
      </c>
      <c r="AI283" s="8" t="str">
        <f>IF(RawSalesTable[[#This Row],[Month_Number]]&lt;=3,"Q1",IF(RawSalesTable[[#This Row],[Month_Number]]&lt;=6,"Q2",IF(RawSalesTable[[#This Row],[Month_Number]]&lt;=9,"Q3","Q4")))</f>
        <v>Q4</v>
      </c>
      <c r="AJ283" s="13">
        <f>DATE(YEAR(RawSalesTable[[#This Row],[Order_Date]]),MONTH(RawSalesTable[[#This Row],[Order_Date]]),1)</f>
        <v>45992</v>
      </c>
      <c r="AK283" s="8" t="str">
        <f>VLOOKUP(RawSalesTable[[#This Row],[Customer_ID_clean]],CustomersTable[],4,FALSE)</f>
        <v>Ontario</v>
      </c>
    </row>
    <row r="284" spans="1:37">
      <c r="A284" t="s">
        <v>674</v>
      </c>
      <c r="B284" s="3">
        <v>45858</v>
      </c>
      <c r="C284" t="s">
        <v>675</v>
      </c>
      <c r="D284" t="s">
        <v>120</v>
      </c>
      <c r="E284" t="s">
        <v>676</v>
      </c>
      <c r="F284" t="s">
        <v>111</v>
      </c>
      <c r="G284" t="s">
        <v>104</v>
      </c>
      <c r="H284" t="s">
        <v>97</v>
      </c>
      <c r="I284">
        <v>1</v>
      </c>
      <c r="J284" s="2">
        <v>402.61</v>
      </c>
      <c r="K284" s="4">
        <v>0.05</v>
      </c>
      <c r="L284" t="s">
        <v>106</v>
      </c>
      <c r="M284">
        <v>4</v>
      </c>
      <c r="N284" t="s">
        <v>91</v>
      </c>
      <c r="O284" t="str">
        <f>SUBSTITUTE(PROPER(TRIM(RawSalesTable[[#This Row],[Channel_Raw]])), "Market Place", "Marketplace")</f>
        <v>Retail Store</v>
      </c>
      <c r="P284" t="str">
        <f>TRIM(RawSalesTable[[#This Row],[Store_Raw]])</f>
        <v>Montreal Central</v>
      </c>
      <c r="Q284" t="str">
        <f>IF(TRIM(RawSalesTable[[#This Row],[Payment_Method_Raw]])="","Non renseigné",SUBSTITUTE(TRIM(RawSalesTable[[#This Row],[Payment_Method_Raw]]),"CC","Credit Card"))</f>
        <v>Credit Card</v>
      </c>
      <c r="R284" s="8" t="str">
        <f>UPPER(PROPER(RawSalesTable[[#This Row],[Customer_ID]]))</f>
        <v>C0101</v>
      </c>
      <c r="S284" s="8" t="str">
        <f>TRIM(LEFT(RawSalesTable[[#This Row],[Customer_Info]],FIND(",",RawSalesTable[[#This Row],[Customer_Info]]) -1))</f>
        <v>Noah Martin</v>
      </c>
      <c r="T284" s="8" t="str">
        <f>TRIM(MID(RawSalesTable[[#This Row],[Customer_Info]],FIND(",",RawSalesTable[[#This Row],[Customer_Info]])+1,FIND(",",RawSalesTable[[#This Row],[Customer_Info]],FIND(",",RawSalesTable[[#This Row],[Customer_Info]])+1)-FIND(",",RawSalesTable[[#This Row],[Customer_Info]])-1))</f>
        <v>Saskatoon</v>
      </c>
      <c r="U284" s="8" t="str">
        <f>TRIM(RIGHT(RawSalesTable[[#This Row],[Customer_Info]], LEN(RawSalesTable[[#This Row],[Customer_Info]])-FIND(",",RawSalesTable[[#This Row],[Customer_Info]],FIND(",",RawSalesTable[[#This Row],[Customer_Info]])+1)))</f>
        <v>Small Business</v>
      </c>
      <c r="V284" s="8" t="str">
        <f>VLOOKUP(RawSalesTable[[#This Row],[Product_ID]],ProductsTable[],2,FALSE)</f>
        <v>Desk Organizer</v>
      </c>
      <c r="W284" s="8" t="str">
        <f>VLOOKUP(RawSalesTable[[#This Row],[Product_ID]],ProductsTable[],3,FALSE)</f>
        <v>Office</v>
      </c>
      <c r="X284" s="8">
        <f>VLOOKUP(RawSalesTable[[#This Row],[Product_ID]],ProductsTable[],5,FALSE)</f>
        <v>235.76</v>
      </c>
      <c r="Y284" s="8">
        <f>RawSalesTable[[#This Row],[Quantity]]*RawSalesTable[[#This Row],[Unit_Price]]</f>
        <v>402.61</v>
      </c>
      <c r="Z284" s="8">
        <f>RawSalesTable[[#This Row],[Gross_Sales]]*RawSalesTable[[#This Row],[Discount_Pct]]</f>
        <v>20.130500000000001</v>
      </c>
      <c r="AA284" s="8">
        <f>RawSalesTable[[#This Row],[Gross_Sales]]-RawSalesTable[[#This Row],[Discount_Amount]]</f>
        <v>382.47950000000003</v>
      </c>
      <c r="AB284" s="8">
        <f>RawSalesTable[[#This Row],[Unit_Cost]]*RawSalesTable[[#This Row],[Quantity]]</f>
        <v>235.76</v>
      </c>
      <c r="AC284" s="8">
        <f>RawSalesTable[[#This Row],[Net_Sales]]-RawSalesTable[[#This Row],[Total_Cost]]</f>
        <v>146.71950000000004</v>
      </c>
      <c r="AD284" s="9">
        <f>RawSalesTable[[#This Row],[Profit]]/RawSalesTable[[#This Row],[Net_Sales]]</f>
        <v>0.38360095116208848</v>
      </c>
      <c r="AE284" s="8">
        <f>IF(RawSalesTable[[#This Row],[Return_Status]]="Yes",1,0)</f>
        <v>0</v>
      </c>
      <c r="AF284" s="8">
        <f>YEAR(RawSalesTable[[#This Row],[Order_Date]])</f>
        <v>2025</v>
      </c>
      <c r="AG284" s="8">
        <f>MONTH(RawSalesTable[[#This Row],[Order_Date]])</f>
        <v>7</v>
      </c>
      <c r="AH284" s="8" t="str">
        <f>TEXT(RawSalesTable[[#This Row],[Order_Date]],"mmmm")</f>
        <v>juillet</v>
      </c>
      <c r="AI284" s="8" t="str">
        <f>IF(RawSalesTable[[#This Row],[Month_Number]]&lt;=3,"Q1",IF(RawSalesTable[[#This Row],[Month_Number]]&lt;=6,"Q2",IF(RawSalesTable[[#This Row],[Month_Number]]&lt;=9,"Q3","Q4")))</f>
        <v>Q3</v>
      </c>
      <c r="AJ284" s="13">
        <f>DATE(YEAR(RawSalesTable[[#This Row],[Order_Date]]),MONTH(RawSalesTable[[#This Row],[Order_Date]]),1)</f>
        <v>45839</v>
      </c>
      <c r="AK284" s="8" t="str">
        <f>VLOOKUP(RawSalesTable[[#This Row],[Customer_ID_clean]],CustomersTable[],4,FALSE)</f>
        <v>Saskatchewan</v>
      </c>
    </row>
    <row r="285" spans="1:37">
      <c r="A285" t="s">
        <v>677</v>
      </c>
      <c r="B285" s="3">
        <v>45955</v>
      </c>
      <c r="C285" t="s">
        <v>248</v>
      </c>
      <c r="D285" t="s">
        <v>149</v>
      </c>
      <c r="E285" t="s">
        <v>678</v>
      </c>
      <c r="F285" t="s">
        <v>116</v>
      </c>
      <c r="G285" t="s">
        <v>122</v>
      </c>
      <c r="H285" t="s">
        <v>89</v>
      </c>
      <c r="I285">
        <v>3</v>
      </c>
      <c r="J285" s="2">
        <v>84.93</v>
      </c>
      <c r="K285" s="4">
        <v>0</v>
      </c>
      <c r="L285" t="s">
        <v>90</v>
      </c>
      <c r="M285">
        <v>6</v>
      </c>
      <c r="N285" t="s">
        <v>91</v>
      </c>
      <c r="O285" t="str">
        <f>SUBSTITUTE(PROPER(TRIM(RawSalesTable[[#This Row],[Channel_Raw]])), "Market Place", "Marketplace")</f>
        <v>Online</v>
      </c>
      <c r="P285" t="str">
        <f>TRIM(RawSalesTable[[#This Row],[Store_Raw]])</f>
        <v>Toronto Downtown</v>
      </c>
      <c r="Q285" t="str">
        <f>IF(TRIM(RawSalesTable[[#This Row],[Payment_Method_Raw]])="","Non renseigné",SUBSTITUTE(TRIM(RawSalesTable[[#This Row],[Payment_Method_Raw]]),"CC","Credit Card"))</f>
        <v>PayPal</v>
      </c>
      <c r="R285" s="8" t="str">
        <f>UPPER(PROPER(RawSalesTable[[#This Row],[Customer_ID]]))</f>
        <v>C0012</v>
      </c>
      <c r="S285" s="8" t="str">
        <f>TRIM(LEFT(RawSalesTable[[#This Row],[Customer_Info]],FIND(",",RawSalesTable[[#This Row],[Customer_Info]]) -1))</f>
        <v>Daniel Taylor</v>
      </c>
      <c r="T285" s="8" t="str">
        <f>TRIM(MID(RawSalesTable[[#This Row],[Customer_Info]],FIND(",",RawSalesTable[[#This Row],[Customer_Info]])+1,FIND(",",RawSalesTable[[#This Row],[Customer_Info]],FIND(",",RawSalesTable[[#This Row],[Customer_Info]])+1)-FIND(",",RawSalesTable[[#This Row],[Customer_Info]])-1))</f>
        <v>Victoria</v>
      </c>
      <c r="U285" s="8" t="str">
        <f>TRIM(RIGHT(RawSalesTable[[#This Row],[Customer_Info]], LEN(RawSalesTable[[#This Row],[Customer_Info]])-FIND(",",RawSalesTable[[#This Row],[Customer_Info]],FIND(",",RawSalesTable[[#This Row],[Customer_Info]])+1)))</f>
        <v>Corporate</v>
      </c>
      <c r="V285" s="8" t="str">
        <f>VLOOKUP(RawSalesTable[[#This Row],[Product_ID]],ProductsTable[],2,FALSE)</f>
        <v>Office Chair</v>
      </c>
      <c r="W285" s="8" t="str">
        <f>VLOOKUP(RawSalesTable[[#This Row],[Product_ID]],ProductsTable[],3,FALSE)</f>
        <v>Office</v>
      </c>
      <c r="X285" s="8">
        <f>VLOOKUP(RawSalesTable[[#This Row],[Product_ID]],ProductsTable[],5,FALSE)</f>
        <v>39.26</v>
      </c>
      <c r="Y285" s="8">
        <f>RawSalesTable[[#This Row],[Quantity]]*RawSalesTable[[#This Row],[Unit_Price]]</f>
        <v>254.79000000000002</v>
      </c>
      <c r="Z285" s="8">
        <f>RawSalesTable[[#This Row],[Gross_Sales]]*RawSalesTable[[#This Row],[Discount_Pct]]</f>
        <v>0</v>
      </c>
      <c r="AA285" s="8">
        <f>RawSalesTable[[#This Row],[Gross_Sales]]-RawSalesTable[[#This Row],[Discount_Amount]]</f>
        <v>254.79000000000002</v>
      </c>
      <c r="AB285" s="8">
        <f>RawSalesTable[[#This Row],[Unit_Cost]]*RawSalesTable[[#This Row],[Quantity]]</f>
        <v>117.78</v>
      </c>
      <c r="AC285" s="8">
        <f>RawSalesTable[[#This Row],[Net_Sales]]-RawSalesTable[[#This Row],[Total_Cost]]</f>
        <v>137.01000000000002</v>
      </c>
      <c r="AD285" s="9">
        <f>RawSalesTable[[#This Row],[Profit]]/RawSalesTable[[#This Row],[Net_Sales]]</f>
        <v>0.53773695984928771</v>
      </c>
      <c r="AE285" s="8">
        <f>IF(RawSalesTable[[#This Row],[Return_Status]]="Yes",1,0)</f>
        <v>0</v>
      </c>
      <c r="AF285" s="8">
        <f>YEAR(RawSalesTable[[#This Row],[Order_Date]])</f>
        <v>2025</v>
      </c>
      <c r="AG285" s="8">
        <f>MONTH(RawSalesTable[[#This Row],[Order_Date]])</f>
        <v>10</v>
      </c>
      <c r="AH285" s="8" t="str">
        <f>TEXT(RawSalesTable[[#This Row],[Order_Date]],"mmmm")</f>
        <v>octobre</v>
      </c>
      <c r="AI285" s="8" t="str">
        <f>IF(RawSalesTable[[#This Row],[Month_Number]]&lt;=3,"Q1",IF(RawSalesTable[[#This Row],[Month_Number]]&lt;=6,"Q2",IF(RawSalesTable[[#This Row],[Month_Number]]&lt;=9,"Q3","Q4")))</f>
        <v>Q4</v>
      </c>
      <c r="AJ285" s="13">
        <f>DATE(YEAR(RawSalesTable[[#This Row],[Order_Date]]),MONTH(RawSalesTable[[#This Row],[Order_Date]]),1)</f>
        <v>45931</v>
      </c>
      <c r="AK285" s="8" t="str">
        <f>VLOOKUP(RawSalesTable[[#This Row],[Customer_ID_clean]],CustomersTable[],4,FALSE)</f>
        <v>British Columbia</v>
      </c>
    </row>
    <row r="286" spans="1:37">
      <c r="A286" t="s">
        <v>679</v>
      </c>
      <c r="B286" s="3">
        <v>45660</v>
      </c>
      <c r="C286" t="s">
        <v>93</v>
      </c>
      <c r="D286" t="s">
        <v>210</v>
      </c>
      <c r="E286" t="s">
        <v>95</v>
      </c>
      <c r="F286" t="s">
        <v>145</v>
      </c>
      <c r="G286" t="s">
        <v>117</v>
      </c>
      <c r="H286" t="s">
        <v>105</v>
      </c>
      <c r="I286">
        <v>2</v>
      </c>
      <c r="J286" s="2">
        <v>300.93</v>
      </c>
      <c r="K286" s="4">
        <v>0.2</v>
      </c>
      <c r="L286" t="s">
        <v>253</v>
      </c>
      <c r="M286">
        <v>1</v>
      </c>
      <c r="N286" t="s">
        <v>91</v>
      </c>
      <c r="O286" t="str">
        <f>SUBSTITUTE(PROPER(TRIM(RawSalesTable[[#This Row],[Channel_Raw]])), "Market Place", "Marketplace")</f>
        <v>Marketplace</v>
      </c>
      <c r="P286" t="str">
        <f>TRIM(RawSalesTable[[#This Row],[Store_Raw]])</f>
        <v>Calgary North</v>
      </c>
      <c r="Q286" t="str">
        <f>IF(TRIM(RawSalesTable[[#This Row],[Payment_Method_Raw]])="","Non renseigné",SUBSTITUTE(TRIM(RawSalesTable[[#This Row],[Payment_Method_Raw]]),"CC","Credit Card"))</f>
        <v>Credit Card</v>
      </c>
      <c r="R286" s="8" t="str">
        <f>UPPER(PROPER(RawSalesTable[[#This Row],[Customer_ID]]))</f>
        <v>C0084</v>
      </c>
      <c r="S286" s="8" t="str">
        <f>TRIM(LEFT(RawSalesTable[[#This Row],[Customer_Info]],FIND(",",RawSalesTable[[#This Row],[Customer_Info]]) -1))</f>
        <v>Ryan Clark</v>
      </c>
      <c r="T286" s="8" t="str">
        <f>TRIM(MID(RawSalesTable[[#This Row],[Customer_Info]],FIND(",",RawSalesTable[[#This Row],[Customer_Info]])+1,FIND(",",RawSalesTable[[#This Row],[Customer_Info]],FIND(",",RawSalesTable[[#This Row],[Customer_Info]])+1)-FIND(",",RawSalesTable[[#This Row],[Customer_Info]])-1))</f>
        <v>Montreal</v>
      </c>
      <c r="U286" s="8" t="str">
        <f>TRIM(RIGHT(RawSalesTable[[#This Row],[Customer_Info]], LEN(RawSalesTable[[#This Row],[Customer_Info]])-FIND(",",RawSalesTable[[#This Row],[Customer_Info]],FIND(",",RawSalesTable[[#This Row],[Customer_Info]])+1)))</f>
        <v>Corporate</v>
      </c>
      <c r="V286" s="8" t="str">
        <f>VLOOKUP(RawSalesTable[[#This Row],[Product_ID]],ProductsTable[],2,FALSE)</f>
        <v>Desk Pad</v>
      </c>
      <c r="W286" s="8" t="str">
        <f>VLOOKUP(RawSalesTable[[#This Row],[Product_ID]],ProductsTable[],3,FALSE)</f>
        <v>Accessories</v>
      </c>
      <c r="X286" s="8">
        <f>VLOOKUP(RawSalesTable[[#This Row],[Product_ID]],ProductsTable[],5,FALSE)</f>
        <v>177.57</v>
      </c>
      <c r="Y286" s="8">
        <f>RawSalesTable[[#This Row],[Quantity]]*RawSalesTable[[#This Row],[Unit_Price]]</f>
        <v>601.86</v>
      </c>
      <c r="Z286" s="8">
        <f>RawSalesTable[[#This Row],[Gross_Sales]]*RawSalesTable[[#This Row],[Discount_Pct]]</f>
        <v>120.37200000000001</v>
      </c>
      <c r="AA286" s="8">
        <f>RawSalesTable[[#This Row],[Gross_Sales]]-RawSalesTable[[#This Row],[Discount_Amount]]</f>
        <v>481.488</v>
      </c>
      <c r="AB286" s="8">
        <f>RawSalesTable[[#This Row],[Unit_Cost]]*RawSalesTable[[#This Row],[Quantity]]</f>
        <v>355.14</v>
      </c>
      <c r="AC286" s="8">
        <f>RawSalesTable[[#This Row],[Net_Sales]]-RawSalesTable[[#This Row],[Total_Cost]]</f>
        <v>126.34800000000001</v>
      </c>
      <c r="AD286" s="9">
        <f>RawSalesTable[[#This Row],[Profit]]/RawSalesTable[[#This Row],[Net_Sales]]</f>
        <v>0.26241152427474829</v>
      </c>
      <c r="AE286" s="8">
        <f>IF(RawSalesTable[[#This Row],[Return_Status]]="Yes",1,0)</f>
        <v>0</v>
      </c>
      <c r="AF286" s="8">
        <f>YEAR(RawSalesTable[[#This Row],[Order_Date]])</f>
        <v>2025</v>
      </c>
      <c r="AG286" s="8">
        <f>MONTH(RawSalesTable[[#This Row],[Order_Date]])</f>
        <v>1</v>
      </c>
      <c r="AH286" s="8" t="str">
        <f>TEXT(RawSalesTable[[#This Row],[Order_Date]],"mmmm")</f>
        <v>janvier</v>
      </c>
      <c r="AI286" s="8" t="str">
        <f>IF(RawSalesTable[[#This Row],[Month_Number]]&lt;=3,"Q1",IF(RawSalesTable[[#This Row],[Month_Number]]&lt;=6,"Q2",IF(RawSalesTable[[#This Row],[Month_Number]]&lt;=9,"Q3","Q4")))</f>
        <v>Q1</v>
      </c>
      <c r="AJ286" s="13">
        <f>DATE(YEAR(RawSalesTable[[#This Row],[Order_Date]]),MONTH(RawSalesTable[[#This Row],[Order_Date]]),1)</f>
        <v>45658</v>
      </c>
      <c r="AK286" s="8" t="str">
        <f>VLOOKUP(RawSalesTable[[#This Row],[Customer_ID_clean]],CustomersTable[],4,FALSE)</f>
        <v>Quebec</v>
      </c>
    </row>
    <row r="287" spans="1:37">
      <c r="A287" t="s">
        <v>680</v>
      </c>
      <c r="B287" s="3">
        <v>45700</v>
      </c>
      <c r="C287" t="s">
        <v>193</v>
      </c>
      <c r="D287" t="s">
        <v>277</v>
      </c>
      <c r="E287" t="s">
        <v>195</v>
      </c>
      <c r="F287" t="s">
        <v>145</v>
      </c>
      <c r="G287" t="s">
        <v>88</v>
      </c>
      <c r="H287" t="s">
        <v>89</v>
      </c>
      <c r="I287">
        <v>2</v>
      </c>
      <c r="J287" s="2">
        <v>381.2</v>
      </c>
      <c r="K287" s="4">
        <v>0</v>
      </c>
      <c r="L287" t="s">
        <v>106</v>
      </c>
      <c r="M287">
        <v>7</v>
      </c>
      <c r="N287" t="s">
        <v>91</v>
      </c>
      <c r="O287" t="str">
        <f>SUBSTITUTE(PROPER(TRIM(RawSalesTable[[#This Row],[Channel_Raw]])), "Market Place", "Marketplace")</f>
        <v>Online</v>
      </c>
      <c r="P287" t="str">
        <f>TRIM(RawSalesTable[[#This Row],[Store_Raw]])</f>
        <v>Calgary North</v>
      </c>
      <c r="Q287" t="str">
        <f>IF(TRIM(RawSalesTable[[#This Row],[Payment_Method_Raw]])="","Non renseigné",SUBSTITUTE(TRIM(RawSalesTable[[#This Row],[Payment_Method_Raw]]),"CC","Credit Card"))</f>
        <v>Credit Card</v>
      </c>
      <c r="R287" s="8" t="str">
        <f>UPPER(PROPER(RawSalesTable[[#This Row],[Customer_ID]]))</f>
        <v>C0023</v>
      </c>
      <c r="S287" s="8" t="str">
        <f>TRIM(LEFT(RawSalesTable[[#This Row],[Customer_Info]],FIND(",",RawSalesTable[[#This Row],[Customer_Info]]) -1))</f>
        <v>Ryan Gagnon</v>
      </c>
      <c r="T287" s="8" t="str">
        <f>TRIM(MID(RawSalesTable[[#This Row],[Customer_Info]],FIND(",",RawSalesTable[[#This Row],[Customer_Info]])+1,FIND(",",RawSalesTable[[#This Row],[Customer_Info]],FIND(",",RawSalesTable[[#This Row],[Customer_Info]])+1)-FIND(",",RawSalesTable[[#This Row],[Customer_Info]])-1))</f>
        <v>Ottawa</v>
      </c>
      <c r="U287" s="8" t="str">
        <f>TRIM(RIGHT(RawSalesTable[[#This Row],[Customer_Info]], LEN(RawSalesTable[[#This Row],[Customer_Info]])-FIND(",",RawSalesTable[[#This Row],[Customer_Info]],FIND(",",RawSalesTable[[#This Row],[Customer_Info]])+1)))</f>
        <v>Small Business</v>
      </c>
      <c r="V287" s="8" t="str">
        <f>VLOOKUP(RawSalesTable[[#This Row],[Product_ID]],ProductsTable[],2,FALSE)</f>
        <v>Headphones</v>
      </c>
      <c r="W287" s="8" t="str">
        <f>VLOOKUP(RawSalesTable[[#This Row],[Product_ID]],ProductsTable[],3,FALSE)</f>
        <v>Electronics</v>
      </c>
      <c r="X287" s="8">
        <f>VLOOKUP(RawSalesTable[[#This Row],[Product_ID]],ProductsTable[],5,FALSE)</f>
        <v>254.6</v>
      </c>
      <c r="Y287" s="8">
        <f>RawSalesTable[[#This Row],[Quantity]]*RawSalesTable[[#This Row],[Unit_Price]]</f>
        <v>762.4</v>
      </c>
      <c r="Z287" s="8">
        <f>RawSalesTable[[#This Row],[Gross_Sales]]*RawSalesTable[[#This Row],[Discount_Pct]]</f>
        <v>0</v>
      </c>
      <c r="AA287" s="8">
        <f>RawSalesTable[[#This Row],[Gross_Sales]]-RawSalesTable[[#This Row],[Discount_Amount]]</f>
        <v>762.4</v>
      </c>
      <c r="AB287" s="8">
        <f>RawSalesTable[[#This Row],[Unit_Cost]]*RawSalesTable[[#This Row],[Quantity]]</f>
        <v>509.2</v>
      </c>
      <c r="AC287" s="8">
        <f>RawSalesTable[[#This Row],[Net_Sales]]-RawSalesTable[[#This Row],[Total_Cost]]</f>
        <v>253.2</v>
      </c>
      <c r="AD287" s="9">
        <f>RawSalesTable[[#This Row],[Profit]]/RawSalesTable[[#This Row],[Net_Sales]]</f>
        <v>0.33210912906610701</v>
      </c>
      <c r="AE287" s="8">
        <f>IF(RawSalesTable[[#This Row],[Return_Status]]="Yes",1,0)</f>
        <v>0</v>
      </c>
      <c r="AF287" s="8">
        <f>YEAR(RawSalesTable[[#This Row],[Order_Date]])</f>
        <v>2025</v>
      </c>
      <c r="AG287" s="8">
        <f>MONTH(RawSalesTable[[#This Row],[Order_Date]])</f>
        <v>2</v>
      </c>
      <c r="AH287" s="8" t="str">
        <f>TEXT(RawSalesTable[[#This Row],[Order_Date]],"mmmm")</f>
        <v>février</v>
      </c>
      <c r="AI287" s="8" t="str">
        <f>IF(RawSalesTable[[#This Row],[Month_Number]]&lt;=3,"Q1",IF(RawSalesTable[[#This Row],[Month_Number]]&lt;=6,"Q2",IF(RawSalesTable[[#This Row],[Month_Number]]&lt;=9,"Q3","Q4")))</f>
        <v>Q1</v>
      </c>
      <c r="AJ287" s="13">
        <f>DATE(YEAR(RawSalesTable[[#This Row],[Order_Date]]),MONTH(RawSalesTable[[#This Row],[Order_Date]]),1)</f>
        <v>45689</v>
      </c>
      <c r="AK287" s="8" t="str">
        <f>VLOOKUP(RawSalesTable[[#This Row],[Customer_ID_clean]],CustomersTable[],4,FALSE)</f>
        <v>Ontario</v>
      </c>
    </row>
    <row r="288" spans="1:37">
      <c r="A288" t="s">
        <v>683</v>
      </c>
      <c r="B288" s="3">
        <v>45660</v>
      </c>
      <c r="C288" t="s">
        <v>209</v>
      </c>
      <c r="D288" t="s">
        <v>152</v>
      </c>
      <c r="E288" t="s">
        <v>211</v>
      </c>
      <c r="F288" t="s">
        <v>655</v>
      </c>
      <c r="G288" t="s">
        <v>130</v>
      </c>
      <c r="H288" t="s">
        <v>97</v>
      </c>
      <c r="I288">
        <v>1</v>
      </c>
      <c r="J288" s="2">
        <v>139.33000000000001</v>
      </c>
      <c r="K288" s="4">
        <v>0.05</v>
      </c>
      <c r="L288" t="s">
        <v>106</v>
      </c>
      <c r="M288">
        <v>3</v>
      </c>
      <c r="N288" t="s">
        <v>91</v>
      </c>
      <c r="O288" t="str">
        <f>SUBSTITUTE(PROPER(TRIM(RawSalesTable[[#This Row],[Channel_Raw]])), "Market Place", "Marketplace")</f>
        <v>Retail Store</v>
      </c>
      <c r="P288" t="str">
        <f>TRIM(RawSalesTable[[#This Row],[Store_Raw]])</f>
        <v>Online Fulfillment</v>
      </c>
      <c r="Q288" t="str">
        <f>IF(TRIM(RawSalesTable[[#This Row],[Payment_Method_Raw]])="","Non renseigné",SUBSTITUTE(TRIM(RawSalesTable[[#This Row],[Payment_Method_Raw]]),"CC","Credit Card"))</f>
        <v>Credit Card</v>
      </c>
      <c r="R288" s="8" t="str">
        <f>UPPER(PROPER(RawSalesTable[[#This Row],[Customer_ID]]))</f>
        <v>C0005</v>
      </c>
      <c r="S288" s="8" t="str">
        <f>TRIM(LEFT(RawSalesTable[[#This Row],[Customer_Info]],FIND(",",RawSalesTable[[#This Row],[Customer_Info]]) -1))</f>
        <v>Yasmine Taylor</v>
      </c>
      <c r="T288" s="8" t="str">
        <f>TRIM(MID(RawSalesTable[[#This Row],[Customer_Info]],FIND(",",RawSalesTable[[#This Row],[Customer_Info]])+1,FIND(",",RawSalesTable[[#This Row],[Customer_Info]],FIND(",",RawSalesTable[[#This Row],[Customer_Info]])+1)-FIND(",",RawSalesTable[[#This Row],[Customer_Info]])-1))</f>
        <v>Calgary</v>
      </c>
      <c r="U288" s="8" t="str">
        <f>TRIM(RIGHT(RawSalesTable[[#This Row],[Customer_Info]], LEN(RawSalesTable[[#This Row],[Customer_Info]])-FIND(",",RawSalesTable[[#This Row],[Customer_Info]],FIND(",",RawSalesTable[[#This Row],[Customer_Info]])+1)))</f>
        <v>Consumer</v>
      </c>
      <c r="V288" s="8" t="str">
        <f>VLOOKUP(RawSalesTable[[#This Row],[Product_ID]],ProductsTable[],2,FALSE)</f>
        <v>Smart Speaker</v>
      </c>
      <c r="W288" s="8" t="str">
        <f>VLOOKUP(RawSalesTable[[#This Row],[Product_ID]],ProductsTable[],3,FALSE)</f>
        <v>Electronics</v>
      </c>
      <c r="X288" s="8">
        <f>VLOOKUP(RawSalesTable[[#This Row],[Product_ID]],ProductsTable[],5,FALSE)</f>
        <v>69</v>
      </c>
      <c r="Y288" s="8">
        <f>RawSalesTable[[#This Row],[Quantity]]*RawSalesTable[[#This Row],[Unit_Price]]</f>
        <v>139.33000000000001</v>
      </c>
      <c r="Z288" s="8">
        <f>RawSalesTable[[#This Row],[Gross_Sales]]*RawSalesTable[[#This Row],[Discount_Pct]]</f>
        <v>6.9665000000000008</v>
      </c>
      <c r="AA288" s="8">
        <f>RawSalesTable[[#This Row],[Gross_Sales]]-RawSalesTable[[#This Row],[Discount_Amount]]</f>
        <v>132.36350000000002</v>
      </c>
      <c r="AB288" s="8">
        <f>RawSalesTable[[#This Row],[Unit_Cost]]*RawSalesTable[[#This Row],[Quantity]]</f>
        <v>69</v>
      </c>
      <c r="AC288" s="8">
        <f>RawSalesTable[[#This Row],[Net_Sales]]-RawSalesTable[[#This Row],[Total_Cost]]</f>
        <v>63.363500000000016</v>
      </c>
      <c r="AD288" s="9">
        <f>RawSalesTable[[#This Row],[Profit]]/RawSalesTable[[#This Row],[Net_Sales]]</f>
        <v>0.47870825416372342</v>
      </c>
      <c r="AE288" s="8">
        <f>IF(RawSalesTable[[#This Row],[Return_Status]]="Yes",1,0)</f>
        <v>0</v>
      </c>
      <c r="AF288" s="8">
        <f>YEAR(RawSalesTable[[#This Row],[Order_Date]])</f>
        <v>2025</v>
      </c>
      <c r="AG288" s="8">
        <f>MONTH(RawSalesTable[[#This Row],[Order_Date]])</f>
        <v>1</v>
      </c>
      <c r="AH288" s="8" t="str">
        <f>TEXT(RawSalesTable[[#This Row],[Order_Date]],"mmmm")</f>
        <v>janvier</v>
      </c>
      <c r="AI288" s="8" t="str">
        <f>IF(RawSalesTable[[#This Row],[Month_Number]]&lt;=3,"Q1",IF(RawSalesTable[[#This Row],[Month_Number]]&lt;=6,"Q2",IF(RawSalesTable[[#This Row],[Month_Number]]&lt;=9,"Q3","Q4")))</f>
        <v>Q1</v>
      </c>
      <c r="AJ288" s="13">
        <f>DATE(YEAR(RawSalesTable[[#This Row],[Order_Date]]),MONTH(RawSalesTable[[#This Row],[Order_Date]]),1)</f>
        <v>45658</v>
      </c>
      <c r="AK288" s="8" t="str">
        <f>VLOOKUP(RawSalesTable[[#This Row],[Customer_ID_clean]],CustomersTable[],4,FALSE)</f>
        <v>Alberta</v>
      </c>
    </row>
    <row r="289" spans="1:37">
      <c r="A289" t="s">
        <v>684</v>
      </c>
      <c r="B289" s="3">
        <v>45923</v>
      </c>
      <c r="C289" t="s">
        <v>239</v>
      </c>
      <c r="D289" t="s">
        <v>303</v>
      </c>
      <c r="E289" t="s">
        <v>240</v>
      </c>
      <c r="F289" t="s">
        <v>111</v>
      </c>
      <c r="G289" t="s">
        <v>88</v>
      </c>
      <c r="H289" t="s">
        <v>97</v>
      </c>
      <c r="I289">
        <v>4</v>
      </c>
      <c r="J289" s="2">
        <v>153.82</v>
      </c>
      <c r="K289" s="4">
        <v>0</v>
      </c>
      <c r="L289" t="s">
        <v>106</v>
      </c>
      <c r="M289">
        <v>2</v>
      </c>
      <c r="N289" t="s">
        <v>91</v>
      </c>
      <c r="O289" t="str">
        <f>SUBSTITUTE(PROPER(TRIM(RawSalesTable[[#This Row],[Channel_Raw]])), "Market Place", "Marketplace")</f>
        <v>Retail Store</v>
      </c>
      <c r="P289" t="str">
        <f>TRIM(RawSalesTable[[#This Row],[Store_Raw]])</f>
        <v>Montreal Central</v>
      </c>
      <c r="Q289" t="str">
        <f>IF(TRIM(RawSalesTable[[#This Row],[Payment_Method_Raw]])="","Non renseigné",SUBSTITUTE(TRIM(RawSalesTable[[#This Row],[Payment_Method_Raw]]),"CC","Credit Card"))</f>
        <v>Credit Card</v>
      </c>
      <c r="R289" s="8" t="str">
        <f>UPPER(PROPER(RawSalesTable[[#This Row],[Customer_ID]]))</f>
        <v>C0089</v>
      </c>
      <c r="S289" s="8" t="str">
        <f>TRIM(LEFT(RawSalesTable[[#This Row],[Customer_Info]],FIND(",",RawSalesTable[[#This Row],[Customer_Info]]) -1))</f>
        <v>Lucas Martin</v>
      </c>
      <c r="T289" s="8" t="str">
        <f>TRIM(MID(RawSalesTable[[#This Row],[Customer_Info]],FIND(",",RawSalesTable[[#This Row],[Customer_Info]])+1,FIND(",",RawSalesTable[[#This Row],[Customer_Info]],FIND(",",RawSalesTable[[#This Row],[Customer_Info]])+1)-FIND(",",RawSalesTable[[#This Row],[Customer_Info]])-1))</f>
        <v>Vancouver</v>
      </c>
      <c r="U289" s="8" t="str">
        <f>TRIM(RIGHT(RawSalesTable[[#This Row],[Customer_Info]], LEN(RawSalesTable[[#This Row],[Customer_Info]])-FIND(",",RawSalesTable[[#This Row],[Customer_Info]],FIND(",",RawSalesTable[[#This Row],[Customer_Info]])+1)))</f>
        <v>Consumer</v>
      </c>
      <c r="V289" s="8" t="str">
        <f>VLOOKUP(RawSalesTable[[#This Row],[Product_ID]],ProductsTable[],2,FALSE)</f>
        <v>Power Bank</v>
      </c>
      <c r="W289" s="8" t="str">
        <f>VLOOKUP(RawSalesTable[[#This Row],[Product_ID]],ProductsTable[],3,FALSE)</f>
        <v>Accessories</v>
      </c>
      <c r="X289" s="8">
        <f>VLOOKUP(RawSalesTable[[#This Row],[Product_ID]],ProductsTable[],5,FALSE)</f>
        <v>76.97</v>
      </c>
      <c r="Y289" s="8">
        <f>RawSalesTable[[#This Row],[Quantity]]*RawSalesTable[[#This Row],[Unit_Price]]</f>
        <v>615.28</v>
      </c>
      <c r="Z289" s="8">
        <f>RawSalesTable[[#This Row],[Gross_Sales]]*RawSalesTable[[#This Row],[Discount_Pct]]</f>
        <v>0</v>
      </c>
      <c r="AA289" s="8">
        <f>RawSalesTable[[#This Row],[Gross_Sales]]-RawSalesTable[[#This Row],[Discount_Amount]]</f>
        <v>615.28</v>
      </c>
      <c r="AB289" s="8">
        <f>RawSalesTable[[#This Row],[Unit_Cost]]*RawSalesTable[[#This Row],[Quantity]]</f>
        <v>307.88</v>
      </c>
      <c r="AC289" s="8">
        <f>RawSalesTable[[#This Row],[Net_Sales]]-RawSalesTable[[#This Row],[Total_Cost]]</f>
        <v>307.39999999999998</v>
      </c>
      <c r="AD289" s="9">
        <f>RawSalesTable[[#This Row],[Profit]]/RawSalesTable[[#This Row],[Net_Sales]]</f>
        <v>0.49960993368872708</v>
      </c>
      <c r="AE289" s="8">
        <f>IF(RawSalesTable[[#This Row],[Return_Status]]="Yes",1,0)</f>
        <v>0</v>
      </c>
      <c r="AF289" s="8">
        <f>YEAR(RawSalesTable[[#This Row],[Order_Date]])</f>
        <v>2025</v>
      </c>
      <c r="AG289" s="8">
        <f>MONTH(RawSalesTable[[#This Row],[Order_Date]])</f>
        <v>9</v>
      </c>
      <c r="AH289" s="8" t="str">
        <f>TEXT(RawSalesTable[[#This Row],[Order_Date]],"mmmm")</f>
        <v>septembre</v>
      </c>
      <c r="AI289" s="8" t="str">
        <f>IF(RawSalesTable[[#This Row],[Month_Number]]&lt;=3,"Q1",IF(RawSalesTable[[#This Row],[Month_Number]]&lt;=6,"Q2",IF(RawSalesTable[[#This Row],[Month_Number]]&lt;=9,"Q3","Q4")))</f>
        <v>Q3</v>
      </c>
      <c r="AJ289" s="13">
        <f>DATE(YEAR(RawSalesTable[[#This Row],[Order_Date]]),MONTH(RawSalesTable[[#This Row],[Order_Date]]),1)</f>
        <v>45901</v>
      </c>
      <c r="AK289" s="8" t="str">
        <f>VLOOKUP(RawSalesTable[[#This Row],[Customer_ID_clean]],CustomersTable[],4,FALSE)</f>
        <v>British Columbia</v>
      </c>
    </row>
    <row r="290" spans="1:37">
      <c r="A290" t="s">
        <v>685</v>
      </c>
      <c r="B290" s="3">
        <v>45708</v>
      </c>
      <c r="C290" t="s">
        <v>600</v>
      </c>
      <c r="D290" t="s">
        <v>255</v>
      </c>
      <c r="E290" t="s">
        <v>601</v>
      </c>
      <c r="F290" t="s">
        <v>116</v>
      </c>
      <c r="G290" t="s">
        <v>122</v>
      </c>
      <c r="H290" t="s">
        <v>89</v>
      </c>
      <c r="I290">
        <v>1</v>
      </c>
      <c r="J290" s="2">
        <v>234.76</v>
      </c>
      <c r="K290" s="4">
        <v>0.15</v>
      </c>
      <c r="L290" t="s">
        <v>90</v>
      </c>
      <c r="M290">
        <v>1</v>
      </c>
      <c r="N290" t="s">
        <v>147</v>
      </c>
      <c r="O290" t="str">
        <f>SUBSTITUTE(PROPER(TRIM(RawSalesTable[[#This Row],[Channel_Raw]])), "Market Place", "Marketplace")</f>
        <v>Online</v>
      </c>
      <c r="P290" t="str">
        <f>TRIM(RawSalesTable[[#This Row],[Store_Raw]])</f>
        <v>Toronto Downtown</v>
      </c>
      <c r="Q290" t="str">
        <f>IF(TRIM(RawSalesTable[[#This Row],[Payment_Method_Raw]])="","Non renseigné",SUBSTITUTE(TRIM(RawSalesTable[[#This Row],[Payment_Method_Raw]]),"CC","Credit Card"))</f>
        <v>PayPal</v>
      </c>
      <c r="R290" s="8" t="str">
        <f>UPPER(PROPER(RawSalesTable[[#This Row],[Customer_ID]]))</f>
        <v>C0109</v>
      </c>
      <c r="S290" s="8" t="str">
        <f>TRIM(LEFT(RawSalesTable[[#This Row],[Customer_Info]],FIND(",",RawSalesTable[[#This Row],[Customer_Info]]) -1))</f>
        <v>Emma Wilson</v>
      </c>
      <c r="T290" s="8" t="str">
        <f>TRIM(MID(RawSalesTable[[#This Row],[Customer_Info]],FIND(",",RawSalesTable[[#This Row],[Customer_Info]])+1,FIND(",",RawSalesTable[[#This Row],[Customer_Info]],FIND(",",RawSalesTable[[#This Row],[Customer_Info]])+1)-FIND(",",RawSalesTable[[#This Row],[Customer_Info]])-1))</f>
        <v>Victoria</v>
      </c>
      <c r="U290" s="8" t="str">
        <f>TRIM(RIGHT(RawSalesTable[[#This Row],[Customer_Info]], LEN(RawSalesTable[[#This Row],[Customer_Info]])-FIND(",",RawSalesTable[[#This Row],[Customer_Info]],FIND(",",RawSalesTable[[#This Row],[Customer_Info]])+1)))</f>
        <v>Consumer</v>
      </c>
      <c r="V290" s="8" t="str">
        <f>VLOOKUP(RawSalesTable[[#This Row],[Product_ID]],ProductsTable[],2,FALSE)</f>
        <v>Document Shredder</v>
      </c>
      <c r="W290" s="8" t="str">
        <f>VLOOKUP(RawSalesTable[[#This Row],[Product_ID]],ProductsTable[],3,FALSE)</f>
        <v>Office</v>
      </c>
      <c r="X290" s="8">
        <f>VLOOKUP(RawSalesTable[[#This Row],[Product_ID]],ProductsTable[],5,FALSE)</f>
        <v>117.65</v>
      </c>
      <c r="Y290" s="8">
        <f>RawSalesTable[[#This Row],[Quantity]]*RawSalesTable[[#This Row],[Unit_Price]]</f>
        <v>234.76</v>
      </c>
      <c r="Z290" s="8">
        <f>RawSalesTable[[#This Row],[Gross_Sales]]*RawSalesTable[[#This Row],[Discount_Pct]]</f>
        <v>35.213999999999999</v>
      </c>
      <c r="AA290" s="8">
        <f>RawSalesTable[[#This Row],[Gross_Sales]]-RawSalesTable[[#This Row],[Discount_Amount]]</f>
        <v>199.54599999999999</v>
      </c>
      <c r="AB290" s="8">
        <f>RawSalesTable[[#This Row],[Unit_Cost]]*RawSalesTable[[#This Row],[Quantity]]</f>
        <v>117.65</v>
      </c>
      <c r="AC290" s="8">
        <f>RawSalesTable[[#This Row],[Net_Sales]]-RawSalesTable[[#This Row],[Total_Cost]]</f>
        <v>81.895999999999987</v>
      </c>
      <c r="AD290" s="9">
        <f>RawSalesTable[[#This Row],[Profit]]/RawSalesTable[[#This Row],[Net_Sales]]</f>
        <v>0.41041163441011091</v>
      </c>
      <c r="AE290" s="8">
        <f>IF(RawSalesTable[[#This Row],[Return_Status]]="Yes",1,0)</f>
        <v>1</v>
      </c>
      <c r="AF290" s="8">
        <f>YEAR(RawSalesTable[[#This Row],[Order_Date]])</f>
        <v>2025</v>
      </c>
      <c r="AG290" s="8">
        <f>MONTH(RawSalesTable[[#This Row],[Order_Date]])</f>
        <v>2</v>
      </c>
      <c r="AH290" s="8" t="str">
        <f>TEXT(RawSalesTable[[#This Row],[Order_Date]],"mmmm")</f>
        <v>février</v>
      </c>
      <c r="AI290" s="8" t="str">
        <f>IF(RawSalesTable[[#This Row],[Month_Number]]&lt;=3,"Q1",IF(RawSalesTable[[#This Row],[Month_Number]]&lt;=6,"Q2",IF(RawSalesTable[[#This Row],[Month_Number]]&lt;=9,"Q3","Q4")))</f>
        <v>Q1</v>
      </c>
      <c r="AJ290" s="13">
        <f>DATE(YEAR(RawSalesTable[[#This Row],[Order_Date]]),MONTH(RawSalesTable[[#This Row],[Order_Date]]),1)</f>
        <v>45689</v>
      </c>
      <c r="AK290" s="8" t="str">
        <f>VLOOKUP(RawSalesTable[[#This Row],[Customer_ID_clean]],CustomersTable[],4,FALSE)</f>
        <v>British Columbia</v>
      </c>
    </row>
    <row r="291" spans="1:37">
      <c r="A291" t="s">
        <v>686</v>
      </c>
      <c r="B291" s="3">
        <v>45682</v>
      </c>
      <c r="C291" t="s">
        <v>374</v>
      </c>
      <c r="D291" t="s">
        <v>323</v>
      </c>
      <c r="E291" t="s">
        <v>375</v>
      </c>
      <c r="F291" t="s">
        <v>145</v>
      </c>
      <c r="G291" t="s">
        <v>96</v>
      </c>
      <c r="H291" t="s">
        <v>308</v>
      </c>
      <c r="I291">
        <v>1</v>
      </c>
      <c r="J291" s="2">
        <v>337.81</v>
      </c>
      <c r="K291" s="4">
        <v>0.1</v>
      </c>
      <c r="L291" t="s">
        <v>521</v>
      </c>
      <c r="M291">
        <v>5</v>
      </c>
      <c r="N291" t="s">
        <v>147</v>
      </c>
      <c r="O291" t="str">
        <f>SUBSTITUTE(PROPER(TRIM(RawSalesTable[[#This Row],[Channel_Raw]])), "Market Place", "Marketplace")</f>
        <v>Online</v>
      </c>
      <c r="P291" t="str">
        <f>TRIM(RawSalesTable[[#This Row],[Store_Raw]])</f>
        <v>Calgary North</v>
      </c>
      <c r="Q291" t="str">
        <f>IF(TRIM(RawSalesTable[[#This Row],[Payment_Method_Raw]])="","Non renseigné",SUBSTITUTE(TRIM(RawSalesTable[[#This Row],[Payment_Method_Raw]]),"CC","Credit Card"))</f>
        <v>debit card</v>
      </c>
      <c r="R291" s="8" t="str">
        <f>UPPER(PROPER(RawSalesTable[[#This Row],[Customer_ID]]))</f>
        <v>C0035</v>
      </c>
      <c r="S291" s="8" t="str">
        <f>TRIM(LEFT(RawSalesTable[[#This Row],[Customer_Info]],FIND(",",RawSalesTable[[#This Row],[Customer_Info]]) -1))</f>
        <v>Amelia Scott</v>
      </c>
      <c r="T291" s="8" t="str">
        <f>TRIM(MID(RawSalesTable[[#This Row],[Customer_Info]],FIND(",",RawSalesTable[[#This Row],[Customer_Info]])+1,FIND(",",RawSalesTable[[#This Row],[Customer_Info]],FIND(",",RawSalesTable[[#This Row],[Customer_Info]])+1)-FIND(",",RawSalesTable[[#This Row],[Customer_Info]])-1))</f>
        <v>Edmonton</v>
      </c>
      <c r="U291" s="8" t="str">
        <f>TRIM(RIGHT(RawSalesTable[[#This Row],[Customer_Info]], LEN(RawSalesTable[[#This Row],[Customer_Info]])-FIND(",",RawSalesTable[[#This Row],[Customer_Info]],FIND(",",RawSalesTable[[#This Row],[Customer_Info]])+1)))</f>
        <v>Small Business</v>
      </c>
      <c r="V291" s="8" t="str">
        <f>VLOOKUP(RawSalesTable[[#This Row],[Product_ID]],ProductsTable[],2,FALSE)</f>
        <v>Toaster</v>
      </c>
      <c r="W291" s="8" t="str">
        <f>VLOOKUP(RawSalesTable[[#This Row],[Product_ID]],ProductsTable[],3,FALSE)</f>
        <v>Home</v>
      </c>
      <c r="X291" s="8">
        <f>VLOOKUP(RawSalesTable[[#This Row],[Product_ID]],ProductsTable[],5,FALSE)</f>
        <v>152.88</v>
      </c>
      <c r="Y291" s="8">
        <f>RawSalesTable[[#This Row],[Quantity]]*RawSalesTable[[#This Row],[Unit_Price]]</f>
        <v>337.81</v>
      </c>
      <c r="Z291" s="8">
        <f>RawSalesTable[[#This Row],[Gross_Sales]]*RawSalesTable[[#This Row],[Discount_Pct]]</f>
        <v>33.780999999999999</v>
      </c>
      <c r="AA291" s="8">
        <f>RawSalesTable[[#This Row],[Gross_Sales]]-RawSalesTable[[#This Row],[Discount_Amount]]</f>
        <v>304.029</v>
      </c>
      <c r="AB291" s="8">
        <f>RawSalesTable[[#This Row],[Unit_Cost]]*RawSalesTable[[#This Row],[Quantity]]</f>
        <v>152.88</v>
      </c>
      <c r="AC291" s="8">
        <f>RawSalesTable[[#This Row],[Net_Sales]]-RawSalesTable[[#This Row],[Total_Cost]]</f>
        <v>151.149</v>
      </c>
      <c r="AD291" s="9">
        <f>RawSalesTable[[#This Row],[Profit]]/RawSalesTable[[#This Row],[Net_Sales]]</f>
        <v>0.49715323209299112</v>
      </c>
      <c r="AE291" s="8">
        <f>IF(RawSalesTable[[#This Row],[Return_Status]]="Yes",1,0)</f>
        <v>1</v>
      </c>
      <c r="AF291" s="8">
        <f>YEAR(RawSalesTable[[#This Row],[Order_Date]])</f>
        <v>2025</v>
      </c>
      <c r="AG291" s="8">
        <f>MONTH(RawSalesTable[[#This Row],[Order_Date]])</f>
        <v>1</v>
      </c>
      <c r="AH291" s="8" t="str">
        <f>TEXT(RawSalesTable[[#This Row],[Order_Date]],"mmmm")</f>
        <v>janvier</v>
      </c>
      <c r="AI291" s="8" t="str">
        <f>IF(RawSalesTable[[#This Row],[Month_Number]]&lt;=3,"Q1",IF(RawSalesTable[[#This Row],[Month_Number]]&lt;=6,"Q2",IF(RawSalesTable[[#This Row],[Month_Number]]&lt;=9,"Q3","Q4")))</f>
        <v>Q1</v>
      </c>
      <c r="AJ291" s="13">
        <f>DATE(YEAR(RawSalesTable[[#This Row],[Order_Date]]),MONTH(RawSalesTable[[#This Row],[Order_Date]]),1)</f>
        <v>45658</v>
      </c>
      <c r="AK291" s="8" t="str">
        <f>VLOOKUP(RawSalesTable[[#This Row],[Customer_ID_clean]],CustomersTable[],4,FALSE)</f>
        <v>Alberta</v>
      </c>
    </row>
    <row r="292" spans="1:37">
      <c r="A292" t="s">
        <v>687</v>
      </c>
      <c r="B292" s="3">
        <v>45872</v>
      </c>
      <c r="C292" t="s">
        <v>463</v>
      </c>
      <c r="D292" t="s">
        <v>181</v>
      </c>
      <c r="E292" t="s">
        <v>464</v>
      </c>
      <c r="F292" t="s">
        <v>145</v>
      </c>
      <c r="G292" t="s">
        <v>171</v>
      </c>
      <c r="H292" t="s">
        <v>105</v>
      </c>
      <c r="I292">
        <v>3</v>
      </c>
      <c r="J292" s="2">
        <v>359.35</v>
      </c>
      <c r="K292" s="4">
        <v>0.2</v>
      </c>
      <c r="L292" t="s">
        <v>106</v>
      </c>
      <c r="M292">
        <v>2</v>
      </c>
      <c r="N292" t="s">
        <v>91</v>
      </c>
      <c r="O292" t="str">
        <f>SUBSTITUTE(PROPER(TRIM(RawSalesTable[[#This Row],[Channel_Raw]])), "Market Place", "Marketplace")</f>
        <v>Marketplace</v>
      </c>
      <c r="P292" t="str">
        <f>TRIM(RawSalesTable[[#This Row],[Store_Raw]])</f>
        <v>Calgary North</v>
      </c>
      <c r="Q292" t="str">
        <f>IF(TRIM(RawSalesTable[[#This Row],[Payment_Method_Raw]])="","Non renseigné",SUBSTITUTE(TRIM(RawSalesTable[[#This Row],[Payment_Method_Raw]]),"CC","Credit Card"))</f>
        <v>Credit Card</v>
      </c>
      <c r="R292" s="8" t="str">
        <f>UPPER(PROPER(RawSalesTable[[#This Row],[Customer_ID]]))</f>
        <v>C0030</v>
      </c>
      <c r="S292" s="8" t="str">
        <f>TRIM(LEFT(RawSalesTable[[#This Row],[Customer_Info]],FIND(",",RawSalesTable[[#This Row],[Customer_Info]]) -1))</f>
        <v>Emma Lee</v>
      </c>
      <c r="T292" s="8" t="str">
        <f>TRIM(MID(RawSalesTable[[#This Row],[Customer_Info]],FIND(",",RawSalesTable[[#This Row],[Customer_Info]])+1,FIND(",",RawSalesTable[[#This Row],[Customer_Info]],FIND(",",RawSalesTable[[#This Row],[Customer_Info]])+1)-FIND(",",RawSalesTable[[#This Row],[Customer_Info]])-1))</f>
        <v>Calgary</v>
      </c>
      <c r="U292" s="8" t="str">
        <f>TRIM(RIGHT(RawSalesTable[[#This Row],[Customer_Info]], LEN(RawSalesTable[[#This Row],[Customer_Info]])-FIND(",",RawSalesTable[[#This Row],[Customer_Info]],FIND(",",RawSalesTable[[#This Row],[Customer_Info]])+1)))</f>
        <v>Corporate</v>
      </c>
      <c r="V292" s="8" t="str">
        <f>VLOOKUP(RawSalesTable[[#This Row],[Product_ID]],ProductsTable[],2,FALSE)</f>
        <v>Monitor</v>
      </c>
      <c r="W292" s="8" t="str">
        <f>VLOOKUP(RawSalesTable[[#This Row],[Product_ID]],ProductsTable[],3,FALSE)</f>
        <v>Electronics</v>
      </c>
      <c r="X292" s="8">
        <f>VLOOKUP(RawSalesTable[[#This Row],[Product_ID]],ProductsTable[],5,FALSE)</f>
        <v>224.47</v>
      </c>
      <c r="Y292" s="8">
        <f>RawSalesTable[[#This Row],[Quantity]]*RawSalesTable[[#This Row],[Unit_Price]]</f>
        <v>1078.0500000000002</v>
      </c>
      <c r="Z292" s="8">
        <f>RawSalesTable[[#This Row],[Gross_Sales]]*RawSalesTable[[#This Row],[Discount_Pct]]</f>
        <v>215.61000000000004</v>
      </c>
      <c r="AA292" s="8">
        <f>RawSalesTable[[#This Row],[Gross_Sales]]-RawSalesTable[[#This Row],[Discount_Amount]]</f>
        <v>862.44000000000017</v>
      </c>
      <c r="AB292" s="8">
        <f>RawSalesTable[[#This Row],[Unit_Cost]]*RawSalesTable[[#This Row],[Quantity]]</f>
        <v>673.41</v>
      </c>
      <c r="AC292" s="8">
        <f>RawSalesTable[[#This Row],[Net_Sales]]-RawSalesTable[[#This Row],[Total_Cost]]</f>
        <v>189.0300000000002</v>
      </c>
      <c r="AD292" s="9">
        <f>RawSalesTable[[#This Row],[Profit]]/RawSalesTable[[#This Row],[Net_Sales]]</f>
        <v>0.21918046472798128</v>
      </c>
      <c r="AE292" s="8">
        <f>IF(RawSalesTable[[#This Row],[Return_Status]]="Yes",1,0)</f>
        <v>0</v>
      </c>
      <c r="AF292" s="8">
        <f>YEAR(RawSalesTable[[#This Row],[Order_Date]])</f>
        <v>2025</v>
      </c>
      <c r="AG292" s="8">
        <f>MONTH(RawSalesTable[[#This Row],[Order_Date]])</f>
        <v>8</v>
      </c>
      <c r="AH292" s="8" t="str">
        <f>TEXT(RawSalesTable[[#This Row],[Order_Date]],"mmmm")</f>
        <v>août</v>
      </c>
      <c r="AI292" s="8" t="str">
        <f>IF(RawSalesTable[[#This Row],[Month_Number]]&lt;=3,"Q1",IF(RawSalesTable[[#This Row],[Month_Number]]&lt;=6,"Q2",IF(RawSalesTable[[#This Row],[Month_Number]]&lt;=9,"Q3","Q4")))</f>
        <v>Q3</v>
      </c>
      <c r="AJ292" s="13">
        <f>DATE(YEAR(RawSalesTable[[#This Row],[Order_Date]]),MONTH(RawSalesTable[[#This Row],[Order_Date]]),1)</f>
        <v>45870</v>
      </c>
      <c r="AK292" s="8" t="str">
        <f>VLOOKUP(RawSalesTable[[#This Row],[Customer_ID_clean]],CustomersTable[],4,FALSE)</f>
        <v>Alberta</v>
      </c>
    </row>
    <row r="293" spans="1:37">
      <c r="A293" t="s">
        <v>688</v>
      </c>
      <c r="B293" s="3">
        <v>45879</v>
      </c>
      <c r="C293" t="s">
        <v>480</v>
      </c>
      <c r="D293" t="s">
        <v>133</v>
      </c>
      <c r="E293" t="s">
        <v>481</v>
      </c>
      <c r="F293" t="s">
        <v>103</v>
      </c>
      <c r="G293" t="s">
        <v>117</v>
      </c>
      <c r="H293" t="s">
        <v>228</v>
      </c>
      <c r="I293">
        <v>2</v>
      </c>
      <c r="J293" s="2">
        <v>331.42</v>
      </c>
      <c r="K293" s="4">
        <v>0</v>
      </c>
      <c r="L293" t="s">
        <v>432</v>
      </c>
      <c r="M293">
        <v>7</v>
      </c>
      <c r="N293" t="s">
        <v>91</v>
      </c>
      <c r="O293" t="str">
        <f>SUBSTITUTE(PROPER(TRIM(RawSalesTable[[#This Row],[Channel_Raw]])), "Market Place", "Marketplace")</f>
        <v>Online</v>
      </c>
      <c r="P293" t="str">
        <f>TRIM(RawSalesTable[[#This Row],[Store_Raw]])</f>
        <v>Vancouver West</v>
      </c>
      <c r="Q293" t="str">
        <f>IF(TRIM(RawSalesTable[[#This Row],[Payment_Method_Raw]])="","Non renseigné",SUBSTITUTE(TRIM(RawSalesTable[[#This Row],[Payment_Method_Raw]]),"CC","Credit Card"))</f>
        <v>PAYPAL</v>
      </c>
      <c r="R293" s="8" t="str">
        <f>UPPER(PROPER(RawSalesTable[[#This Row],[Customer_ID]]))</f>
        <v>C0053</v>
      </c>
      <c r="S293" s="8" t="str">
        <f>TRIM(LEFT(RawSalesTable[[#This Row],[Customer_Info]],FIND(",",RawSalesTable[[#This Row],[Customer_Info]]) -1))</f>
        <v>Ryan Lee</v>
      </c>
      <c r="T293" s="8" t="str">
        <f>TRIM(MID(RawSalesTable[[#This Row],[Customer_Info]],FIND(",",RawSalesTable[[#This Row],[Customer_Info]])+1,FIND(",",RawSalesTable[[#This Row],[Customer_Info]],FIND(",",RawSalesTable[[#This Row],[Customer_Info]])+1)-FIND(",",RawSalesTable[[#This Row],[Customer_Info]])-1))</f>
        <v>Laval</v>
      </c>
      <c r="U293" s="8" t="str">
        <f>TRIM(RIGHT(RawSalesTable[[#This Row],[Customer_Info]], LEN(RawSalesTable[[#This Row],[Customer_Info]])-FIND(",",RawSalesTable[[#This Row],[Customer_Info]],FIND(",",RawSalesTable[[#This Row],[Customer_Info]])+1)))</f>
        <v>Consumer</v>
      </c>
      <c r="V293" s="8" t="str">
        <f>VLOOKUP(RawSalesTable[[#This Row],[Product_ID]],ProductsTable[],2,FALSE)</f>
        <v>Travel Adapter</v>
      </c>
      <c r="W293" s="8" t="str">
        <f>VLOOKUP(RawSalesTable[[#This Row],[Product_ID]],ProductsTable[],3,FALSE)</f>
        <v>Accessories</v>
      </c>
      <c r="X293" s="8">
        <f>VLOOKUP(RawSalesTable[[#This Row],[Product_ID]],ProductsTable[],5,FALSE)</f>
        <v>229.86</v>
      </c>
      <c r="Y293" s="8">
        <f>RawSalesTable[[#This Row],[Quantity]]*RawSalesTable[[#This Row],[Unit_Price]]</f>
        <v>662.84</v>
      </c>
      <c r="Z293" s="8">
        <f>RawSalesTable[[#This Row],[Gross_Sales]]*RawSalesTable[[#This Row],[Discount_Pct]]</f>
        <v>0</v>
      </c>
      <c r="AA293" s="8">
        <f>RawSalesTable[[#This Row],[Gross_Sales]]-RawSalesTable[[#This Row],[Discount_Amount]]</f>
        <v>662.84</v>
      </c>
      <c r="AB293" s="8">
        <f>RawSalesTable[[#This Row],[Unit_Cost]]*RawSalesTable[[#This Row],[Quantity]]</f>
        <v>459.72</v>
      </c>
      <c r="AC293" s="8">
        <f>RawSalesTable[[#This Row],[Net_Sales]]-RawSalesTable[[#This Row],[Total_Cost]]</f>
        <v>203.12</v>
      </c>
      <c r="AD293" s="9">
        <f>RawSalesTable[[#This Row],[Profit]]/RawSalesTable[[#This Row],[Net_Sales]]</f>
        <v>0.30643895962826623</v>
      </c>
      <c r="AE293" s="8">
        <f>IF(RawSalesTable[[#This Row],[Return_Status]]="Yes",1,0)</f>
        <v>0</v>
      </c>
      <c r="AF293" s="8">
        <f>YEAR(RawSalesTable[[#This Row],[Order_Date]])</f>
        <v>2025</v>
      </c>
      <c r="AG293" s="8">
        <f>MONTH(RawSalesTable[[#This Row],[Order_Date]])</f>
        <v>8</v>
      </c>
      <c r="AH293" s="8" t="str">
        <f>TEXT(RawSalesTable[[#This Row],[Order_Date]],"mmmm")</f>
        <v>août</v>
      </c>
      <c r="AI293" s="8" t="str">
        <f>IF(RawSalesTable[[#This Row],[Month_Number]]&lt;=3,"Q1",IF(RawSalesTable[[#This Row],[Month_Number]]&lt;=6,"Q2",IF(RawSalesTable[[#This Row],[Month_Number]]&lt;=9,"Q3","Q4")))</f>
        <v>Q3</v>
      </c>
      <c r="AJ293" s="13">
        <f>DATE(YEAR(RawSalesTable[[#This Row],[Order_Date]]),MONTH(RawSalesTable[[#This Row],[Order_Date]]),1)</f>
        <v>45870</v>
      </c>
      <c r="AK293" s="8" t="str">
        <f>VLOOKUP(RawSalesTable[[#This Row],[Customer_ID_clean]],CustomersTable[],4,FALSE)</f>
        <v>Quebec</v>
      </c>
    </row>
    <row r="294" spans="1:37">
      <c r="A294" t="s">
        <v>689</v>
      </c>
      <c r="B294" s="3">
        <v>45845</v>
      </c>
      <c r="C294" t="s">
        <v>675</v>
      </c>
      <c r="D294" t="s">
        <v>85</v>
      </c>
      <c r="E294" t="s">
        <v>676</v>
      </c>
      <c r="F294" t="s">
        <v>87</v>
      </c>
      <c r="G294" t="s">
        <v>117</v>
      </c>
      <c r="H294" t="s">
        <v>97</v>
      </c>
      <c r="I294">
        <v>1</v>
      </c>
      <c r="J294" s="2">
        <v>307.8</v>
      </c>
      <c r="K294" s="4">
        <v>0</v>
      </c>
      <c r="L294" t="s">
        <v>90</v>
      </c>
      <c r="M294">
        <v>1</v>
      </c>
      <c r="N294" t="s">
        <v>91</v>
      </c>
      <c r="O294" t="str">
        <f>SUBSTITUTE(PROPER(TRIM(RawSalesTable[[#This Row],[Channel_Raw]])), "Market Place", "Marketplace")</f>
        <v>Retail Store</v>
      </c>
      <c r="P294" t="str">
        <f>TRIM(RawSalesTable[[#This Row],[Store_Raw]])</f>
        <v>Online Fulfillment</v>
      </c>
      <c r="Q294" t="str">
        <f>IF(TRIM(RawSalesTable[[#This Row],[Payment_Method_Raw]])="","Non renseigné",SUBSTITUTE(TRIM(RawSalesTable[[#This Row],[Payment_Method_Raw]]),"CC","Credit Card"))</f>
        <v>PayPal</v>
      </c>
      <c r="R294" s="8" t="str">
        <f>UPPER(PROPER(RawSalesTable[[#This Row],[Customer_ID]]))</f>
        <v>C0101</v>
      </c>
      <c r="S294" s="8" t="str">
        <f>TRIM(LEFT(RawSalesTable[[#This Row],[Customer_Info]],FIND(",",RawSalesTable[[#This Row],[Customer_Info]]) -1))</f>
        <v>Noah Martin</v>
      </c>
      <c r="T294" s="8" t="str">
        <f>TRIM(MID(RawSalesTable[[#This Row],[Customer_Info]],FIND(",",RawSalesTable[[#This Row],[Customer_Info]])+1,FIND(",",RawSalesTable[[#This Row],[Customer_Info]],FIND(",",RawSalesTable[[#This Row],[Customer_Info]])+1)-FIND(",",RawSalesTable[[#This Row],[Customer_Info]])-1))</f>
        <v>Saskatoon</v>
      </c>
      <c r="U294" s="8" t="str">
        <f>TRIM(RIGHT(RawSalesTable[[#This Row],[Customer_Info]], LEN(RawSalesTable[[#This Row],[Customer_Info]])-FIND(",",RawSalesTable[[#This Row],[Customer_Info]],FIND(",",RawSalesTable[[#This Row],[Customer_Info]])+1)))</f>
        <v>Small Business</v>
      </c>
      <c r="V294" s="8" t="str">
        <f>VLOOKUP(RawSalesTable[[#This Row],[Product_ID]],ProductsTable[],2,FALSE)</f>
        <v>Yoga Mat</v>
      </c>
      <c r="W294" s="8" t="str">
        <f>VLOOKUP(RawSalesTable[[#This Row],[Product_ID]],ProductsTable[],3,FALSE)</f>
        <v>Fitness</v>
      </c>
      <c r="X294" s="8">
        <f>VLOOKUP(RawSalesTable[[#This Row],[Product_ID]],ProductsTable[],5,FALSE)</f>
        <v>197.33</v>
      </c>
      <c r="Y294" s="8">
        <f>RawSalesTable[[#This Row],[Quantity]]*RawSalesTable[[#This Row],[Unit_Price]]</f>
        <v>307.8</v>
      </c>
      <c r="Z294" s="8">
        <f>RawSalesTable[[#This Row],[Gross_Sales]]*RawSalesTable[[#This Row],[Discount_Pct]]</f>
        <v>0</v>
      </c>
      <c r="AA294" s="8">
        <f>RawSalesTable[[#This Row],[Gross_Sales]]-RawSalesTable[[#This Row],[Discount_Amount]]</f>
        <v>307.8</v>
      </c>
      <c r="AB294" s="8">
        <f>RawSalesTable[[#This Row],[Unit_Cost]]*RawSalesTable[[#This Row],[Quantity]]</f>
        <v>197.33</v>
      </c>
      <c r="AC294" s="8">
        <f>RawSalesTable[[#This Row],[Net_Sales]]-RawSalesTable[[#This Row],[Total_Cost]]</f>
        <v>110.47</v>
      </c>
      <c r="AD294" s="9">
        <f>RawSalesTable[[#This Row],[Profit]]/RawSalesTable[[#This Row],[Net_Sales]]</f>
        <v>0.35890188434048081</v>
      </c>
      <c r="AE294" s="8">
        <f>IF(RawSalesTable[[#This Row],[Return_Status]]="Yes",1,0)</f>
        <v>0</v>
      </c>
      <c r="AF294" s="8">
        <f>YEAR(RawSalesTable[[#This Row],[Order_Date]])</f>
        <v>2025</v>
      </c>
      <c r="AG294" s="8">
        <f>MONTH(RawSalesTable[[#This Row],[Order_Date]])</f>
        <v>7</v>
      </c>
      <c r="AH294" s="8" t="str">
        <f>TEXT(RawSalesTable[[#This Row],[Order_Date]],"mmmm")</f>
        <v>juillet</v>
      </c>
      <c r="AI294" s="8" t="str">
        <f>IF(RawSalesTable[[#This Row],[Month_Number]]&lt;=3,"Q1",IF(RawSalesTable[[#This Row],[Month_Number]]&lt;=6,"Q2",IF(RawSalesTable[[#This Row],[Month_Number]]&lt;=9,"Q3","Q4")))</f>
        <v>Q3</v>
      </c>
      <c r="AJ294" s="13">
        <f>DATE(YEAR(RawSalesTable[[#This Row],[Order_Date]]),MONTH(RawSalesTable[[#This Row],[Order_Date]]),1)</f>
        <v>45839</v>
      </c>
      <c r="AK294" s="8" t="str">
        <f>VLOOKUP(RawSalesTable[[#This Row],[Customer_ID_clean]],CustomersTable[],4,FALSE)</f>
        <v>Saskatchewan</v>
      </c>
    </row>
    <row r="295" spans="1:37">
      <c r="A295" t="s">
        <v>690</v>
      </c>
      <c r="B295" s="3">
        <v>45969</v>
      </c>
      <c r="C295" t="s">
        <v>356</v>
      </c>
      <c r="D295" t="s">
        <v>194</v>
      </c>
      <c r="E295" t="s">
        <v>357</v>
      </c>
      <c r="F295" t="s">
        <v>145</v>
      </c>
      <c r="G295" t="s">
        <v>96</v>
      </c>
      <c r="H295" t="s">
        <v>89</v>
      </c>
      <c r="I295">
        <v>3</v>
      </c>
      <c r="J295" s="2">
        <v>194.83</v>
      </c>
      <c r="K295" s="4">
        <v>0</v>
      </c>
      <c r="L295" t="s">
        <v>106</v>
      </c>
      <c r="M295">
        <v>1</v>
      </c>
      <c r="N295" t="s">
        <v>91</v>
      </c>
      <c r="O295" t="str">
        <f>SUBSTITUTE(PROPER(TRIM(RawSalesTable[[#This Row],[Channel_Raw]])), "Market Place", "Marketplace")</f>
        <v>Online</v>
      </c>
      <c r="P295" t="str">
        <f>TRIM(RawSalesTable[[#This Row],[Store_Raw]])</f>
        <v>Calgary North</v>
      </c>
      <c r="Q295" t="str">
        <f>IF(TRIM(RawSalesTable[[#This Row],[Payment_Method_Raw]])="","Non renseigné",SUBSTITUTE(TRIM(RawSalesTable[[#This Row],[Payment_Method_Raw]]),"CC","Credit Card"))</f>
        <v>Credit Card</v>
      </c>
      <c r="R295" s="8" t="str">
        <f>UPPER(PROPER(RawSalesTable[[#This Row],[Customer_ID]]))</f>
        <v>C0008</v>
      </c>
      <c r="S295" s="8" t="str">
        <f>TRIM(LEFT(RawSalesTable[[#This Row],[Customer_Info]],FIND(",",RawSalesTable[[#This Row],[Customer_Info]]) -1))</f>
        <v>Mia Wilson</v>
      </c>
      <c r="T295" s="8" t="str">
        <f>TRIM(MID(RawSalesTable[[#This Row],[Customer_Info]],FIND(",",RawSalesTable[[#This Row],[Customer_Info]])+1,FIND(",",RawSalesTable[[#This Row],[Customer_Info]],FIND(",",RawSalesTable[[#This Row],[Customer_Info]])+1)-FIND(",",RawSalesTable[[#This Row],[Customer_Info]])-1))</f>
        <v>Calgary</v>
      </c>
      <c r="U295" s="8" t="str">
        <f>TRIM(RIGHT(RawSalesTable[[#This Row],[Customer_Info]], LEN(RawSalesTable[[#This Row],[Customer_Info]])-FIND(",",RawSalesTable[[#This Row],[Customer_Info]],FIND(",",RawSalesTable[[#This Row],[Customer_Info]])+1)))</f>
        <v>Consumer</v>
      </c>
      <c r="V295" s="8" t="str">
        <f>VLOOKUP(RawSalesTable[[#This Row],[Product_ID]],ProductsTable[],2,FALSE)</f>
        <v>Jump Rope</v>
      </c>
      <c r="W295" s="8" t="str">
        <f>VLOOKUP(RawSalesTable[[#This Row],[Product_ID]],ProductsTable[],3,FALSE)</f>
        <v>Fitness</v>
      </c>
      <c r="X295" s="8">
        <f>VLOOKUP(RawSalesTable[[#This Row],[Product_ID]],ProductsTable[],5,FALSE)</f>
        <v>101</v>
      </c>
      <c r="Y295" s="8">
        <f>RawSalesTable[[#This Row],[Quantity]]*RawSalesTable[[#This Row],[Unit_Price]]</f>
        <v>584.49</v>
      </c>
      <c r="Z295" s="8">
        <f>RawSalesTable[[#This Row],[Gross_Sales]]*RawSalesTable[[#This Row],[Discount_Pct]]</f>
        <v>0</v>
      </c>
      <c r="AA295" s="8">
        <f>RawSalesTable[[#This Row],[Gross_Sales]]-RawSalesTable[[#This Row],[Discount_Amount]]</f>
        <v>584.49</v>
      </c>
      <c r="AB295" s="8">
        <f>RawSalesTable[[#This Row],[Unit_Cost]]*RawSalesTable[[#This Row],[Quantity]]</f>
        <v>303</v>
      </c>
      <c r="AC295" s="8">
        <f>RawSalesTable[[#This Row],[Net_Sales]]-RawSalesTable[[#This Row],[Total_Cost]]</f>
        <v>281.49</v>
      </c>
      <c r="AD295" s="9">
        <f>RawSalesTable[[#This Row],[Profit]]/RawSalesTable[[#This Row],[Net_Sales]]</f>
        <v>0.4815993430169892</v>
      </c>
      <c r="AE295" s="8">
        <f>IF(RawSalesTable[[#This Row],[Return_Status]]="Yes",1,0)</f>
        <v>0</v>
      </c>
      <c r="AF295" s="8">
        <f>YEAR(RawSalesTable[[#This Row],[Order_Date]])</f>
        <v>2025</v>
      </c>
      <c r="AG295" s="8">
        <f>MONTH(RawSalesTable[[#This Row],[Order_Date]])</f>
        <v>11</v>
      </c>
      <c r="AH295" s="8" t="str">
        <f>TEXT(RawSalesTable[[#This Row],[Order_Date]],"mmmm")</f>
        <v>novembre</v>
      </c>
      <c r="AI295" s="8" t="str">
        <f>IF(RawSalesTable[[#This Row],[Month_Number]]&lt;=3,"Q1",IF(RawSalesTable[[#This Row],[Month_Number]]&lt;=6,"Q2",IF(RawSalesTable[[#This Row],[Month_Number]]&lt;=9,"Q3","Q4")))</f>
        <v>Q4</v>
      </c>
      <c r="AJ295" s="13">
        <f>DATE(YEAR(RawSalesTable[[#This Row],[Order_Date]]),MONTH(RawSalesTable[[#This Row],[Order_Date]]),1)</f>
        <v>45962</v>
      </c>
      <c r="AK295" s="8" t="str">
        <f>VLOOKUP(RawSalesTable[[#This Row],[Customer_ID_clean]],CustomersTable[],4,FALSE)</f>
        <v>Alberta</v>
      </c>
    </row>
    <row r="296" spans="1:37">
      <c r="A296" t="s">
        <v>691</v>
      </c>
      <c r="B296" s="3">
        <v>45871</v>
      </c>
      <c r="C296" t="s">
        <v>594</v>
      </c>
      <c r="D296" t="s">
        <v>255</v>
      </c>
      <c r="E296" t="s">
        <v>595</v>
      </c>
      <c r="F296" t="s">
        <v>116</v>
      </c>
      <c r="G296" t="s">
        <v>117</v>
      </c>
      <c r="H296" t="s">
        <v>97</v>
      </c>
      <c r="I296">
        <v>2</v>
      </c>
      <c r="J296" s="2">
        <v>238.26</v>
      </c>
      <c r="K296" s="4">
        <v>0</v>
      </c>
      <c r="L296" t="s">
        <v>90</v>
      </c>
      <c r="M296">
        <v>3</v>
      </c>
      <c r="N296" t="s">
        <v>91</v>
      </c>
      <c r="O296" t="str">
        <f>SUBSTITUTE(PROPER(TRIM(RawSalesTable[[#This Row],[Channel_Raw]])), "Market Place", "Marketplace")</f>
        <v>Retail Store</v>
      </c>
      <c r="P296" t="str">
        <f>TRIM(RawSalesTable[[#This Row],[Store_Raw]])</f>
        <v>Toronto Downtown</v>
      </c>
      <c r="Q296" t="str">
        <f>IF(TRIM(RawSalesTable[[#This Row],[Payment_Method_Raw]])="","Non renseigné",SUBSTITUTE(TRIM(RawSalesTable[[#This Row],[Payment_Method_Raw]]),"CC","Credit Card"))</f>
        <v>PayPal</v>
      </c>
      <c r="R296" s="8" t="str">
        <f>UPPER(PROPER(RawSalesTable[[#This Row],[Customer_ID]]))</f>
        <v>C0027</v>
      </c>
      <c r="S296" s="8" t="str">
        <f>TRIM(LEFT(RawSalesTable[[#This Row],[Customer_Info]],FIND(",",RawSalesTable[[#This Row],[Customer_Info]]) -1))</f>
        <v>Nora Wilson</v>
      </c>
      <c r="T296" s="8" t="str">
        <f>TRIM(MID(RawSalesTable[[#This Row],[Customer_Info]],FIND(",",RawSalesTable[[#This Row],[Customer_Info]])+1,FIND(",",RawSalesTable[[#This Row],[Customer_Info]],FIND(",",RawSalesTable[[#This Row],[Customer_Info]])+1)-FIND(",",RawSalesTable[[#This Row],[Customer_Info]])-1))</f>
        <v>Toronto</v>
      </c>
      <c r="U296" s="8" t="str">
        <f>TRIM(RIGHT(RawSalesTable[[#This Row],[Customer_Info]], LEN(RawSalesTable[[#This Row],[Customer_Info]])-FIND(",",RawSalesTable[[#This Row],[Customer_Info]],FIND(",",RawSalesTable[[#This Row],[Customer_Info]])+1)))</f>
        <v>Small Business</v>
      </c>
      <c r="V296" s="8" t="str">
        <f>VLOOKUP(RawSalesTable[[#This Row],[Product_ID]],ProductsTable[],2,FALSE)</f>
        <v>Document Shredder</v>
      </c>
      <c r="W296" s="8" t="str">
        <f>VLOOKUP(RawSalesTable[[#This Row],[Product_ID]],ProductsTable[],3,FALSE)</f>
        <v>Office</v>
      </c>
      <c r="X296" s="8">
        <f>VLOOKUP(RawSalesTable[[#This Row],[Product_ID]],ProductsTable[],5,FALSE)</f>
        <v>117.65</v>
      </c>
      <c r="Y296" s="8">
        <f>RawSalesTable[[#This Row],[Quantity]]*RawSalesTable[[#This Row],[Unit_Price]]</f>
        <v>476.52</v>
      </c>
      <c r="Z296" s="8">
        <f>RawSalesTable[[#This Row],[Gross_Sales]]*RawSalesTable[[#This Row],[Discount_Pct]]</f>
        <v>0</v>
      </c>
      <c r="AA296" s="8">
        <f>RawSalesTable[[#This Row],[Gross_Sales]]-RawSalesTable[[#This Row],[Discount_Amount]]</f>
        <v>476.52</v>
      </c>
      <c r="AB296" s="8">
        <f>RawSalesTable[[#This Row],[Unit_Cost]]*RawSalesTable[[#This Row],[Quantity]]</f>
        <v>235.3</v>
      </c>
      <c r="AC296" s="8">
        <f>RawSalesTable[[#This Row],[Net_Sales]]-RawSalesTable[[#This Row],[Total_Cost]]</f>
        <v>241.21999999999997</v>
      </c>
      <c r="AD296" s="9">
        <f>RawSalesTable[[#This Row],[Profit]]/RawSalesTable[[#This Row],[Net_Sales]]</f>
        <v>0.50621170150256023</v>
      </c>
      <c r="AE296" s="8">
        <f>IF(RawSalesTable[[#This Row],[Return_Status]]="Yes",1,0)</f>
        <v>0</v>
      </c>
      <c r="AF296" s="8">
        <f>YEAR(RawSalesTable[[#This Row],[Order_Date]])</f>
        <v>2025</v>
      </c>
      <c r="AG296" s="8">
        <f>MONTH(RawSalesTable[[#This Row],[Order_Date]])</f>
        <v>8</v>
      </c>
      <c r="AH296" s="8" t="str">
        <f>TEXT(RawSalesTable[[#This Row],[Order_Date]],"mmmm")</f>
        <v>août</v>
      </c>
      <c r="AI296" s="8" t="str">
        <f>IF(RawSalesTable[[#This Row],[Month_Number]]&lt;=3,"Q1",IF(RawSalesTable[[#This Row],[Month_Number]]&lt;=6,"Q2",IF(RawSalesTable[[#This Row],[Month_Number]]&lt;=9,"Q3","Q4")))</f>
        <v>Q3</v>
      </c>
      <c r="AJ296" s="13">
        <f>DATE(YEAR(RawSalesTable[[#This Row],[Order_Date]]),MONTH(RawSalesTable[[#This Row],[Order_Date]]),1)</f>
        <v>45870</v>
      </c>
      <c r="AK296" s="8" t="str">
        <f>VLOOKUP(RawSalesTable[[#This Row],[Customer_ID_clean]],CustomersTable[],4,FALSE)</f>
        <v>Ontario</v>
      </c>
    </row>
    <row r="297" spans="1:37">
      <c r="A297" t="s">
        <v>692</v>
      </c>
      <c r="B297" s="3">
        <v>45912</v>
      </c>
      <c r="C297" t="s">
        <v>169</v>
      </c>
      <c r="D297" t="s">
        <v>157</v>
      </c>
      <c r="E297" t="s">
        <v>170</v>
      </c>
      <c r="F297" t="s">
        <v>145</v>
      </c>
      <c r="G297" t="s">
        <v>96</v>
      </c>
      <c r="H297" t="s">
        <v>89</v>
      </c>
      <c r="I297">
        <v>1</v>
      </c>
      <c r="J297" s="2">
        <v>293.91000000000003</v>
      </c>
      <c r="K297" s="4">
        <v>0.15</v>
      </c>
      <c r="L297" t="s">
        <v>106</v>
      </c>
      <c r="M297">
        <v>8</v>
      </c>
      <c r="N297" t="s">
        <v>91</v>
      </c>
      <c r="O297" t="str">
        <f>SUBSTITUTE(PROPER(TRIM(RawSalesTable[[#This Row],[Channel_Raw]])), "Market Place", "Marketplace")</f>
        <v>Online</v>
      </c>
      <c r="P297" t="str">
        <f>TRIM(RawSalesTable[[#This Row],[Store_Raw]])</f>
        <v>Calgary North</v>
      </c>
      <c r="Q297" t="str">
        <f>IF(TRIM(RawSalesTable[[#This Row],[Payment_Method_Raw]])="","Non renseigné",SUBSTITUTE(TRIM(RawSalesTable[[#This Row],[Payment_Method_Raw]]),"CC","Credit Card"))</f>
        <v>Credit Card</v>
      </c>
      <c r="R297" s="8" t="str">
        <f>UPPER(PROPER(RawSalesTable[[#This Row],[Customer_ID]]))</f>
        <v>C0064</v>
      </c>
      <c r="S297" s="8" t="str">
        <f>TRIM(LEFT(RawSalesTable[[#This Row],[Customer_Info]],FIND(",",RawSalesTable[[#This Row],[Customer_Info]]) -1))</f>
        <v>Amine Khan</v>
      </c>
      <c r="T297" s="8" t="str">
        <f>TRIM(MID(RawSalesTable[[#This Row],[Customer_Info]],FIND(",",RawSalesTable[[#This Row],[Customer_Info]])+1,FIND(",",RawSalesTable[[#This Row],[Customer_Info]],FIND(",",RawSalesTable[[#This Row],[Customer_Info]])+1)-FIND(",",RawSalesTable[[#This Row],[Customer_Info]])-1))</f>
        <v>Edmonton</v>
      </c>
      <c r="U297" s="8" t="str">
        <f>TRIM(RIGHT(RawSalesTable[[#This Row],[Customer_Info]], LEN(RawSalesTable[[#This Row],[Customer_Info]])-FIND(",",RawSalesTable[[#This Row],[Customer_Info]],FIND(",",RawSalesTable[[#This Row],[Customer_Info]])+1)))</f>
        <v>Consumer</v>
      </c>
      <c r="V297" s="8" t="str">
        <f>VLOOKUP(RawSalesTable[[#This Row],[Product_ID]],ProductsTable[],2,FALSE)</f>
        <v>Notebook</v>
      </c>
      <c r="W297" s="8" t="str">
        <f>VLOOKUP(RawSalesTable[[#This Row],[Product_ID]],ProductsTable[],3,FALSE)</f>
        <v>Office</v>
      </c>
      <c r="X297" s="8">
        <f>VLOOKUP(RawSalesTable[[#This Row],[Product_ID]],ProductsTable[],5,FALSE)</f>
        <v>176.13</v>
      </c>
      <c r="Y297" s="8">
        <f>RawSalesTable[[#This Row],[Quantity]]*RawSalesTable[[#This Row],[Unit_Price]]</f>
        <v>293.91000000000003</v>
      </c>
      <c r="Z297" s="8">
        <f>RawSalesTable[[#This Row],[Gross_Sales]]*RawSalesTable[[#This Row],[Discount_Pct]]</f>
        <v>44.086500000000001</v>
      </c>
      <c r="AA297" s="8">
        <f>RawSalesTable[[#This Row],[Gross_Sales]]-RawSalesTable[[#This Row],[Discount_Amount]]</f>
        <v>249.82350000000002</v>
      </c>
      <c r="AB297" s="8">
        <f>RawSalesTable[[#This Row],[Unit_Cost]]*RawSalesTable[[#This Row],[Quantity]]</f>
        <v>176.13</v>
      </c>
      <c r="AC297" s="8">
        <f>RawSalesTable[[#This Row],[Net_Sales]]-RawSalesTable[[#This Row],[Total_Cost]]</f>
        <v>73.693500000000029</v>
      </c>
      <c r="AD297" s="9">
        <f>RawSalesTable[[#This Row],[Profit]]/RawSalesTable[[#This Row],[Net_Sales]]</f>
        <v>0.2949822574737766</v>
      </c>
      <c r="AE297" s="8">
        <f>IF(RawSalesTable[[#This Row],[Return_Status]]="Yes",1,0)</f>
        <v>0</v>
      </c>
      <c r="AF297" s="8">
        <f>YEAR(RawSalesTable[[#This Row],[Order_Date]])</f>
        <v>2025</v>
      </c>
      <c r="AG297" s="8">
        <f>MONTH(RawSalesTable[[#This Row],[Order_Date]])</f>
        <v>9</v>
      </c>
      <c r="AH297" s="8" t="str">
        <f>TEXT(RawSalesTable[[#This Row],[Order_Date]],"mmmm")</f>
        <v>septembre</v>
      </c>
      <c r="AI297" s="8" t="str">
        <f>IF(RawSalesTable[[#This Row],[Month_Number]]&lt;=3,"Q1",IF(RawSalesTable[[#This Row],[Month_Number]]&lt;=6,"Q2",IF(RawSalesTable[[#This Row],[Month_Number]]&lt;=9,"Q3","Q4")))</f>
        <v>Q3</v>
      </c>
      <c r="AJ297" s="13">
        <f>DATE(YEAR(RawSalesTable[[#This Row],[Order_Date]]),MONTH(RawSalesTable[[#This Row],[Order_Date]]),1)</f>
        <v>45901</v>
      </c>
      <c r="AK297" s="8" t="str">
        <f>VLOOKUP(RawSalesTable[[#This Row],[Customer_ID_clean]],CustomersTable[],4,FALSE)</f>
        <v>Alberta</v>
      </c>
    </row>
    <row r="298" spans="1:37">
      <c r="A298" t="s">
        <v>693</v>
      </c>
      <c r="B298" s="3">
        <v>45920</v>
      </c>
      <c r="C298" t="s">
        <v>316</v>
      </c>
      <c r="D298" t="s">
        <v>143</v>
      </c>
      <c r="E298" t="s">
        <v>317</v>
      </c>
      <c r="F298" t="s">
        <v>116</v>
      </c>
      <c r="G298" t="s">
        <v>104</v>
      </c>
      <c r="H298" t="s">
        <v>89</v>
      </c>
      <c r="I298">
        <v>1</v>
      </c>
      <c r="J298" s="2">
        <v>274.36</v>
      </c>
      <c r="K298" s="4">
        <v>0</v>
      </c>
      <c r="L298" t="s">
        <v>106</v>
      </c>
      <c r="M298">
        <v>8</v>
      </c>
      <c r="N298" t="s">
        <v>91</v>
      </c>
      <c r="O298" t="str">
        <f>SUBSTITUTE(PROPER(TRIM(RawSalesTable[[#This Row],[Channel_Raw]])), "Market Place", "Marketplace")</f>
        <v>Online</v>
      </c>
      <c r="P298" t="str">
        <f>TRIM(RawSalesTable[[#This Row],[Store_Raw]])</f>
        <v>Toronto Downtown</v>
      </c>
      <c r="Q298" t="str">
        <f>IF(TRIM(RawSalesTable[[#This Row],[Payment_Method_Raw]])="","Non renseigné",SUBSTITUTE(TRIM(RawSalesTable[[#This Row],[Payment_Method_Raw]]),"CC","Credit Card"))</f>
        <v>Credit Card</v>
      </c>
      <c r="R298" s="8" t="str">
        <f>UPPER(PROPER(RawSalesTable[[#This Row],[Customer_ID]]))</f>
        <v>C0075</v>
      </c>
      <c r="S298" s="8" t="str">
        <f>TRIM(LEFT(RawSalesTable[[#This Row],[Customer_Info]],FIND(",",RawSalesTable[[#This Row],[Customer_Info]]) -1))</f>
        <v>Amelia Wilson</v>
      </c>
      <c r="T298" s="8" t="str">
        <f>TRIM(MID(RawSalesTable[[#This Row],[Customer_Info]],FIND(",",RawSalesTable[[#This Row],[Customer_Info]])+1,FIND(",",RawSalesTable[[#This Row],[Customer_Info]],FIND(",",RawSalesTable[[#This Row],[Customer_Info]])+1)-FIND(",",RawSalesTable[[#This Row],[Customer_Info]])-1))</f>
        <v>Vancouver</v>
      </c>
      <c r="U298" s="8" t="str">
        <f>TRIM(RIGHT(RawSalesTable[[#This Row],[Customer_Info]], LEN(RawSalesTable[[#This Row],[Customer_Info]])-FIND(",",RawSalesTable[[#This Row],[Customer_Info]],FIND(",",RawSalesTable[[#This Row],[Customer_Info]])+1)))</f>
        <v>Consumer</v>
      </c>
      <c r="V298" s="8" t="str">
        <f>VLOOKUP(RawSalesTable[[#This Row],[Product_ID]],ProductsTable[],2,FALSE)</f>
        <v>Water Bottle</v>
      </c>
      <c r="W298" s="8" t="str">
        <f>VLOOKUP(RawSalesTable[[#This Row],[Product_ID]],ProductsTable[],3,FALSE)</f>
        <v>Accessories</v>
      </c>
      <c r="X298" s="8">
        <f>VLOOKUP(RawSalesTable[[#This Row],[Product_ID]],ProductsTable[],5,FALSE)</f>
        <v>119.16</v>
      </c>
      <c r="Y298" s="8">
        <f>RawSalesTable[[#This Row],[Quantity]]*RawSalesTable[[#This Row],[Unit_Price]]</f>
        <v>274.36</v>
      </c>
      <c r="Z298" s="8">
        <f>RawSalesTable[[#This Row],[Gross_Sales]]*RawSalesTable[[#This Row],[Discount_Pct]]</f>
        <v>0</v>
      </c>
      <c r="AA298" s="8">
        <f>RawSalesTable[[#This Row],[Gross_Sales]]-RawSalesTable[[#This Row],[Discount_Amount]]</f>
        <v>274.36</v>
      </c>
      <c r="AB298" s="8">
        <f>RawSalesTable[[#This Row],[Unit_Cost]]*RawSalesTable[[#This Row],[Quantity]]</f>
        <v>119.16</v>
      </c>
      <c r="AC298" s="8">
        <f>RawSalesTable[[#This Row],[Net_Sales]]-RawSalesTable[[#This Row],[Total_Cost]]</f>
        <v>155.20000000000002</v>
      </c>
      <c r="AD298" s="9">
        <f>RawSalesTable[[#This Row],[Profit]]/RawSalesTable[[#This Row],[Net_Sales]]</f>
        <v>0.56568012829858583</v>
      </c>
      <c r="AE298" s="8">
        <f>IF(RawSalesTable[[#This Row],[Return_Status]]="Yes",1,0)</f>
        <v>0</v>
      </c>
      <c r="AF298" s="8">
        <f>YEAR(RawSalesTable[[#This Row],[Order_Date]])</f>
        <v>2025</v>
      </c>
      <c r="AG298" s="8">
        <f>MONTH(RawSalesTable[[#This Row],[Order_Date]])</f>
        <v>9</v>
      </c>
      <c r="AH298" s="8" t="str">
        <f>TEXT(RawSalesTable[[#This Row],[Order_Date]],"mmmm")</f>
        <v>septembre</v>
      </c>
      <c r="AI298" s="8" t="str">
        <f>IF(RawSalesTable[[#This Row],[Month_Number]]&lt;=3,"Q1",IF(RawSalesTable[[#This Row],[Month_Number]]&lt;=6,"Q2",IF(RawSalesTable[[#This Row],[Month_Number]]&lt;=9,"Q3","Q4")))</f>
        <v>Q3</v>
      </c>
      <c r="AJ298" s="13">
        <f>DATE(YEAR(RawSalesTable[[#This Row],[Order_Date]]),MONTH(RawSalesTable[[#This Row],[Order_Date]]),1)</f>
        <v>45901</v>
      </c>
      <c r="AK298" s="8" t="str">
        <f>VLOOKUP(RawSalesTable[[#This Row],[Customer_ID_clean]],CustomersTable[],4,FALSE)</f>
        <v>British Columbia</v>
      </c>
    </row>
    <row r="299" spans="1:37">
      <c r="A299" t="s">
        <v>694</v>
      </c>
      <c r="B299" s="3">
        <v>45769</v>
      </c>
      <c r="C299" t="s">
        <v>695</v>
      </c>
      <c r="D299" t="s">
        <v>165</v>
      </c>
      <c r="E299" t="s">
        <v>696</v>
      </c>
      <c r="F299" t="s">
        <v>145</v>
      </c>
      <c r="G299" t="s">
        <v>88</v>
      </c>
      <c r="H299" t="s">
        <v>233</v>
      </c>
      <c r="I299">
        <v>2</v>
      </c>
      <c r="J299" s="2">
        <v>100.73</v>
      </c>
      <c r="K299" s="4">
        <v>0</v>
      </c>
      <c r="L299" t="s">
        <v>90</v>
      </c>
      <c r="M299">
        <v>3</v>
      </c>
      <c r="N299" t="s">
        <v>91</v>
      </c>
      <c r="O299" t="str">
        <f>SUBSTITUTE(PROPER(TRIM(RawSalesTable[[#This Row],[Channel_Raw]])), "Market Place", "Marketplace")</f>
        <v>Retail Store</v>
      </c>
      <c r="P299" t="str">
        <f>TRIM(RawSalesTable[[#This Row],[Store_Raw]])</f>
        <v>Calgary North</v>
      </c>
      <c r="Q299" t="str">
        <f>IF(TRIM(RawSalesTable[[#This Row],[Payment_Method_Raw]])="","Non renseigné",SUBSTITUTE(TRIM(RawSalesTable[[#This Row],[Payment_Method_Raw]]),"CC","Credit Card"))</f>
        <v>PayPal</v>
      </c>
      <c r="R299" s="8" t="str">
        <f>UPPER(PROPER(RawSalesTable[[#This Row],[Customer_ID]]))</f>
        <v>C0019</v>
      </c>
      <c r="S299" s="8" t="str">
        <f>TRIM(LEFT(RawSalesTable[[#This Row],[Customer_Info]],FIND(",",RawSalesTable[[#This Row],[Customer_Info]]) -1))</f>
        <v>Lucas Taylor</v>
      </c>
      <c r="T299" s="8" t="str">
        <f>TRIM(MID(RawSalesTable[[#This Row],[Customer_Info]],FIND(",",RawSalesTable[[#This Row],[Customer_Info]])+1,FIND(",",RawSalesTable[[#This Row],[Customer_Info]],FIND(",",RawSalesTable[[#This Row],[Customer_Info]])+1)-FIND(",",RawSalesTable[[#This Row],[Customer_Info]])-1))</f>
        <v>Montreal</v>
      </c>
      <c r="U299" s="8" t="str">
        <f>TRIM(RIGHT(RawSalesTable[[#This Row],[Customer_Info]], LEN(RawSalesTable[[#This Row],[Customer_Info]])-FIND(",",RawSalesTable[[#This Row],[Customer_Info]],FIND(",",RawSalesTable[[#This Row],[Customer_Info]])+1)))</f>
        <v>Small Business</v>
      </c>
      <c r="V299" s="8" t="str">
        <f>VLOOKUP(RawSalesTable[[#This Row],[Product_ID]],ProductsTable[],2,FALSE)</f>
        <v>Food Scale</v>
      </c>
      <c r="W299" s="8" t="str">
        <f>VLOOKUP(RawSalesTable[[#This Row],[Product_ID]],ProductsTable[],3,FALSE)</f>
        <v>Home</v>
      </c>
      <c r="X299" s="8">
        <f>VLOOKUP(RawSalesTable[[#This Row],[Product_ID]],ProductsTable[],5,FALSE)</f>
        <v>46.07</v>
      </c>
      <c r="Y299" s="8">
        <f>RawSalesTable[[#This Row],[Quantity]]*RawSalesTable[[#This Row],[Unit_Price]]</f>
        <v>201.46</v>
      </c>
      <c r="Z299" s="8">
        <f>RawSalesTable[[#This Row],[Gross_Sales]]*RawSalesTable[[#This Row],[Discount_Pct]]</f>
        <v>0</v>
      </c>
      <c r="AA299" s="8">
        <f>RawSalesTable[[#This Row],[Gross_Sales]]-RawSalesTable[[#This Row],[Discount_Amount]]</f>
        <v>201.46</v>
      </c>
      <c r="AB299" s="8">
        <f>RawSalesTable[[#This Row],[Unit_Cost]]*RawSalesTable[[#This Row],[Quantity]]</f>
        <v>92.14</v>
      </c>
      <c r="AC299" s="8">
        <f>RawSalesTable[[#This Row],[Net_Sales]]-RawSalesTable[[#This Row],[Total_Cost]]</f>
        <v>109.32000000000001</v>
      </c>
      <c r="AD299" s="9">
        <f>RawSalesTable[[#This Row],[Profit]]/RawSalesTable[[#This Row],[Net_Sales]]</f>
        <v>0.54263873721830636</v>
      </c>
      <c r="AE299" s="8">
        <f>IF(RawSalesTable[[#This Row],[Return_Status]]="Yes",1,0)</f>
        <v>0</v>
      </c>
      <c r="AF299" s="8">
        <f>YEAR(RawSalesTable[[#This Row],[Order_Date]])</f>
        <v>2025</v>
      </c>
      <c r="AG299" s="8">
        <f>MONTH(RawSalesTable[[#This Row],[Order_Date]])</f>
        <v>4</v>
      </c>
      <c r="AH299" s="8" t="str">
        <f>TEXT(RawSalesTable[[#This Row],[Order_Date]],"mmmm")</f>
        <v>avril</v>
      </c>
      <c r="AI299" s="8" t="str">
        <f>IF(RawSalesTable[[#This Row],[Month_Number]]&lt;=3,"Q1",IF(RawSalesTable[[#This Row],[Month_Number]]&lt;=6,"Q2",IF(RawSalesTable[[#This Row],[Month_Number]]&lt;=9,"Q3","Q4")))</f>
        <v>Q2</v>
      </c>
      <c r="AJ299" s="13">
        <f>DATE(YEAR(RawSalesTable[[#This Row],[Order_Date]]),MONTH(RawSalesTable[[#This Row],[Order_Date]]),1)</f>
        <v>45748</v>
      </c>
      <c r="AK299" s="8" t="str">
        <f>VLOOKUP(RawSalesTable[[#This Row],[Customer_ID_clean]],CustomersTable[],4,FALSE)</f>
        <v>Quebec</v>
      </c>
    </row>
    <row r="300" spans="1:37">
      <c r="A300" t="s">
        <v>697</v>
      </c>
      <c r="B300" s="3">
        <v>45996</v>
      </c>
      <c r="C300" t="s">
        <v>319</v>
      </c>
      <c r="D300" t="s">
        <v>303</v>
      </c>
      <c r="E300" t="s">
        <v>320</v>
      </c>
      <c r="F300" t="s">
        <v>111</v>
      </c>
      <c r="G300" t="s">
        <v>171</v>
      </c>
      <c r="H300" t="s">
        <v>97</v>
      </c>
      <c r="I300">
        <v>2</v>
      </c>
      <c r="J300" s="2">
        <v>165.88</v>
      </c>
      <c r="K300" s="4">
        <v>0.15</v>
      </c>
      <c r="L300" t="s">
        <v>90</v>
      </c>
      <c r="M300">
        <v>2</v>
      </c>
      <c r="N300" t="s">
        <v>91</v>
      </c>
      <c r="O300" t="str">
        <f>SUBSTITUTE(PROPER(TRIM(RawSalesTable[[#This Row],[Channel_Raw]])), "Market Place", "Marketplace")</f>
        <v>Retail Store</v>
      </c>
      <c r="P300" t="str">
        <f>TRIM(RawSalesTable[[#This Row],[Store_Raw]])</f>
        <v>Montreal Central</v>
      </c>
      <c r="Q300" t="str">
        <f>IF(TRIM(RawSalesTable[[#This Row],[Payment_Method_Raw]])="","Non renseigné",SUBSTITUTE(TRIM(RawSalesTable[[#This Row],[Payment_Method_Raw]]),"CC","Credit Card"))</f>
        <v>PayPal</v>
      </c>
      <c r="R300" s="8" t="str">
        <f>UPPER(PROPER(RawSalesTable[[#This Row],[Customer_ID]]))</f>
        <v>C0013</v>
      </c>
      <c r="S300" s="8" t="str">
        <f>TRIM(LEFT(RawSalesTable[[#This Row],[Customer_Info]],FIND(",",RawSalesTable[[#This Row],[Customer_Info]]) -1))</f>
        <v>Amelia Martin</v>
      </c>
      <c r="T300" s="8" t="str">
        <f>TRIM(MID(RawSalesTable[[#This Row],[Customer_Info]],FIND(",",RawSalesTable[[#This Row],[Customer_Info]])+1,FIND(",",RawSalesTable[[#This Row],[Customer_Info]],FIND(",",RawSalesTable[[#This Row],[Customer_Info]])+1)-FIND(",",RawSalesTable[[#This Row],[Customer_Info]])-1))</f>
        <v>Quebec City</v>
      </c>
      <c r="U300" s="8" t="str">
        <f>TRIM(RIGHT(RawSalesTable[[#This Row],[Customer_Info]], LEN(RawSalesTable[[#This Row],[Customer_Info]])-FIND(",",RawSalesTable[[#This Row],[Customer_Info]],FIND(",",RawSalesTable[[#This Row],[Customer_Info]])+1)))</f>
        <v>Small Business</v>
      </c>
      <c r="V300" s="8" t="str">
        <f>VLOOKUP(RawSalesTable[[#This Row],[Product_ID]],ProductsTable[],2,FALSE)</f>
        <v>Power Bank</v>
      </c>
      <c r="W300" s="8" t="str">
        <f>VLOOKUP(RawSalesTable[[#This Row],[Product_ID]],ProductsTable[],3,FALSE)</f>
        <v>Accessories</v>
      </c>
      <c r="X300" s="8">
        <f>VLOOKUP(RawSalesTable[[#This Row],[Product_ID]],ProductsTable[],5,FALSE)</f>
        <v>76.97</v>
      </c>
      <c r="Y300" s="8">
        <f>RawSalesTable[[#This Row],[Quantity]]*RawSalesTable[[#This Row],[Unit_Price]]</f>
        <v>331.76</v>
      </c>
      <c r="Z300" s="8">
        <f>RawSalesTable[[#This Row],[Gross_Sales]]*RawSalesTable[[#This Row],[Discount_Pct]]</f>
        <v>49.763999999999996</v>
      </c>
      <c r="AA300" s="8">
        <f>RawSalesTable[[#This Row],[Gross_Sales]]-RawSalesTable[[#This Row],[Discount_Amount]]</f>
        <v>281.99599999999998</v>
      </c>
      <c r="AB300" s="8">
        <f>RawSalesTable[[#This Row],[Unit_Cost]]*RawSalesTable[[#This Row],[Quantity]]</f>
        <v>153.94</v>
      </c>
      <c r="AC300" s="8">
        <f>RawSalesTable[[#This Row],[Net_Sales]]-RawSalesTable[[#This Row],[Total_Cost]]</f>
        <v>128.05599999999998</v>
      </c>
      <c r="AD300" s="9">
        <f>RawSalesTable[[#This Row],[Profit]]/RawSalesTable[[#This Row],[Net_Sales]]</f>
        <v>0.45410573199619853</v>
      </c>
      <c r="AE300" s="8">
        <f>IF(RawSalesTable[[#This Row],[Return_Status]]="Yes",1,0)</f>
        <v>0</v>
      </c>
      <c r="AF300" s="8">
        <f>YEAR(RawSalesTable[[#This Row],[Order_Date]])</f>
        <v>2025</v>
      </c>
      <c r="AG300" s="8">
        <f>MONTH(RawSalesTable[[#This Row],[Order_Date]])</f>
        <v>12</v>
      </c>
      <c r="AH300" s="8" t="str">
        <f>TEXT(RawSalesTable[[#This Row],[Order_Date]],"mmmm")</f>
        <v>décembre</v>
      </c>
      <c r="AI300" s="8" t="str">
        <f>IF(RawSalesTable[[#This Row],[Month_Number]]&lt;=3,"Q1",IF(RawSalesTable[[#This Row],[Month_Number]]&lt;=6,"Q2",IF(RawSalesTable[[#This Row],[Month_Number]]&lt;=9,"Q3","Q4")))</f>
        <v>Q4</v>
      </c>
      <c r="AJ300" s="13">
        <f>DATE(YEAR(RawSalesTable[[#This Row],[Order_Date]]),MONTH(RawSalesTable[[#This Row],[Order_Date]]),1)</f>
        <v>45992</v>
      </c>
      <c r="AK300" s="8" t="str">
        <f>VLOOKUP(RawSalesTable[[#This Row],[Customer_ID_clean]],CustomersTable[],4,FALSE)</f>
        <v>Quebec</v>
      </c>
    </row>
    <row r="301" spans="1:37">
      <c r="A301" t="s">
        <v>698</v>
      </c>
      <c r="B301" s="3">
        <v>45852</v>
      </c>
      <c r="C301" t="s">
        <v>699</v>
      </c>
      <c r="D301" t="s">
        <v>114</v>
      </c>
      <c r="E301" t="s">
        <v>700</v>
      </c>
      <c r="F301" t="s">
        <v>87</v>
      </c>
      <c r="G301" t="s">
        <v>171</v>
      </c>
      <c r="H301" t="s">
        <v>97</v>
      </c>
      <c r="I301">
        <v>2</v>
      </c>
      <c r="J301" s="2">
        <v>144.15</v>
      </c>
      <c r="K301" s="4">
        <v>0.2</v>
      </c>
      <c r="L301" t="s">
        <v>98</v>
      </c>
      <c r="M301">
        <v>0</v>
      </c>
      <c r="N301" t="s">
        <v>91</v>
      </c>
      <c r="O301" t="str">
        <f>SUBSTITUTE(PROPER(TRIM(RawSalesTable[[#This Row],[Channel_Raw]])), "Market Place", "Marketplace")</f>
        <v>Retail Store</v>
      </c>
      <c r="P301" t="str">
        <f>TRIM(RawSalesTable[[#This Row],[Store_Raw]])</f>
        <v>Online Fulfillment</v>
      </c>
      <c r="Q301" t="str">
        <f>IF(TRIM(RawSalesTable[[#This Row],[Payment_Method_Raw]])="","Non renseigné",SUBSTITUTE(TRIM(RawSalesTable[[#This Row],[Payment_Method_Raw]]),"CC","Credit Card"))</f>
        <v>Debit Card</v>
      </c>
      <c r="R301" s="8" t="str">
        <f>UPPER(PROPER(RawSalesTable[[#This Row],[Customer_ID]]))</f>
        <v>C0097</v>
      </c>
      <c r="S301" s="8" t="str">
        <f>TRIM(LEFT(RawSalesTable[[#This Row],[Customer_Info]],FIND(",",RawSalesTable[[#This Row],[Customer_Info]]) -1))</f>
        <v>Sarah Khan</v>
      </c>
      <c r="T301" s="8" t="str">
        <f>TRIM(MID(RawSalesTable[[#This Row],[Customer_Info]],FIND(",",RawSalesTable[[#This Row],[Customer_Info]])+1,FIND(",",RawSalesTable[[#This Row],[Customer_Info]],FIND(",",RawSalesTable[[#This Row],[Customer_Info]])+1)-FIND(",",RawSalesTable[[#This Row],[Customer_Info]])-1))</f>
        <v>Montreal</v>
      </c>
      <c r="U301" s="8" t="str">
        <f>TRIM(RIGHT(RawSalesTable[[#This Row],[Customer_Info]], LEN(RawSalesTable[[#This Row],[Customer_Info]])-FIND(",",RawSalesTable[[#This Row],[Customer_Info]],FIND(",",RawSalesTable[[#This Row],[Customer_Info]])+1)))</f>
        <v>Consumer</v>
      </c>
      <c r="V301" s="8" t="str">
        <f>VLOOKUP(RawSalesTable[[#This Row],[Product_ID]],ProductsTable[],2,FALSE)</f>
        <v>Laptop Sleeve</v>
      </c>
      <c r="W301" s="8" t="str">
        <f>VLOOKUP(RawSalesTable[[#This Row],[Product_ID]],ProductsTable[],3,FALSE)</f>
        <v>Accessories</v>
      </c>
      <c r="X301" s="8">
        <f>VLOOKUP(RawSalesTable[[#This Row],[Product_ID]],ProductsTable[],5,FALSE)</f>
        <v>78.95</v>
      </c>
      <c r="Y301" s="8">
        <f>RawSalesTable[[#This Row],[Quantity]]*RawSalesTable[[#This Row],[Unit_Price]]</f>
        <v>288.3</v>
      </c>
      <c r="Z301" s="8">
        <f>RawSalesTable[[#This Row],[Gross_Sales]]*RawSalesTable[[#This Row],[Discount_Pct]]</f>
        <v>57.660000000000004</v>
      </c>
      <c r="AA301" s="8">
        <f>RawSalesTable[[#This Row],[Gross_Sales]]-RawSalesTable[[#This Row],[Discount_Amount]]</f>
        <v>230.64000000000001</v>
      </c>
      <c r="AB301" s="8">
        <f>RawSalesTable[[#This Row],[Unit_Cost]]*RawSalesTable[[#This Row],[Quantity]]</f>
        <v>157.9</v>
      </c>
      <c r="AC301" s="8">
        <f>RawSalesTable[[#This Row],[Net_Sales]]-RawSalesTable[[#This Row],[Total_Cost]]</f>
        <v>72.740000000000009</v>
      </c>
      <c r="AD301" s="9">
        <f>RawSalesTable[[#This Row],[Profit]]/RawSalesTable[[#This Row],[Net_Sales]]</f>
        <v>0.31538328130419702</v>
      </c>
      <c r="AE301" s="8">
        <f>IF(RawSalesTable[[#This Row],[Return_Status]]="Yes",1,0)</f>
        <v>0</v>
      </c>
      <c r="AF301" s="8">
        <f>YEAR(RawSalesTable[[#This Row],[Order_Date]])</f>
        <v>2025</v>
      </c>
      <c r="AG301" s="8">
        <f>MONTH(RawSalesTable[[#This Row],[Order_Date]])</f>
        <v>7</v>
      </c>
      <c r="AH301" s="8" t="str">
        <f>TEXT(RawSalesTable[[#This Row],[Order_Date]],"mmmm")</f>
        <v>juillet</v>
      </c>
      <c r="AI301" s="8" t="str">
        <f>IF(RawSalesTable[[#This Row],[Month_Number]]&lt;=3,"Q1",IF(RawSalesTable[[#This Row],[Month_Number]]&lt;=6,"Q2",IF(RawSalesTable[[#This Row],[Month_Number]]&lt;=9,"Q3","Q4")))</f>
        <v>Q3</v>
      </c>
      <c r="AJ301" s="13">
        <f>DATE(YEAR(RawSalesTable[[#This Row],[Order_Date]]),MONTH(RawSalesTable[[#This Row],[Order_Date]]),1)</f>
        <v>45839</v>
      </c>
      <c r="AK301" s="8" t="str">
        <f>VLOOKUP(RawSalesTable[[#This Row],[Customer_ID_clean]],CustomersTable[],4,FALSE)</f>
        <v>Quebec</v>
      </c>
    </row>
    <row r="302" spans="1:37">
      <c r="A302" t="s">
        <v>701</v>
      </c>
      <c r="B302" s="3">
        <v>45828</v>
      </c>
      <c r="C302" t="s">
        <v>209</v>
      </c>
      <c r="D302" t="s">
        <v>360</v>
      </c>
      <c r="E302" t="s">
        <v>211</v>
      </c>
      <c r="F302" t="s">
        <v>103</v>
      </c>
      <c r="G302" t="s">
        <v>183</v>
      </c>
      <c r="H302" t="s">
        <v>89</v>
      </c>
      <c r="I302">
        <v>1</v>
      </c>
      <c r="J302" s="2">
        <v>64.86</v>
      </c>
      <c r="K302" s="4">
        <v>0.1</v>
      </c>
      <c r="L302" t="s">
        <v>106</v>
      </c>
      <c r="M302">
        <v>3</v>
      </c>
      <c r="N302" t="s">
        <v>91</v>
      </c>
      <c r="O302" t="str">
        <f>SUBSTITUTE(PROPER(TRIM(RawSalesTable[[#This Row],[Channel_Raw]])), "Market Place", "Marketplace")</f>
        <v>Online</v>
      </c>
      <c r="P302" t="str">
        <f>TRIM(RawSalesTable[[#This Row],[Store_Raw]])</f>
        <v>Vancouver West</v>
      </c>
      <c r="Q302" t="str">
        <f>IF(TRIM(RawSalesTable[[#This Row],[Payment_Method_Raw]])="","Non renseigné",SUBSTITUTE(TRIM(RawSalesTable[[#This Row],[Payment_Method_Raw]]),"CC","Credit Card"))</f>
        <v>Credit Card</v>
      </c>
      <c r="R302" s="8" t="str">
        <f>UPPER(PROPER(RawSalesTable[[#This Row],[Customer_ID]]))</f>
        <v>C0005</v>
      </c>
      <c r="S302" s="8" t="str">
        <f>TRIM(LEFT(RawSalesTable[[#This Row],[Customer_Info]],FIND(",",RawSalesTable[[#This Row],[Customer_Info]]) -1))</f>
        <v>Yasmine Taylor</v>
      </c>
      <c r="T302" s="8" t="str">
        <f>TRIM(MID(RawSalesTable[[#This Row],[Customer_Info]],FIND(",",RawSalesTable[[#This Row],[Customer_Info]])+1,FIND(",",RawSalesTable[[#This Row],[Customer_Info]],FIND(",",RawSalesTable[[#This Row],[Customer_Info]])+1)-FIND(",",RawSalesTable[[#This Row],[Customer_Info]])-1))</f>
        <v>Calgary</v>
      </c>
      <c r="U302" s="8" t="str">
        <f>TRIM(RIGHT(RawSalesTable[[#This Row],[Customer_Info]], LEN(RawSalesTable[[#This Row],[Customer_Info]])-FIND(",",RawSalesTable[[#This Row],[Customer_Info]],FIND(",",RawSalesTable[[#This Row],[Customer_Info]])+1)))</f>
        <v>Consumer</v>
      </c>
      <c r="V302" s="8" t="str">
        <f>VLOOKUP(RawSalesTable[[#This Row],[Product_ID]],ProductsTable[],2,FALSE)</f>
        <v>Blender</v>
      </c>
      <c r="W302" s="8" t="str">
        <f>VLOOKUP(RawSalesTable[[#This Row],[Product_ID]],ProductsTable[],3,FALSE)</f>
        <v>Home</v>
      </c>
      <c r="X302" s="8">
        <f>VLOOKUP(RawSalesTable[[#This Row],[Product_ID]],ProductsTable[],5,FALSE)</f>
        <v>37.46</v>
      </c>
      <c r="Y302" s="8">
        <f>RawSalesTable[[#This Row],[Quantity]]*RawSalesTable[[#This Row],[Unit_Price]]</f>
        <v>64.86</v>
      </c>
      <c r="Z302" s="8">
        <f>RawSalesTable[[#This Row],[Gross_Sales]]*RawSalesTable[[#This Row],[Discount_Pct]]</f>
        <v>6.4860000000000007</v>
      </c>
      <c r="AA302" s="8">
        <f>RawSalesTable[[#This Row],[Gross_Sales]]-RawSalesTable[[#This Row],[Discount_Amount]]</f>
        <v>58.373999999999995</v>
      </c>
      <c r="AB302" s="8">
        <f>RawSalesTable[[#This Row],[Unit_Cost]]*RawSalesTable[[#This Row],[Quantity]]</f>
        <v>37.46</v>
      </c>
      <c r="AC302" s="8">
        <f>RawSalesTable[[#This Row],[Net_Sales]]-RawSalesTable[[#This Row],[Total_Cost]]</f>
        <v>20.913999999999994</v>
      </c>
      <c r="AD302" s="9">
        <f>RawSalesTable[[#This Row],[Profit]]/RawSalesTable[[#This Row],[Net_Sales]]</f>
        <v>0.35827594476993174</v>
      </c>
      <c r="AE302" s="8">
        <f>IF(RawSalesTable[[#This Row],[Return_Status]]="Yes",1,0)</f>
        <v>0</v>
      </c>
      <c r="AF302" s="8">
        <f>YEAR(RawSalesTable[[#This Row],[Order_Date]])</f>
        <v>2025</v>
      </c>
      <c r="AG302" s="8">
        <f>MONTH(RawSalesTable[[#This Row],[Order_Date]])</f>
        <v>6</v>
      </c>
      <c r="AH302" s="8" t="str">
        <f>TEXT(RawSalesTable[[#This Row],[Order_Date]],"mmmm")</f>
        <v>juin</v>
      </c>
      <c r="AI302" s="8" t="str">
        <f>IF(RawSalesTable[[#This Row],[Month_Number]]&lt;=3,"Q1",IF(RawSalesTable[[#This Row],[Month_Number]]&lt;=6,"Q2",IF(RawSalesTable[[#This Row],[Month_Number]]&lt;=9,"Q3","Q4")))</f>
        <v>Q2</v>
      </c>
      <c r="AJ302" s="13">
        <f>DATE(YEAR(RawSalesTable[[#This Row],[Order_Date]]),MONTH(RawSalesTable[[#This Row],[Order_Date]]),1)</f>
        <v>45809</v>
      </c>
      <c r="AK302" s="8" t="str">
        <f>VLOOKUP(RawSalesTable[[#This Row],[Customer_ID_clean]],CustomersTable[],4,FALSE)</f>
        <v>Alberta</v>
      </c>
    </row>
    <row r="303" spans="1:37">
      <c r="A303" t="s">
        <v>702</v>
      </c>
      <c r="B303" s="3">
        <v>45793</v>
      </c>
      <c r="C303" t="s">
        <v>637</v>
      </c>
      <c r="D303" t="s">
        <v>174</v>
      </c>
      <c r="E303" t="s">
        <v>638</v>
      </c>
      <c r="F303" t="s">
        <v>103</v>
      </c>
      <c r="G303" t="s">
        <v>183</v>
      </c>
      <c r="H303" t="s">
        <v>89</v>
      </c>
      <c r="I303">
        <v>1</v>
      </c>
      <c r="J303" s="2">
        <v>39.409999999999997</v>
      </c>
      <c r="K303" s="4">
        <v>0.25</v>
      </c>
      <c r="L303" t="s">
        <v>98</v>
      </c>
      <c r="M303">
        <v>1</v>
      </c>
      <c r="N303" t="s">
        <v>91</v>
      </c>
      <c r="O303" t="str">
        <f>SUBSTITUTE(PROPER(TRIM(RawSalesTable[[#This Row],[Channel_Raw]])), "Market Place", "Marketplace")</f>
        <v>Online</v>
      </c>
      <c r="P303" t="str">
        <f>TRIM(RawSalesTable[[#This Row],[Store_Raw]])</f>
        <v>Vancouver West</v>
      </c>
      <c r="Q303" t="str">
        <f>IF(TRIM(RawSalesTable[[#This Row],[Payment_Method_Raw]])="","Non renseigné",SUBSTITUTE(TRIM(RawSalesTable[[#This Row],[Payment_Method_Raw]]),"CC","Credit Card"))</f>
        <v>Debit Card</v>
      </c>
      <c r="R303" s="8" t="str">
        <f>UPPER(PROPER(RawSalesTable[[#This Row],[Customer_ID]]))</f>
        <v>C0024</v>
      </c>
      <c r="S303" s="8" t="str">
        <f>TRIM(LEFT(RawSalesTable[[#This Row],[Customer_Info]],FIND(",",RawSalesTable[[#This Row],[Customer_Info]]) -1))</f>
        <v>Ryan King</v>
      </c>
      <c r="T303" s="8" t="str">
        <f>TRIM(MID(RawSalesTable[[#This Row],[Customer_Info]],FIND(",",RawSalesTable[[#This Row],[Customer_Info]])+1,FIND(",",RawSalesTable[[#This Row],[Customer_Info]],FIND(",",RawSalesTable[[#This Row],[Customer_Info]])+1)-FIND(",",RawSalesTable[[#This Row],[Customer_Info]])-1))</f>
        <v>Mississauga</v>
      </c>
      <c r="U303" s="8" t="str">
        <f>TRIM(RIGHT(RawSalesTable[[#This Row],[Customer_Info]], LEN(RawSalesTable[[#This Row],[Customer_Info]])-FIND(",",RawSalesTable[[#This Row],[Customer_Info]],FIND(",",RawSalesTable[[#This Row],[Customer_Info]])+1)))</f>
        <v>Consumer</v>
      </c>
      <c r="V303" s="8" t="str">
        <f>VLOOKUP(RawSalesTable[[#This Row],[Product_ID]],ProductsTable[],2,FALSE)</f>
        <v>Keyboard</v>
      </c>
      <c r="W303" s="8" t="str">
        <f>VLOOKUP(RawSalesTable[[#This Row],[Product_ID]],ProductsTable[],3,FALSE)</f>
        <v>Electronics</v>
      </c>
      <c r="X303" s="8">
        <f>VLOOKUP(RawSalesTable[[#This Row],[Product_ID]],ProductsTable[],5,FALSE)</f>
        <v>23.5</v>
      </c>
      <c r="Y303" s="8">
        <f>RawSalesTable[[#This Row],[Quantity]]*RawSalesTable[[#This Row],[Unit_Price]]</f>
        <v>39.409999999999997</v>
      </c>
      <c r="Z303" s="8">
        <f>RawSalesTable[[#This Row],[Gross_Sales]]*RawSalesTable[[#This Row],[Discount_Pct]]</f>
        <v>9.8524999999999991</v>
      </c>
      <c r="AA303" s="8">
        <f>RawSalesTable[[#This Row],[Gross_Sales]]-RawSalesTable[[#This Row],[Discount_Amount]]</f>
        <v>29.557499999999997</v>
      </c>
      <c r="AB303" s="8">
        <f>RawSalesTable[[#This Row],[Unit_Cost]]*RawSalesTable[[#This Row],[Quantity]]</f>
        <v>23.5</v>
      </c>
      <c r="AC303" s="8">
        <f>RawSalesTable[[#This Row],[Net_Sales]]-RawSalesTable[[#This Row],[Total_Cost]]</f>
        <v>6.0574999999999974</v>
      </c>
      <c r="AD303" s="9">
        <f>RawSalesTable[[#This Row],[Profit]]/RawSalesTable[[#This Row],[Net_Sales]]</f>
        <v>0.20493952465533274</v>
      </c>
      <c r="AE303" s="8">
        <f>IF(RawSalesTable[[#This Row],[Return_Status]]="Yes",1,0)</f>
        <v>0</v>
      </c>
      <c r="AF303" s="8">
        <f>YEAR(RawSalesTable[[#This Row],[Order_Date]])</f>
        <v>2025</v>
      </c>
      <c r="AG303" s="8">
        <f>MONTH(RawSalesTable[[#This Row],[Order_Date]])</f>
        <v>5</v>
      </c>
      <c r="AH303" s="8" t="str">
        <f>TEXT(RawSalesTable[[#This Row],[Order_Date]],"mmmm")</f>
        <v>mai</v>
      </c>
      <c r="AI303" s="8" t="str">
        <f>IF(RawSalesTable[[#This Row],[Month_Number]]&lt;=3,"Q1",IF(RawSalesTable[[#This Row],[Month_Number]]&lt;=6,"Q2",IF(RawSalesTable[[#This Row],[Month_Number]]&lt;=9,"Q3","Q4")))</f>
        <v>Q2</v>
      </c>
      <c r="AJ303" s="13">
        <f>DATE(YEAR(RawSalesTable[[#This Row],[Order_Date]]),MONTH(RawSalesTable[[#This Row],[Order_Date]]),1)</f>
        <v>45778</v>
      </c>
      <c r="AK303" s="8" t="str">
        <f>VLOOKUP(RawSalesTable[[#This Row],[Customer_ID_clean]],CustomersTable[],4,FALSE)</f>
        <v>Ontario</v>
      </c>
    </row>
    <row r="304" spans="1:37">
      <c r="A304" t="s">
        <v>703</v>
      </c>
      <c r="B304" s="3">
        <v>45864</v>
      </c>
      <c r="C304" t="s">
        <v>414</v>
      </c>
      <c r="D304" t="s">
        <v>149</v>
      </c>
      <c r="E304" t="s">
        <v>415</v>
      </c>
      <c r="F304" t="s">
        <v>116</v>
      </c>
      <c r="G304" t="s">
        <v>171</v>
      </c>
      <c r="H304" t="s">
        <v>89</v>
      </c>
      <c r="I304">
        <v>1</v>
      </c>
      <c r="J304" s="2">
        <v>76.13</v>
      </c>
      <c r="K304" s="4">
        <v>0.15</v>
      </c>
      <c r="L304" t="s">
        <v>90</v>
      </c>
      <c r="M304">
        <v>2</v>
      </c>
      <c r="N304" t="s">
        <v>91</v>
      </c>
      <c r="O304" t="str">
        <f>SUBSTITUTE(PROPER(TRIM(RawSalesTable[[#This Row],[Channel_Raw]])), "Market Place", "Marketplace")</f>
        <v>Online</v>
      </c>
      <c r="P304" t="str">
        <f>TRIM(RawSalesTable[[#This Row],[Store_Raw]])</f>
        <v>Toronto Downtown</v>
      </c>
      <c r="Q304" t="str">
        <f>IF(TRIM(RawSalesTable[[#This Row],[Payment_Method_Raw]])="","Non renseigné",SUBSTITUTE(TRIM(RawSalesTable[[#This Row],[Payment_Method_Raw]]),"CC","Credit Card"))</f>
        <v>PayPal</v>
      </c>
      <c r="R304" s="8" t="str">
        <f>UPPER(PROPER(RawSalesTable[[#This Row],[Customer_ID]]))</f>
        <v>C0052</v>
      </c>
      <c r="S304" s="8" t="str">
        <f>TRIM(LEFT(RawSalesTable[[#This Row],[Customer_Info]],FIND(",",RawSalesTable[[#This Row],[Customer_Info]]) -1))</f>
        <v>Liam Bennett</v>
      </c>
      <c r="T304" s="8" t="str">
        <f>TRIM(MID(RawSalesTable[[#This Row],[Customer_Info]],FIND(",",RawSalesTable[[#This Row],[Customer_Info]])+1,FIND(",",RawSalesTable[[#This Row],[Customer_Info]],FIND(",",RawSalesTable[[#This Row],[Customer_Info]])+1)-FIND(",",RawSalesTable[[#This Row],[Customer_Info]])-1))</f>
        <v>Edmonton</v>
      </c>
      <c r="U304" s="8" t="str">
        <f>TRIM(RIGHT(RawSalesTable[[#This Row],[Customer_Info]], LEN(RawSalesTable[[#This Row],[Customer_Info]])-FIND(",",RawSalesTable[[#This Row],[Customer_Info]],FIND(",",RawSalesTable[[#This Row],[Customer_Info]])+1)))</f>
        <v>Corporate</v>
      </c>
      <c r="V304" s="8" t="str">
        <f>VLOOKUP(RawSalesTable[[#This Row],[Product_ID]],ProductsTable[],2,FALSE)</f>
        <v>Office Chair</v>
      </c>
      <c r="W304" s="8" t="str">
        <f>VLOOKUP(RawSalesTable[[#This Row],[Product_ID]],ProductsTable[],3,FALSE)</f>
        <v>Office</v>
      </c>
      <c r="X304" s="8">
        <f>VLOOKUP(RawSalesTable[[#This Row],[Product_ID]],ProductsTable[],5,FALSE)</f>
        <v>39.26</v>
      </c>
      <c r="Y304" s="8">
        <f>RawSalesTable[[#This Row],[Quantity]]*RawSalesTable[[#This Row],[Unit_Price]]</f>
        <v>76.13</v>
      </c>
      <c r="Z304" s="8">
        <f>RawSalesTable[[#This Row],[Gross_Sales]]*RawSalesTable[[#This Row],[Discount_Pct]]</f>
        <v>11.419499999999999</v>
      </c>
      <c r="AA304" s="8">
        <f>RawSalesTable[[#This Row],[Gross_Sales]]-RawSalesTable[[#This Row],[Discount_Amount]]</f>
        <v>64.710499999999996</v>
      </c>
      <c r="AB304" s="8">
        <f>RawSalesTable[[#This Row],[Unit_Cost]]*RawSalesTable[[#This Row],[Quantity]]</f>
        <v>39.26</v>
      </c>
      <c r="AC304" s="8">
        <f>RawSalesTable[[#This Row],[Net_Sales]]-RawSalesTable[[#This Row],[Total_Cost]]</f>
        <v>25.450499999999998</v>
      </c>
      <c r="AD304" s="9">
        <f>RawSalesTable[[#This Row],[Profit]]/RawSalesTable[[#This Row],[Net_Sales]]</f>
        <v>0.39329784192673523</v>
      </c>
      <c r="AE304" s="8">
        <f>IF(RawSalesTable[[#This Row],[Return_Status]]="Yes",1,0)</f>
        <v>0</v>
      </c>
      <c r="AF304" s="8">
        <f>YEAR(RawSalesTable[[#This Row],[Order_Date]])</f>
        <v>2025</v>
      </c>
      <c r="AG304" s="8">
        <f>MONTH(RawSalesTable[[#This Row],[Order_Date]])</f>
        <v>7</v>
      </c>
      <c r="AH304" s="8" t="str">
        <f>TEXT(RawSalesTable[[#This Row],[Order_Date]],"mmmm")</f>
        <v>juillet</v>
      </c>
      <c r="AI304" s="8" t="str">
        <f>IF(RawSalesTable[[#This Row],[Month_Number]]&lt;=3,"Q1",IF(RawSalesTable[[#This Row],[Month_Number]]&lt;=6,"Q2",IF(RawSalesTable[[#This Row],[Month_Number]]&lt;=9,"Q3","Q4")))</f>
        <v>Q3</v>
      </c>
      <c r="AJ304" s="13">
        <f>DATE(YEAR(RawSalesTable[[#This Row],[Order_Date]]),MONTH(RawSalesTable[[#This Row],[Order_Date]]),1)</f>
        <v>45839</v>
      </c>
      <c r="AK304" s="8" t="str">
        <f>VLOOKUP(RawSalesTable[[#This Row],[Customer_ID_clean]],CustomersTable[],4,FALSE)</f>
        <v>Alberta</v>
      </c>
    </row>
    <row r="305" spans="1:37">
      <c r="A305" t="s">
        <v>704</v>
      </c>
      <c r="B305" s="3">
        <v>45798</v>
      </c>
      <c r="C305" t="s">
        <v>466</v>
      </c>
      <c r="D305" t="s">
        <v>323</v>
      </c>
      <c r="E305" t="s">
        <v>467</v>
      </c>
      <c r="F305" t="s">
        <v>145</v>
      </c>
      <c r="G305" t="s">
        <v>130</v>
      </c>
      <c r="H305" t="s">
        <v>97</v>
      </c>
      <c r="I305">
        <v>2</v>
      </c>
      <c r="J305" s="2">
        <v>324.64</v>
      </c>
      <c r="K305" s="4">
        <v>0.15</v>
      </c>
      <c r="L305" t="s">
        <v>154</v>
      </c>
      <c r="M305">
        <v>1</v>
      </c>
      <c r="N305" t="s">
        <v>91</v>
      </c>
      <c r="O305" t="str">
        <f>SUBSTITUTE(PROPER(TRIM(RawSalesTable[[#This Row],[Channel_Raw]])), "Market Place", "Marketplace")</f>
        <v>Retail Store</v>
      </c>
      <c r="P305" t="str">
        <f>TRIM(RawSalesTable[[#This Row],[Store_Raw]])</f>
        <v>Calgary North</v>
      </c>
      <c r="Q305" t="str">
        <f>IF(TRIM(RawSalesTable[[#This Row],[Payment_Method_Raw]])="","Non renseigné",SUBSTITUTE(TRIM(RawSalesTable[[#This Row],[Payment_Method_Raw]]),"CC","Credit Card"))</f>
        <v>Gift Card</v>
      </c>
      <c r="R305" s="8" t="str">
        <f>UPPER(PROPER(RawSalesTable[[#This Row],[Customer_ID]]))</f>
        <v>C0096</v>
      </c>
      <c r="S305" s="8" t="str">
        <f>TRIM(LEFT(RawSalesTable[[#This Row],[Customer_Info]],FIND(",",RawSalesTable[[#This Row],[Customer_Info]]) -1))</f>
        <v>Ryan Roy</v>
      </c>
      <c r="T305" s="8" t="str">
        <f>TRIM(MID(RawSalesTable[[#This Row],[Customer_Info]],FIND(",",RawSalesTable[[#This Row],[Customer_Info]])+1,FIND(",",RawSalesTable[[#This Row],[Customer_Info]],FIND(",",RawSalesTable[[#This Row],[Customer_Info]])+1)-FIND(",",RawSalesTable[[#This Row],[Customer_Info]])-1))</f>
        <v>Laval</v>
      </c>
      <c r="U305" s="8" t="str">
        <f>TRIM(RIGHT(RawSalesTable[[#This Row],[Customer_Info]], LEN(RawSalesTable[[#This Row],[Customer_Info]])-FIND(",",RawSalesTable[[#This Row],[Customer_Info]],FIND(",",RawSalesTable[[#This Row],[Customer_Info]])+1)))</f>
        <v>Corporate</v>
      </c>
      <c r="V305" s="8" t="str">
        <f>VLOOKUP(RawSalesTable[[#This Row],[Product_ID]],ProductsTable[],2,FALSE)</f>
        <v>Toaster</v>
      </c>
      <c r="W305" s="8" t="str">
        <f>VLOOKUP(RawSalesTable[[#This Row],[Product_ID]],ProductsTable[],3,FALSE)</f>
        <v>Home</v>
      </c>
      <c r="X305" s="8">
        <f>VLOOKUP(RawSalesTable[[#This Row],[Product_ID]],ProductsTable[],5,FALSE)</f>
        <v>152.88</v>
      </c>
      <c r="Y305" s="8">
        <f>RawSalesTable[[#This Row],[Quantity]]*RawSalesTable[[#This Row],[Unit_Price]]</f>
        <v>649.28</v>
      </c>
      <c r="Z305" s="8">
        <f>RawSalesTable[[#This Row],[Gross_Sales]]*RawSalesTable[[#This Row],[Discount_Pct]]</f>
        <v>97.391999999999996</v>
      </c>
      <c r="AA305" s="8">
        <f>RawSalesTable[[#This Row],[Gross_Sales]]-RawSalesTable[[#This Row],[Discount_Amount]]</f>
        <v>551.88799999999992</v>
      </c>
      <c r="AB305" s="8">
        <f>RawSalesTable[[#This Row],[Unit_Cost]]*RawSalesTable[[#This Row],[Quantity]]</f>
        <v>305.76</v>
      </c>
      <c r="AC305" s="8">
        <f>RawSalesTable[[#This Row],[Net_Sales]]-RawSalesTable[[#This Row],[Total_Cost]]</f>
        <v>246.12799999999993</v>
      </c>
      <c r="AD305" s="9">
        <f>RawSalesTable[[#This Row],[Profit]]/RawSalesTable[[#This Row],[Net_Sales]]</f>
        <v>0.44597454555996863</v>
      </c>
      <c r="AE305" s="8">
        <f>IF(RawSalesTable[[#This Row],[Return_Status]]="Yes",1,0)</f>
        <v>0</v>
      </c>
      <c r="AF305" s="8">
        <f>YEAR(RawSalesTable[[#This Row],[Order_Date]])</f>
        <v>2025</v>
      </c>
      <c r="AG305" s="8">
        <f>MONTH(RawSalesTable[[#This Row],[Order_Date]])</f>
        <v>5</v>
      </c>
      <c r="AH305" s="8" t="str">
        <f>TEXT(RawSalesTable[[#This Row],[Order_Date]],"mmmm")</f>
        <v>mai</v>
      </c>
      <c r="AI305" s="8" t="str">
        <f>IF(RawSalesTable[[#This Row],[Month_Number]]&lt;=3,"Q1",IF(RawSalesTable[[#This Row],[Month_Number]]&lt;=6,"Q2",IF(RawSalesTable[[#This Row],[Month_Number]]&lt;=9,"Q3","Q4")))</f>
        <v>Q2</v>
      </c>
      <c r="AJ305" s="13">
        <f>DATE(YEAR(RawSalesTable[[#This Row],[Order_Date]]),MONTH(RawSalesTable[[#This Row],[Order_Date]]),1)</f>
        <v>45778</v>
      </c>
      <c r="AK305" s="8" t="str">
        <f>VLOOKUP(RawSalesTable[[#This Row],[Customer_ID_clean]],CustomersTable[],4,FALSE)</f>
        <v>Quebec</v>
      </c>
    </row>
    <row r="306" spans="1:37">
      <c r="A306" t="s">
        <v>705</v>
      </c>
      <c r="B306" s="3">
        <v>45727</v>
      </c>
      <c r="C306" t="s">
        <v>706</v>
      </c>
      <c r="D306" t="s">
        <v>217</v>
      </c>
      <c r="E306" t="s">
        <v>707</v>
      </c>
      <c r="F306" t="s">
        <v>111</v>
      </c>
      <c r="G306" t="s">
        <v>130</v>
      </c>
      <c r="H306" t="s">
        <v>97</v>
      </c>
      <c r="I306">
        <v>1</v>
      </c>
      <c r="J306" s="2">
        <v>100.86</v>
      </c>
      <c r="K306" s="4">
        <v>0.2</v>
      </c>
      <c r="L306" t="s">
        <v>98</v>
      </c>
      <c r="M306">
        <v>2</v>
      </c>
      <c r="N306" t="s">
        <v>91</v>
      </c>
      <c r="O306" t="str">
        <f>SUBSTITUTE(PROPER(TRIM(RawSalesTable[[#This Row],[Channel_Raw]])), "Market Place", "Marketplace")</f>
        <v>Retail Store</v>
      </c>
      <c r="P306" t="str">
        <f>TRIM(RawSalesTable[[#This Row],[Store_Raw]])</f>
        <v>Montreal Central</v>
      </c>
      <c r="Q306" t="str">
        <f>IF(TRIM(RawSalesTable[[#This Row],[Payment_Method_Raw]])="","Non renseigné",SUBSTITUTE(TRIM(RawSalesTable[[#This Row],[Payment_Method_Raw]]),"CC","Credit Card"))</f>
        <v>Debit Card</v>
      </c>
      <c r="R306" s="8" t="str">
        <f>UPPER(PROPER(RawSalesTable[[#This Row],[Customer_ID]]))</f>
        <v>C0006</v>
      </c>
      <c r="S306" s="8" t="str">
        <f>TRIM(LEFT(RawSalesTable[[#This Row],[Customer_Info]],FIND(",",RawSalesTable[[#This Row],[Customer_Info]]) -1))</f>
        <v>Nora Wilson</v>
      </c>
      <c r="T306" s="8" t="str">
        <f>TRIM(MID(RawSalesTable[[#This Row],[Customer_Info]],FIND(",",RawSalesTable[[#This Row],[Customer_Info]])+1,FIND(",",RawSalesTable[[#This Row],[Customer_Info]],FIND(",",RawSalesTable[[#This Row],[Customer_Info]])+1)-FIND(",",RawSalesTable[[#This Row],[Customer_Info]])-1))</f>
        <v>Laval</v>
      </c>
      <c r="U306" s="8" t="str">
        <f>TRIM(RIGHT(RawSalesTable[[#This Row],[Customer_Info]], LEN(RawSalesTable[[#This Row],[Customer_Info]])-FIND(",",RawSalesTable[[#This Row],[Customer_Info]],FIND(",",RawSalesTable[[#This Row],[Customer_Info]])+1)))</f>
        <v>Consumer</v>
      </c>
      <c r="V306" s="8" t="str">
        <f>VLOOKUP(RawSalesTable[[#This Row],[Product_ID]],ProductsTable[],2,FALSE)</f>
        <v>USB-C Hub</v>
      </c>
      <c r="W306" s="8" t="str">
        <f>VLOOKUP(RawSalesTable[[#This Row],[Product_ID]],ProductsTable[],3,FALSE)</f>
        <v>Electronics</v>
      </c>
      <c r="X306" s="8">
        <f>VLOOKUP(RawSalesTable[[#This Row],[Product_ID]],ProductsTable[],5,FALSE)</f>
        <v>72</v>
      </c>
      <c r="Y306" s="8">
        <f>RawSalesTable[[#This Row],[Quantity]]*RawSalesTable[[#This Row],[Unit_Price]]</f>
        <v>100.86</v>
      </c>
      <c r="Z306" s="8">
        <f>RawSalesTable[[#This Row],[Gross_Sales]]*RawSalesTable[[#This Row],[Discount_Pct]]</f>
        <v>20.172000000000001</v>
      </c>
      <c r="AA306" s="8">
        <f>RawSalesTable[[#This Row],[Gross_Sales]]-RawSalesTable[[#This Row],[Discount_Amount]]</f>
        <v>80.688000000000002</v>
      </c>
      <c r="AB306" s="8">
        <f>RawSalesTable[[#This Row],[Unit_Cost]]*RawSalesTable[[#This Row],[Quantity]]</f>
        <v>72</v>
      </c>
      <c r="AC306" s="8">
        <f>RawSalesTable[[#This Row],[Net_Sales]]-RawSalesTable[[#This Row],[Total_Cost]]</f>
        <v>8.6880000000000024</v>
      </c>
      <c r="AD306" s="9">
        <f>RawSalesTable[[#This Row],[Profit]]/RawSalesTable[[#This Row],[Net_Sales]]</f>
        <v>0.10767400356930401</v>
      </c>
      <c r="AE306" s="8">
        <f>IF(RawSalesTable[[#This Row],[Return_Status]]="Yes",1,0)</f>
        <v>0</v>
      </c>
      <c r="AF306" s="8">
        <f>YEAR(RawSalesTable[[#This Row],[Order_Date]])</f>
        <v>2025</v>
      </c>
      <c r="AG306" s="8">
        <f>MONTH(RawSalesTable[[#This Row],[Order_Date]])</f>
        <v>3</v>
      </c>
      <c r="AH306" s="8" t="str">
        <f>TEXT(RawSalesTable[[#This Row],[Order_Date]],"mmmm")</f>
        <v>mars</v>
      </c>
      <c r="AI306" s="8" t="str">
        <f>IF(RawSalesTable[[#This Row],[Month_Number]]&lt;=3,"Q1",IF(RawSalesTable[[#This Row],[Month_Number]]&lt;=6,"Q2",IF(RawSalesTable[[#This Row],[Month_Number]]&lt;=9,"Q3","Q4")))</f>
        <v>Q1</v>
      </c>
      <c r="AJ306" s="13">
        <f>DATE(YEAR(RawSalesTable[[#This Row],[Order_Date]]),MONTH(RawSalesTable[[#This Row],[Order_Date]]),1)</f>
        <v>45717</v>
      </c>
      <c r="AK306" s="8" t="str">
        <f>VLOOKUP(RawSalesTable[[#This Row],[Customer_ID_clean]],CustomersTable[],4,FALSE)</f>
        <v>Quebec</v>
      </c>
    </row>
    <row r="307" spans="1:37">
      <c r="A307" t="s">
        <v>708</v>
      </c>
      <c r="B307" s="3">
        <v>45849</v>
      </c>
      <c r="C307" t="s">
        <v>189</v>
      </c>
      <c r="D307" t="s">
        <v>303</v>
      </c>
      <c r="E307" t="s">
        <v>457</v>
      </c>
      <c r="F307" t="s">
        <v>111</v>
      </c>
      <c r="G307" t="s">
        <v>96</v>
      </c>
      <c r="H307" t="s">
        <v>97</v>
      </c>
      <c r="I307">
        <v>1</v>
      </c>
      <c r="J307" s="2">
        <v>152.72999999999999</v>
      </c>
      <c r="K307" s="4">
        <v>0.25</v>
      </c>
      <c r="L307" t="s">
        <v>98</v>
      </c>
      <c r="M307">
        <v>3</v>
      </c>
      <c r="N307" t="s">
        <v>91</v>
      </c>
      <c r="O307" t="str">
        <f>SUBSTITUTE(PROPER(TRIM(RawSalesTable[[#This Row],[Channel_Raw]])), "Market Place", "Marketplace")</f>
        <v>Retail Store</v>
      </c>
      <c r="P307" t="str">
        <f>TRIM(RawSalesTable[[#This Row],[Store_Raw]])</f>
        <v>Montreal Central</v>
      </c>
      <c r="Q307" t="str">
        <f>IF(TRIM(RawSalesTable[[#This Row],[Payment_Method_Raw]])="","Non renseigné",SUBSTITUTE(TRIM(RawSalesTable[[#This Row],[Payment_Method_Raw]]),"CC","Credit Card"))</f>
        <v>Debit Card</v>
      </c>
      <c r="R307" s="8" t="str">
        <f>UPPER(PROPER(RawSalesTable[[#This Row],[Customer_ID]]))</f>
        <v>C0054</v>
      </c>
      <c r="S307" s="8" t="str">
        <f>TRIM(LEFT(RawSalesTable[[#This Row],[Customer_Info]],FIND(",",RawSalesTable[[#This Row],[Customer_Info]]) -1))</f>
        <v>Maya Hall</v>
      </c>
      <c r="T307" s="8" t="str">
        <f>TRIM(MID(RawSalesTable[[#This Row],[Customer_Info]],FIND(",",RawSalesTable[[#This Row],[Customer_Info]])+1,FIND(",",RawSalesTable[[#This Row],[Customer_Info]],FIND(",",RawSalesTable[[#This Row],[Customer_Info]])+1)-FIND(",",RawSalesTable[[#This Row],[Customer_Info]])-1))</f>
        <v>Surrey</v>
      </c>
      <c r="U307" s="8" t="str">
        <f>TRIM(RIGHT(RawSalesTable[[#This Row],[Customer_Info]], LEN(RawSalesTable[[#This Row],[Customer_Info]])-FIND(",",RawSalesTable[[#This Row],[Customer_Info]],FIND(",",RawSalesTable[[#This Row],[Customer_Info]])+1)))</f>
        <v>Small Business</v>
      </c>
      <c r="V307" s="8" t="str">
        <f>VLOOKUP(RawSalesTable[[#This Row],[Product_ID]],ProductsTable[],2,FALSE)</f>
        <v>Power Bank</v>
      </c>
      <c r="W307" s="8" t="str">
        <f>VLOOKUP(RawSalesTable[[#This Row],[Product_ID]],ProductsTable[],3,FALSE)</f>
        <v>Accessories</v>
      </c>
      <c r="X307" s="8">
        <f>VLOOKUP(RawSalesTable[[#This Row],[Product_ID]],ProductsTable[],5,FALSE)</f>
        <v>76.97</v>
      </c>
      <c r="Y307" s="8">
        <f>RawSalesTable[[#This Row],[Quantity]]*RawSalesTable[[#This Row],[Unit_Price]]</f>
        <v>152.72999999999999</v>
      </c>
      <c r="Z307" s="8">
        <f>RawSalesTable[[#This Row],[Gross_Sales]]*RawSalesTable[[#This Row],[Discount_Pct]]</f>
        <v>38.182499999999997</v>
      </c>
      <c r="AA307" s="8">
        <f>RawSalesTable[[#This Row],[Gross_Sales]]-RawSalesTable[[#This Row],[Discount_Amount]]</f>
        <v>114.54749999999999</v>
      </c>
      <c r="AB307" s="8">
        <f>RawSalesTable[[#This Row],[Unit_Cost]]*RawSalesTable[[#This Row],[Quantity]]</f>
        <v>76.97</v>
      </c>
      <c r="AC307" s="8">
        <f>RawSalesTable[[#This Row],[Net_Sales]]-RawSalesTable[[#This Row],[Total_Cost]]</f>
        <v>37.577499999999986</v>
      </c>
      <c r="AD307" s="9">
        <f>RawSalesTable[[#This Row],[Profit]]/RawSalesTable[[#This Row],[Net_Sales]]</f>
        <v>0.32805168161679643</v>
      </c>
      <c r="AE307" s="8">
        <f>IF(RawSalesTable[[#This Row],[Return_Status]]="Yes",1,0)</f>
        <v>0</v>
      </c>
      <c r="AF307" s="8">
        <f>YEAR(RawSalesTable[[#This Row],[Order_Date]])</f>
        <v>2025</v>
      </c>
      <c r="AG307" s="8">
        <f>MONTH(RawSalesTable[[#This Row],[Order_Date]])</f>
        <v>7</v>
      </c>
      <c r="AH307" s="8" t="str">
        <f>TEXT(RawSalesTable[[#This Row],[Order_Date]],"mmmm")</f>
        <v>juillet</v>
      </c>
      <c r="AI307" s="8" t="str">
        <f>IF(RawSalesTable[[#This Row],[Month_Number]]&lt;=3,"Q1",IF(RawSalesTable[[#This Row],[Month_Number]]&lt;=6,"Q2",IF(RawSalesTable[[#This Row],[Month_Number]]&lt;=9,"Q3","Q4")))</f>
        <v>Q3</v>
      </c>
      <c r="AJ307" s="13">
        <f>DATE(YEAR(RawSalesTable[[#This Row],[Order_Date]]),MONTH(RawSalesTable[[#This Row],[Order_Date]]),1)</f>
        <v>45839</v>
      </c>
      <c r="AK307" s="8" t="str">
        <f>VLOOKUP(RawSalesTable[[#This Row],[Customer_ID_clean]],CustomersTable[],4,FALSE)</f>
        <v>British Columbia</v>
      </c>
    </row>
    <row r="308" spans="1:37">
      <c r="A308" t="s">
        <v>709</v>
      </c>
      <c r="B308" s="3">
        <v>45973</v>
      </c>
      <c r="C308" t="s">
        <v>613</v>
      </c>
      <c r="D308" t="s">
        <v>323</v>
      </c>
      <c r="E308" t="s">
        <v>710</v>
      </c>
      <c r="F308" t="s">
        <v>111</v>
      </c>
      <c r="G308" t="s">
        <v>122</v>
      </c>
      <c r="H308" t="s">
        <v>97</v>
      </c>
      <c r="I308">
        <v>1</v>
      </c>
      <c r="J308" s="2">
        <v>316.62</v>
      </c>
      <c r="K308" s="4">
        <v>0</v>
      </c>
      <c r="L308" t="s">
        <v>106</v>
      </c>
      <c r="M308">
        <v>1</v>
      </c>
      <c r="N308" t="s">
        <v>91</v>
      </c>
      <c r="O308" t="str">
        <f>SUBSTITUTE(PROPER(TRIM(RawSalesTable[[#This Row],[Channel_Raw]])), "Market Place", "Marketplace")</f>
        <v>Retail Store</v>
      </c>
      <c r="P308" t="str">
        <f>TRIM(RawSalesTable[[#This Row],[Store_Raw]])</f>
        <v>Montreal Central</v>
      </c>
      <c r="Q308" t="str">
        <f>IF(TRIM(RawSalesTable[[#This Row],[Payment_Method_Raw]])="","Non renseigné",SUBSTITUTE(TRIM(RawSalesTable[[#This Row],[Payment_Method_Raw]]),"CC","Credit Card"))</f>
        <v>Credit Card</v>
      </c>
      <c r="R308" s="8" t="str">
        <f>UPPER(PROPER(RawSalesTable[[#This Row],[Customer_ID]]))</f>
        <v>C0060</v>
      </c>
      <c r="S308" s="8" t="str">
        <f>TRIM(LEFT(RawSalesTable[[#This Row],[Customer_Info]],FIND(",",RawSalesTable[[#This Row],[Customer_Info]]) -1))</f>
        <v>Sarah Wilson</v>
      </c>
      <c r="T308" s="8" t="str">
        <f>TRIM(MID(RawSalesTable[[#This Row],[Customer_Info]],FIND(",",RawSalesTable[[#This Row],[Customer_Info]])+1,FIND(",",RawSalesTable[[#This Row],[Customer_Info]],FIND(",",RawSalesTable[[#This Row],[Customer_Info]])+1)-FIND(",",RawSalesTable[[#This Row],[Customer_Info]])-1))</f>
        <v>Quebec City</v>
      </c>
      <c r="U308" s="8" t="str">
        <f>TRIM(RIGHT(RawSalesTable[[#This Row],[Customer_Info]], LEN(RawSalesTable[[#This Row],[Customer_Info]])-FIND(",",RawSalesTable[[#This Row],[Customer_Info]],FIND(",",RawSalesTable[[#This Row],[Customer_Info]])+1)))</f>
        <v>Corporate</v>
      </c>
      <c r="V308" s="8" t="str">
        <f>VLOOKUP(RawSalesTable[[#This Row],[Product_ID]],ProductsTable[],2,FALSE)</f>
        <v>Toaster</v>
      </c>
      <c r="W308" s="8" t="str">
        <f>VLOOKUP(RawSalesTable[[#This Row],[Product_ID]],ProductsTable[],3,FALSE)</f>
        <v>Home</v>
      </c>
      <c r="X308" s="8">
        <f>VLOOKUP(RawSalesTable[[#This Row],[Product_ID]],ProductsTable[],5,FALSE)</f>
        <v>152.88</v>
      </c>
      <c r="Y308" s="8">
        <f>RawSalesTable[[#This Row],[Quantity]]*RawSalesTable[[#This Row],[Unit_Price]]</f>
        <v>316.62</v>
      </c>
      <c r="Z308" s="8">
        <f>RawSalesTable[[#This Row],[Gross_Sales]]*RawSalesTable[[#This Row],[Discount_Pct]]</f>
        <v>0</v>
      </c>
      <c r="AA308" s="8">
        <f>RawSalesTable[[#This Row],[Gross_Sales]]-RawSalesTable[[#This Row],[Discount_Amount]]</f>
        <v>316.62</v>
      </c>
      <c r="AB308" s="8">
        <f>RawSalesTable[[#This Row],[Unit_Cost]]*RawSalesTable[[#This Row],[Quantity]]</f>
        <v>152.88</v>
      </c>
      <c r="AC308" s="8">
        <f>RawSalesTable[[#This Row],[Net_Sales]]-RawSalesTable[[#This Row],[Total_Cost]]</f>
        <v>163.74</v>
      </c>
      <c r="AD308" s="9">
        <f>RawSalesTable[[#This Row],[Profit]]/RawSalesTable[[#This Row],[Net_Sales]]</f>
        <v>0.51714989577411408</v>
      </c>
      <c r="AE308" s="8">
        <f>IF(RawSalesTable[[#This Row],[Return_Status]]="Yes",1,0)</f>
        <v>0</v>
      </c>
      <c r="AF308" s="8">
        <f>YEAR(RawSalesTable[[#This Row],[Order_Date]])</f>
        <v>2025</v>
      </c>
      <c r="AG308" s="8">
        <f>MONTH(RawSalesTable[[#This Row],[Order_Date]])</f>
        <v>11</v>
      </c>
      <c r="AH308" s="8" t="str">
        <f>TEXT(RawSalesTable[[#This Row],[Order_Date]],"mmmm")</f>
        <v>novembre</v>
      </c>
      <c r="AI308" s="8" t="str">
        <f>IF(RawSalesTable[[#This Row],[Month_Number]]&lt;=3,"Q1",IF(RawSalesTable[[#This Row],[Month_Number]]&lt;=6,"Q2",IF(RawSalesTable[[#This Row],[Month_Number]]&lt;=9,"Q3","Q4")))</f>
        <v>Q4</v>
      </c>
      <c r="AJ308" s="13">
        <f>DATE(YEAR(RawSalesTable[[#This Row],[Order_Date]]),MONTH(RawSalesTable[[#This Row],[Order_Date]]),1)</f>
        <v>45962</v>
      </c>
      <c r="AK308" s="8" t="str">
        <f>VLOOKUP(RawSalesTable[[#This Row],[Customer_ID_clean]],CustomersTable[],4,FALSE)</f>
        <v>Quebec</v>
      </c>
    </row>
    <row r="309" spans="1:37">
      <c r="A309" t="s">
        <v>711</v>
      </c>
      <c r="B309" s="3">
        <v>45809</v>
      </c>
      <c r="C309" t="s">
        <v>438</v>
      </c>
      <c r="D309" t="s">
        <v>85</v>
      </c>
      <c r="E309" t="s">
        <v>439</v>
      </c>
      <c r="F309" t="s">
        <v>111</v>
      </c>
      <c r="G309" t="s">
        <v>117</v>
      </c>
      <c r="H309" t="s">
        <v>97</v>
      </c>
      <c r="I309">
        <v>2</v>
      </c>
      <c r="J309" s="2">
        <v>308.31</v>
      </c>
      <c r="K309" s="4">
        <v>0.05</v>
      </c>
      <c r="L309" t="s">
        <v>504</v>
      </c>
      <c r="M309">
        <v>3</v>
      </c>
      <c r="N309" t="s">
        <v>91</v>
      </c>
      <c r="O309" t="str">
        <f>SUBSTITUTE(PROPER(TRIM(RawSalesTable[[#This Row],[Channel_Raw]])), "Market Place", "Marketplace")</f>
        <v>Retail Store</v>
      </c>
      <c r="P309" t="str">
        <f>TRIM(RawSalesTable[[#This Row],[Store_Raw]])</f>
        <v>Montreal Central</v>
      </c>
      <c r="Q309" t="str">
        <f>IF(TRIM(RawSalesTable[[#This Row],[Payment_Method_Raw]])="","Non renseigné",SUBSTITUTE(TRIM(RawSalesTable[[#This Row],[Payment_Method_Raw]]),"CC","Credit Card"))</f>
        <v>Debit Card</v>
      </c>
      <c r="R309" s="8" t="str">
        <f>UPPER(PROPER(RawSalesTable[[#This Row],[Customer_ID]]))</f>
        <v>C0028</v>
      </c>
      <c r="S309" s="8" t="str">
        <f>TRIM(LEFT(RawSalesTable[[#This Row],[Customer_Info]],FIND(",",RawSalesTable[[#This Row],[Customer_Info]]) -1))</f>
        <v>Mia Clark</v>
      </c>
      <c r="T309" s="8" t="str">
        <f>TRIM(MID(RawSalesTable[[#This Row],[Customer_Info]],FIND(",",RawSalesTable[[#This Row],[Customer_Info]])+1,FIND(",",RawSalesTable[[#This Row],[Customer_Info]],FIND(",",RawSalesTable[[#This Row],[Customer_Info]])+1)-FIND(",",RawSalesTable[[#This Row],[Customer_Info]])-1))</f>
        <v>Victoria</v>
      </c>
      <c r="U309" s="8" t="str">
        <f>TRIM(RIGHT(RawSalesTable[[#This Row],[Customer_Info]], LEN(RawSalesTable[[#This Row],[Customer_Info]])-FIND(",",RawSalesTable[[#This Row],[Customer_Info]],FIND(",",RawSalesTable[[#This Row],[Customer_Info]])+1)))</f>
        <v>Consumer</v>
      </c>
      <c r="V309" s="8" t="str">
        <f>VLOOKUP(RawSalesTable[[#This Row],[Product_ID]],ProductsTable[],2,FALSE)</f>
        <v>Yoga Mat</v>
      </c>
      <c r="W309" s="8" t="str">
        <f>VLOOKUP(RawSalesTable[[#This Row],[Product_ID]],ProductsTable[],3,FALSE)</f>
        <v>Fitness</v>
      </c>
      <c r="X309" s="8">
        <f>VLOOKUP(RawSalesTable[[#This Row],[Product_ID]],ProductsTable[],5,FALSE)</f>
        <v>197.33</v>
      </c>
      <c r="Y309" s="8">
        <f>RawSalesTable[[#This Row],[Quantity]]*RawSalesTable[[#This Row],[Unit_Price]]</f>
        <v>616.62</v>
      </c>
      <c r="Z309" s="8">
        <f>RawSalesTable[[#This Row],[Gross_Sales]]*RawSalesTable[[#This Row],[Discount_Pct]]</f>
        <v>30.831000000000003</v>
      </c>
      <c r="AA309" s="8">
        <f>RawSalesTable[[#This Row],[Gross_Sales]]-RawSalesTable[[#This Row],[Discount_Amount]]</f>
        <v>585.78899999999999</v>
      </c>
      <c r="AB309" s="8">
        <f>RawSalesTable[[#This Row],[Unit_Cost]]*RawSalesTable[[#This Row],[Quantity]]</f>
        <v>394.66</v>
      </c>
      <c r="AC309" s="8">
        <f>RawSalesTable[[#This Row],[Net_Sales]]-RawSalesTable[[#This Row],[Total_Cost]]</f>
        <v>191.12899999999996</v>
      </c>
      <c r="AD309" s="9">
        <f>RawSalesTable[[#This Row],[Profit]]/RawSalesTable[[#This Row],[Net_Sales]]</f>
        <v>0.3262761847696013</v>
      </c>
      <c r="AE309" s="8">
        <f>IF(RawSalesTable[[#This Row],[Return_Status]]="Yes",1,0)</f>
        <v>0</v>
      </c>
      <c r="AF309" s="8">
        <f>YEAR(RawSalesTable[[#This Row],[Order_Date]])</f>
        <v>2025</v>
      </c>
      <c r="AG309" s="8">
        <f>MONTH(RawSalesTable[[#This Row],[Order_Date]])</f>
        <v>6</v>
      </c>
      <c r="AH309" s="8" t="str">
        <f>TEXT(RawSalesTable[[#This Row],[Order_Date]],"mmmm")</f>
        <v>juin</v>
      </c>
      <c r="AI309" s="8" t="str">
        <f>IF(RawSalesTable[[#This Row],[Month_Number]]&lt;=3,"Q1",IF(RawSalesTable[[#This Row],[Month_Number]]&lt;=6,"Q2",IF(RawSalesTable[[#This Row],[Month_Number]]&lt;=9,"Q3","Q4")))</f>
        <v>Q2</v>
      </c>
      <c r="AJ309" s="13">
        <f>DATE(YEAR(RawSalesTable[[#This Row],[Order_Date]]),MONTH(RawSalesTable[[#This Row],[Order_Date]]),1)</f>
        <v>45809</v>
      </c>
      <c r="AK309" s="8" t="str">
        <f>VLOOKUP(RawSalesTable[[#This Row],[Customer_ID_clean]],CustomersTable[],4,FALSE)</f>
        <v>British Columbia</v>
      </c>
    </row>
    <row r="310" spans="1:37">
      <c r="A310" t="s">
        <v>712</v>
      </c>
      <c r="B310" s="3">
        <v>45676</v>
      </c>
      <c r="C310" t="s">
        <v>326</v>
      </c>
      <c r="D310" t="s">
        <v>143</v>
      </c>
      <c r="E310" t="s">
        <v>327</v>
      </c>
      <c r="F310" t="s">
        <v>103</v>
      </c>
      <c r="G310" t="s">
        <v>104</v>
      </c>
      <c r="H310" t="s">
        <v>89</v>
      </c>
      <c r="I310">
        <v>2</v>
      </c>
      <c r="J310" s="2">
        <v>253.83</v>
      </c>
      <c r="K310" s="4">
        <v>0.1</v>
      </c>
      <c r="L310" t="s">
        <v>98</v>
      </c>
      <c r="M310">
        <v>9</v>
      </c>
      <c r="N310" t="s">
        <v>91</v>
      </c>
      <c r="O310" t="str">
        <f>SUBSTITUTE(PROPER(TRIM(RawSalesTable[[#This Row],[Channel_Raw]])), "Market Place", "Marketplace")</f>
        <v>Online</v>
      </c>
      <c r="P310" t="str">
        <f>TRIM(RawSalesTable[[#This Row],[Store_Raw]])</f>
        <v>Vancouver West</v>
      </c>
      <c r="Q310" t="str">
        <f>IF(TRIM(RawSalesTable[[#This Row],[Payment_Method_Raw]])="","Non renseigné",SUBSTITUTE(TRIM(RawSalesTable[[#This Row],[Payment_Method_Raw]]),"CC","Credit Card"))</f>
        <v>Debit Card</v>
      </c>
      <c r="R310" s="8" t="str">
        <f>UPPER(PROPER(RawSalesTable[[#This Row],[Customer_ID]]))</f>
        <v>C0092</v>
      </c>
      <c r="S310" s="8" t="str">
        <f>TRIM(LEFT(RawSalesTable[[#This Row],[Customer_Info]],FIND(",",RawSalesTable[[#This Row],[Customer_Info]]) -1))</f>
        <v>Lucas Tremblay</v>
      </c>
      <c r="T310" s="8" t="str">
        <f>TRIM(MID(RawSalesTable[[#This Row],[Customer_Info]],FIND(",",RawSalesTable[[#This Row],[Customer_Info]])+1,FIND(",",RawSalesTable[[#This Row],[Customer_Info]],FIND(",",RawSalesTable[[#This Row],[Customer_Info]])+1)-FIND(",",RawSalesTable[[#This Row],[Customer_Info]])-1))</f>
        <v>Saskatoon</v>
      </c>
      <c r="U310" s="8" t="str">
        <f>TRIM(RIGHT(RawSalesTable[[#This Row],[Customer_Info]], LEN(RawSalesTable[[#This Row],[Customer_Info]])-FIND(",",RawSalesTable[[#This Row],[Customer_Info]],FIND(",",RawSalesTable[[#This Row],[Customer_Info]])+1)))</f>
        <v>Consumer</v>
      </c>
      <c r="V310" s="8" t="str">
        <f>VLOOKUP(RawSalesTable[[#This Row],[Product_ID]],ProductsTable[],2,FALSE)</f>
        <v>Water Bottle</v>
      </c>
      <c r="W310" s="8" t="str">
        <f>VLOOKUP(RawSalesTable[[#This Row],[Product_ID]],ProductsTable[],3,FALSE)</f>
        <v>Accessories</v>
      </c>
      <c r="X310" s="8">
        <f>VLOOKUP(RawSalesTable[[#This Row],[Product_ID]],ProductsTable[],5,FALSE)</f>
        <v>119.16</v>
      </c>
      <c r="Y310" s="8">
        <f>RawSalesTable[[#This Row],[Quantity]]*RawSalesTable[[#This Row],[Unit_Price]]</f>
        <v>507.66</v>
      </c>
      <c r="Z310" s="8">
        <f>RawSalesTable[[#This Row],[Gross_Sales]]*RawSalesTable[[#This Row],[Discount_Pct]]</f>
        <v>50.766000000000005</v>
      </c>
      <c r="AA310" s="8">
        <f>RawSalesTable[[#This Row],[Gross_Sales]]-RawSalesTable[[#This Row],[Discount_Amount]]</f>
        <v>456.89400000000001</v>
      </c>
      <c r="AB310" s="8">
        <f>RawSalesTable[[#This Row],[Unit_Cost]]*RawSalesTable[[#This Row],[Quantity]]</f>
        <v>238.32</v>
      </c>
      <c r="AC310" s="8">
        <f>RawSalesTable[[#This Row],[Net_Sales]]-RawSalesTable[[#This Row],[Total_Cost]]</f>
        <v>218.57400000000001</v>
      </c>
      <c r="AD310" s="9">
        <f>RawSalesTable[[#This Row],[Profit]]/RawSalesTable[[#This Row],[Net_Sales]]</f>
        <v>0.47839104912736874</v>
      </c>
      <c r="AE310" s="8">
        <f>IF(RawSalesTable[[#This Row],[Return_Status]]="Yes",1,0)</f>
        <v>0</v>
      </c>
      <c r="AF310" s="8">
        <f>YEAR(RawSalesTable[[#This Row],[Order_Date]])</f>
        <v>2025</v>
      </c>
      <c r="AG310" s="8">
        <f>MONTH(RawSalesTable[[#This Row],[Order_Date]])</f>
        <v>1</v>
      </c>
      <c r="AH310" s="8" t="str">
        <f>TEXT(RawSalesTable[[#This Row],[Order_Date]],"mmmm")</f>
        <v>janvier</v>
      </c>
      <c r="AI310" s="8" t="str">
        <f>IF(RawSalesTable[[#This Row],[Month_Number]]&lt;=3,"Q1",IF(RawSalesTable[[#This Row],[Month_Number]]&lt;=6,"Q2",IF(RawSalesTable[[#This Row],[Month_Number]]&lt;=9,"Q3","Q4")))</f>
        <v>Q1</v>
      </c>
      <c r="AJ310" s="13">
        <f>DATE(YEAR(RawSalesTable[[#This Row],[Order_Date]]),MONTH(RawSalesTable[[#This Row],[Order_Date]]),1)</f>
        <v>45658</v>
      </c>
      <c r="AK310" s="8" t="str">
        <f>VLOOKUP(RawSalesTable[[#This Row],[Customer_ID_clean]],CustomersTable[],4,FALSE)</f>
        <v>Saskatchewan</v>
      </c>
    </row>
    <row r="311" spans="1:37">
      <c r="A311" t="s">
        <v>713</v>
      </c>
      <c r="B311" s="3">
        <v>45696</v>
      </c>
      <c r="C311" t="s">
        <v>414</v>
      </c>
      <c r="D311" t="s">
        <v>226</v>
      </c>
      <c r="E311" t="s">
        <v>415</v>
      </c>
      <c r="F311" t="s">
        <v>145</v>
      </c>
      <c r="G311" t="s">
        <v>171</v>
      </c>
      <c r="H311" t="s">
        <v>89</v>
      </c>
      <c r="I311">
        <v>1</v>
      </c>
      <c r="J311" s="2">
        <v>218.34</v>
      </c>
      <c r="K311" s="4">
        <v>0.15</v>
      </c>
      <c r="L311" t="s">
        <v>106</v>
      </c>
      <c r="M311">
        <v>5</v>
      </c>
      <c r="N311" t="s">
        <v>91</v>
      </c>
      <c r="O311" t="str">
        <f>SUBSTITUTE(PROPER(TRIM(RawSalesTable[[#This Row],[Channel_Raw]])), "Market Place", "Marketplace")</f>
        <v>Online</v>
      </c>
      <c r="P311" t="str">
        <f>TRIM(RawSalesTable[[#This Row],[Store_Raw]])</f>
        <v>Calgary North</v>
      </c>
      <c r="Q311" t="str">
        <f>IF(TRIM(RawSalesTable[[#This Row],[Payment_Method_Raw]])="","Non renseigné",SUBSTITUTE(TRIM(RawSalesTable[[#This Row],[Payment_Method_Raw]]),"CC","Credit Card"))</f>
        <v>Credit Card</v>
      </c>
      <c r="R311" s="8" t="str">
        <f>UPPER(PROPER(RawSalesTable[[#This Row],[Customer_ID]]))</f>
        <v>C0052</v>
      </c>
      <c r="S311" s="8" t="str">
        <f>TRIM(LEFT(RawSalesTable[[#This Row],[Customer_Info]],FIND(",",RawSalesTable[[#This Row],[Customer_Info]]) -1))</f>
        <v>Liam Bennett</v>
      </c>
      <c r="T311" s="8" t="str">
        <f>TRIM(MID(RawSalesTable[[#This Row],[Customer_Info]],FIND(",",RawSalesTable[[#This Row],[Customer_Info]])+1,FIND(",",RawSalesTable[[#This Row],[Customer_Info]],FIND(",",RawSalesTable[[#This Row],[Customer_Info]])+1)-FIND(",",RawSalesTable[[#This Row],[Customer_Info]])-1))</f>
        <v>Edmonton</v>
      </c>
      <c r="U311" s="8" t="str">
        <f>TRIM(RIGHT(RawSalesTable[[#This Row],[Customer_Info]], LEN(RawSalesTable[[#This Row],[Customer_Info]])-FIND(",",RawSalesTable[[#This Row],[Customer_Info]],FIND(",",RawSalesTable[[#This Row],[Customer_Info]])+1)))</f>
        <v>Corporate</v>
      </c>
      <c r="V311" s="8" t="str">
        <f>VLOOKUP(RawSalesTable[[#This Row],[Product_ID]],ProductsTable[],2,FALSE)</f>
        <v>Desk Lamp</v>
      </c>
      <c r="W311" s="8" t="str">
        <f>VLOOKUP(RawSalesTable[[#This Row],[Product_ID]],ProductsTable[],3,FALSE)</f>
        <v>Office</v>
      </c>
      <c r="X311" s="8">
        <f>VLOOKUP(RawSalesTable[[#This Row],[Product_ID]],ProductsTable[],5,FALSE)</f>
        <v>127.21</v>
      </c>
      <c r="Y311" s="8">
        <f>RawSalesTable[[#This Row],[Quantity]]*RawSalesTable[[#This Row],[Unit_Price]]</f>
        <v>218.34</v>
      </c>
      <c r="Z311" s="8">
        <f>RawSalesTable[[#This Row],[Gross_Sales]]*RawSalesTable[[#This Row],[Discount_Pct]]</f>
        <v>32.750999999999998</v>
      </c>
      <c r="AA311" s="8">
        <f>RawSalesTable[[#This Row],[Gross_Sales]]-RawSalesTable[[#This Row],[Discount_Amount]]</f>
        <v>185.589</v>
      </c>
      <c r="AB311" s="8">
        <f>RawSalesTable[[#This Row],[Unit_Cost]]*RawSalesTable[[#This Row],[Quantity]]</f>
        <v>127.21</v>
      </c>
      <c r="AC311" s="8">
        <f>RawSalesTable[[#This Row],[Net_Sales]]-RawSalesTable[[#This Row],[Total_Cost]]</f>
        <v>58.379000000000005</v>
      </c>
      <c r="AD311" s="9">
        <f>RawSalesTable[[#This Row],[Profit]]/RawSalesTable[[#This Row],[Net_Sales]]</f>
        <v>0.31456066900516738</v>
      </c>
      <c r="AE311" s="8">
        <f>IF(RawSalesTable[[#This Row],[Return_Status]]="Yes",1,0)</f>
        <v>0</v>
      </c>
      <c r="AF311" s="8">
        <f>YEAR(RawSalesTable[[#This Row],[Order_Date]])</f>
        <v>2025</v>
      </c>
      <c r="AG311" s="8">
        <f>MONTH(RawSalesTable[[#This Row],[Order_Date]])</f>
        <v>2</v>
      </c>
      <c r="AH311" s="8" t="str">
        <f>TEXT(RawSalesTable[[#This Row],[Order_Date]],"mmmm")</f>
        <v>février</v>
      </c>
      <c r="AI311" s="8" t="str">
        <f>IF(RawSalesTable[[#This Row],[Month_Number]]&lt;=3,"Q1",IF(RawSalesTable[[#This Row],[Month_Number]]&lt;=6,"Q2",IF(RawSalesTable[[#This Row],[Month_Number]]&lt;=9,"Q3","Q4")))</f>
        <v>Q1</v>
      </c>
      <c r="AJ311" s="13">
        <f>DATE(YEAR(RawSalesTable[[#This Row],[Order_Date]]),MONTH(RawSalesTable[[#This Row],[Order_Date]]),1)</f>
        <v>45689</v>
      </c>
      <c r="AK311" s="8" t="str">
        <f>VLOOKUP(RawSalesTable[[#This Row],[Customer_ID_clean]],CustomersTable[],4,FALSE)</f>
        <v>Alberta</v>
      </c>
    </row>
    <row r="312" spans="1:37">
      <c r="A312" t="s">
        <v>714</v>
      </c>
      <c r="B312" s="3">
        <v>45682</v>
      </c>
      <c r="C312" t="s">
        <v>330</v>
      </c>
      <c r="D312" t="s">
        <v>165</v>
      </c>
      <c r="E312" t="s">
        <v>424</v>
      </c>
      <c r="F312" t="s">
        <v>87</v>
      </c>
      <c r="G312" t="s">
        <v>130</v>
      </c>
      <c r="H312" t="s">
        <v>228</v>
      </c>
      <c r="I312">
        <v>4</v>
      </c>
      <c r="J312" s="2">
        <v>106.03</v>
      </c>
      <c r="K312" s="4">
        <v>0.05</v>
      </c>
      <c r="L312" t="s">
        <v>106</v>
      </c>
      <c r="M312">
        <v>7</v>
      </c>
      <c r="N312" t="s">
        <v>91</v>
      </c>
      <c r="O312" t="str">
        <f>SUBSTITUTE(PROPER(TRIM(RawSalesTable[[#This Row],[Channel_Raw]])), "Market Place", "Marketplace")</f>
        <v>Online</v>
      </c>
      <c r="P312" t="str">
        <f>TRIM(RawSalesTable[[#This Row],[Store_Raw]])</f>
        <v>Online Fulfillment</v>
      </c>
      <c r="Q312" t="str">
        <f>IF(TRIM(RawSalesTable[[#This Row],[Payment_Method_Raw]])="","Non renseigné",SUBSTITUTE(TRIM(RawSalesTable[[#This Row],[Payment_Method_Raw]]),"CC","Credit Card"))</f>
        <v>Credit Card</v>
      </c>
      <c r="R312" s="8" t="str">
        <f>UPPER(PROPER(RawSalesTable[[#This Row],[Customer_ID]]))</f>
        <v>C0108</v>
      </c>
      <c r="S312" s="8" t="str">
        <f>TRIM(LEFT(RawSalesTable[[#This Row],[Customer_Info]],FIND(",",RawSalesTable[[#This Row],[Customer_Info]]) -1))</f>
        <v>Noah Lee</v>
      </c>
      <c r="T312" s="8" t="str">
        <f>TRIM(MID(RawSalesTable[[#This Row],[Customer_Info]],FIND(",",RawSalesTable[[#This Row],[Customer_Info]])+1,FIND(",",RawSalesTable[[#This Row],[Customer_Info]],FIND(",",RawSalesTable[[#This Row],[Customer_Info]])+1)-FIND(",",RawSalesTable[[#This Row],[Customer_Info]])-1))</f>
        <v>Surrey</v>
      </c>
      <c r="U312" s="8" t="str">
        <f>TRIM(RIGHT(RawSalesTable[[#This Row],[Customer_Info]], LEN(RawSalesTable[[#This Row],[Customer_Info]])-FIND(",",RawSalesTable[[#This Row],[Customer_Info]],FIND(",",RawSalesTable[[#This Row],[Customer_Info]])+1)))</f>
        <v>Consumer</v>
      </c>
      <c r="V312" s="8" t="str">
        <f>VLOOKUP(RawSalesTable[[#This Row],[Product_ID]],ProductsTable[],2,FALSE)</f>
        <v>Food Scale</v>
      </c>
      <c r="W312" s="8" t="str">
        <f>VLOOKUP(RawSalesTable[[#This Row],[Product_ID]],ProductsTable[],3,FALSE)</f>
        <v>Home</v>
      </c>
      <c r="X312" s="8">
        <f>VLOOKUP(RawSalesTable[[#This Row],[Product_ID]],ProductsTable[],5,FALSE)</f>
        <v>46.07</v>
      </c>
      <c r="Y312" s="8">
        <f>RawSalesTable[[#This Row],[Quantity]]*RawSalesTable[[#This Row],[Unit_Price]]</f>
        <v>424.12</v>
      </c>
      <c r="Z312" s="8">
        <f>RawSalesTable[[#This Row],[Gross_Sales]]*RawSalesTable[[#This Row],[Discount_Pct]]</f>
        <v>21.206000000000003</v>
      </c>
      <c r="AA312" s="8">
        <f>RawSalesTable[[#This Row],[Gross_Sales]]-RawSalesTable[[#This Row],[Discount_Amount]]</f>
        <v>402.91399999999999</v>
      </c>
      <c r="AB312" s="8">
        <f>RawSalesTable[[#This Row],[Unit_Cost]]*RawSalesTable[[#This Row],[Quantity]]</f>
        <v>184.28</v>
      </c>
      <c r="AC312" s="8">
        <f>RawSalesTable[[#This Row],[Net_Sales]]-RawSalesTable[[#This Row],[Total_Cost]]</f>
        <v>218.63399999999999</v>
      </c>
      <c r="AD312" s="9">
        <f>RawSalesTable[[#This Row],[Profit]]/RawSalesTable[[#This Row],[Net_Sales]]</f>
        <v>0.54263192641605895</v>
      </c>
      <c r="AE312" s="8">
        <f>IF(RawSalesTable[[#This Row],[Return_Status]]="Yes",1,0)</f>
        <v>0</v>
      </c>
      <c r="AF312" s="8">
        <f>YEAR(RawSalesTable[[#This Row],[Order_Date]])</f>
        <v>2025</v>
      </c>
      <c r="AG312" s="8">
        <f>MONTH(RawSalesTable[[#This Row],[Order_Date]])</f>
        <v>1</v>
      </c>
      <c r="AH312" s="8" t="str">
        <f>TEXT(RawSalesTable[[#This Row],[Order_Date]],"mmmm")</f>
        <v>janvier</v>
      </c>
      <c r="AI312" s="8" t="str">
        <f>IF(RawSalesTable[[#This Row],[Month_Number]]&lt;=3,"Q1",IF(RawSalesTable[[#This Row],[Month_Number]]&lt;=6,"Q2",IF(RawSalesTable[[#This Row],[Month_Number]]&lt;=9,"Q3","Q4")))</f>
        <v>Q1</v>
      </c>
      <c r="AJ312" s="13">
        <f>DATE(YEAR(RawSalesTable[[#This Row],[Order_Date]]),MONTH(RawSalesTable[[#This Row],[Order_Date]]),1)</f>
        <v>45658</v>
      </c>
      <c r="AK312" s="8" t="str">
        <f>VLOOKUP(RawSalesTable[[#This Row],[Customer_ID_clean]],CustomersTable[],4,FALSE)</f>
        <v>British Columbia</v>
      </c>
    </row>
    <row r="313" spans="1:37">
      <c r="A313" t="s">
        <v>715</v>
      </c>
      <c r="B313" s="3">
        <v>45765</v>
      </c>
      <c r="C313" t="s">
        <v>300</v>
      </c>
      <c r="D313" t="s">
        <v>174</v>
      </c>
      <c r="E313" t="s">
        <v>301</v>
      </c>
      <c r="F313" t="s">
        <v>111</v>
      </c>
      <c r="G313" t="s">
        <v>96</v>
      </c>
      <c r="H313" t="s">
        <v>89</v>
      </c>
      <c r="I313">
        <v>3</v>
      </c>
      <c r="J313" s="2">
        <v>40.25</v>
      </c>
      <c r="K313" s="4">
        <v>0</v>
      </c>
      <c r="L313" t="s">
        <v>90</v>
      </c>
      <c r="M313">
        <v>1</v>
      </c>
      <c r="N313" t="s">
        <v>91</v>
      </c>
      <c r="O313" t="str">
        <f>SUBSTITUTE(PROPER(TRIM(RawSalesTable[[#This Row],[Channel_Raw]])), "Market Place", "Marketplace")</f>
        <v>Online</v>
      </c>
      <c r="P313" t="str">
        <f>TRIM(RawSalesTable[[#This Row],[Store_Raw]])</f>
        <v>Montreal Central</v>
      </c>
      <c r="Q313" t="str">
        <f>IF(TRIM(RawSalesTable[[#This Row],[Payment_Method_Raw]])="","Non renseigné",SUBSTITUTE(TRIM(RawSalesTable[[#This Row],[Payment_Method_Raw]]),"CC","Credit Card"))</f>
        <v>PayPal</v>
      </c>
      <c r="R313" s="8" t="str">
        <f>UPPER(PROPER(RawSalesTable[[#This Row],[Customer_ID]]))</f>
        <v>C0016</v>
      </c>
      <c r="S313" s="8" t="str">
        <f>TRIM(LEFT(RawSalesTable[[#This Row],[Customer_Info]],FIND(",",RawSalesTable[[#This Row],[Customer_Info]]) -1))</f>
        <v>Nora Singh</v>
      </c>
      <c r="T313" s="8" t="str">
        <f>TRIM(MID(RawSalesTable[[#This Row],[Customer_Info]],FIND(",",RawSalesTable[[#This Row],[Customer_Info]])+1,FIND(",",RawSalesTable[[#This Row],[Customer_Info]],FIND(",",RawSalesTable[[#This Row],[Customer_Info]])+1)-FIND(",",RawSalesTable[[#This Row],[Customer_Info]])-1))</f>
        <v>Calgary</v>
      </c>
      <c r="U313" s="8" t="str">
        <f>TRIM(RIGHT(RawSalesTable[[#This Row],[Customer_Info]], LEN(RawSalesTable[[#This Row],[Customer_Info]])-FIND(",",RawSalesTable[[#This Row],[Customer_Info]],FIND(",",RawSalesTable[[#This Row],[Customer_Info]])+1)))</f>
        <v>Consumer</v>
      </c>
      <c r="V313" s="8" t="str">
        <f>VLOOKUP(RawSalesTable[[#This Row],[Product_ID]],ProductsTable[],2,FALSE)</f>
        <v>Keyboard</v>
      </c>
      <c r="W313" s="8" t="str">
        <f>VLOOKUP(RawSalesTable[[#This Row],[Product_ID]],ProductsTable[],3,FALSE)</f>
        <v>Electronics</v>
      </c>
      <c r="X313" s="8">
        <f>VLOOKUP(RawSalesTable[[#This Row],[Product_ID]],ProductsTable[],5,FALSE)</f>
        <v>23.5</v>
      </c>
      <c r="Y313" s="8">
        <f>RawSalesTable[[#This Row],[Quantity]]*RawSalesTable[[#This Row],[Unit_Price]]</f>
        <v>120.75</v>
      </c>
      <c r="Z313" s="8">
        <f>RawSalesTable[[#This Row],[Gross_Sales]]*RawSalesTable[[#This Row],[Discount_Pct]]</f>
        <v>0</v>
      </c>
      <c r="AA313" s="8">
        <f>RawSalesTable[[#This Row],[Gross_Sales]]-RawSalesTable[[#This Row],[Discount_Amount]]</f>
        <v>120.75</v>
      </c>
      <c r="AB313" s="8">
        <f>RawSalesTable[[#This Row],[Unit_Cost]]*RawSalesTable[[#This Row],[Quantity]]</f>
        <v>70.5</v>
      </c>
      <c r="AC313" s="8">
        <f>RawSalesTable[[#This Row],[Net_Sales]]-RawSalesTable[[#This Row],[Total_Cost]]</f>
        <v>50.25</v>
      </c>
      <c r="AD313" s="9">
        <f>RawSalesTable[[#This Row],[Profit]]/RawSalesTable[[#This Row],[Net_Sales]]</f>
        <v>0.41614906832298137</v>
      </c>
      <c r="AE313" s="8">
        <f>IF(RawSalesTable[[#This Row],[Return_Status]]="Yes",1,0)</f>
        <v>0</v>
      </c>
      <c r="AF313" s="8">
        <f>YEAR(RawSalesTable[[#This Row],[Order_Date]])</f>
        <v>2025</v>
      </c>
      <c r="AG313" s="8">
        <f>MONTH(RawSalesTable[[#This Row],[Order_Date]])</f>
        <v>4</v>
      </c>
      <c r="AH313" s="8" t="str">
        <f>TEXT(RawSalesTable[[#This Row],[Order_Date]],"mmmm")</f>
        <v>avril</v>
      </c>
      <c r="AI313" s="8" t="str">
        <f>IF(RawSalesTable[[#This Row],[Month_Number]]&lt;=3,"Q1",IF(RawSalesTable[[#This Row],[Month_Number]]&lt;=6,"Q2",IF(RawSalesTable[[#This Row],[Month_Number]]&lt;=9,"Q3","Q4")))</f>
        <v>Q2</v>
      </c>
      <c r="AJ313" s="13">
        <f>DATE(YEAR(RawSalesTable[[#This Row],[Order_Date]]),MONTH(RawSalesTable[[#This Row],[Order_Date]]),1)</f>
        <v>45748</v>
      </c>
      <c r="AK313" s="8" t="str">
        <f>VLOOKUP(RawSalesTable[[#This Row],[Customer_ID_clean]],CustomersTable[],4,FALSE)</f>
        <v>Alberta</v>
      </c>
    </row>
    <row r="314" spans="1:37">
      <c r="A314" t="s">
        <v>716</v>
      </c>
      <c r="B314" s="3">
        <v>45968</v>
      </c>
      <c r="C314" t="s">
        <v>507</v>
      </c>
      <c r="D314" t="s">
        <v>149</v>
      </c>
      <c r="E314" t="s">
        <v>508</v>
      </c>
      <c r="F314" t="s">
        <v>103</v>
      </c>
      <c r="G314" t="s">
        <v>130</v>
      </c>
      <c r="H314" t="s">
        <v>97</v>
      </c>
      <c r="I314">
        <v>1</v>
      </c>
      <c r="J314" s="2">
        <v>79.12</v>
      </c>
      <c r="K314" s="4">
        <v>0</v>
      </c>
      <c r="L314" t="s">
        <v>106</v>
      </c>
      <c r="M314">
        <v>3</v>
      </c>
      <c r="N314" t="s">
        <v>91</v>
      </c>
      <c r="O314" t="str">
        <f>SUBSTITUTE(PROPER(TRIM(RawSalesTable[[#This Row],[Channel_Raw]])), "Market Place", "Marketplace")</f>
        <v>Retail Store</v>
      </c>
      <c r="P314" t="str">
        <f>TRIM(RawSalesTable[[#This Row],[Store_Raw]])</f>
        <v>Vancouver West</v>
      </c>
      <c r="Q314" t="str">
        <f>IF(TRIM(RawSalesTable[[#This Row],[Payment_Method_Raw]])="","Non renseigné",SUBSTITUTE(TRIM(RawSalesTable[[#This Row],[Payment_Method_Raw]]),"CC","Credit Card"))</f>
        <v>Credit Card</v>
      </c>
      <c r="R314" s="8" t="str">
        <f>UPPER(PROPER(RawSalesTable[[#This Row],[Customer_ID]]))</f>
        <v>C0078</v>
      </c>
      <c r="S314" s="8" t="str">
        <f>TRIM(LEFT(RawSalesTable[[#This Row],[Customer_Info]],FIND(",",RawSalesTable[[#This Row],[Customer_Info]]) -1))</f>
        <v>Sarah Smith</v>
      </c>
      <c r="T314" s="8" t="str">
        <f>TRIM(MID(RawSalesTable[[#This Row],[Customer_Info]],FIND(",",RawSalesTable[[#This Row],[Customer_Info]])+1,FIND(",",RawSalesTable[[#This Row],[Customer_Info]],FIND(",",RawSalesTable[[#This Row],[Customer_Info]])+1)-FIND(",",RawSalesTable[[#This Row],[Customer_Info]])-1))</f>
        <v>Edmonton</v>
      </c>
      <c r="U314" s="8" t="str">
        <f>TRIM(RIGHT(RawSalesTable[[#This Row],[Customer_Info]], LEN(RawSalesTable[[#This Row],[Customer_Info]])-FIND(",",RawSalesTable[[#This Row],[Customer_Info]],FIND(",",RawSalesTable[[#This Row],[Customer_Info]])+1)))</f>
        <v>Corporate</v>
      </c>
      <c r="V314" s="8" t="str">
        <f>VLOOKUP(RawSalesTable[[#This Row],[Product_ID]],ProductsTable[],2,FALSE)</f>
        <v>Office Chair</v>
      </c>
      <c r="W314" s="8" t="str">
        <f>VLOOKUP(RawSalesTable[[#This Row],[Product_ID]],ProductsTable[],3,FALSE)</f>
        <v>Office</v>
      </c>
      <c r="X314" s="8">
        <f>VLOOKUP(RawSalesTable[[#This Row],[Product_ID]],ProductsTable[],5,FALSE)</f>
        <v>39.26</v>
      </c>
      <c r="Y314" s="8">
        <f>RawSalesTable[[#This Row],[Quantity]]*RawSalesTable[[#This Row],[Unit_Price]]</f>
        <v>79.12</v>
      </c>
      <c r="Z314" s="8">
        <f>RawSalesTable[[#This Row],[Gross_Sales]]*RawSalesTable[[#This Row],[Discount_Pct]]</f>
        <v>0</v>
      </c>
      <c r="AA314" s="8">
        <f>RawSalesTable[[#This Row],[Gross_Sales]]-RawSalesTable[[#This Row],[Discount_Amount]]</f>
        <v>79.12</v>
      </c>
      <c r="AB314" s="8">
        <f>RawSalesTable[[#This Row],[Unit_Cost]]*RawSalesTable[[#This Row],[Quantity]]</f>
        <v>39.26</v>
      </c>
      <c r="AC314" s="8">
        <f>RawSalesTable[[#This Row],[Net_Sales]]-RawSalesTable[[#This Row],[Total_Cost]]</f>
        <v>39.860000000000007</v>
      </c>
      <c r="AD314" s="9">
        <f>RawSalesTable[[#This Row],[Profit]]/RawSalesTable[[#This Row],[Net_Sales]]</f>
        <v>0.50379170879676449</v>
      </c>
      <c r="AE314" s="8">
        <f>IF(RawSalesTable[[#This Row],[Return_Status]]="Yes",1,0)</f>
        <v>0</v>
      </c>
      <c r="AF314" s="8">
        <f>YEAR(RawSalesTable[[#This Row],[Order_Date]])</f>
        <v>2025</v>
      </c>
      <c r="AG314" s="8">
        <f>MONTH(RawSalesTable[[#This Row],[Order_Date]])</f>
        <v>11</v>
      </c>
      <c r="AH314" s="8" t="str">
        <f>TEXT(RawSalesTable[[#This Row],[Order_Date]],"mmmm")</f>
        <v>novembre</v>
      </c>
      <c r="AI314" s="8" t="str">
        <f>IF(RawSalesTable[[#This Row],[Month_Number]]&lt;=3,"Q1",IF(RawSalesTable[[#This Row],[Month_Number]]&lt;=6,"Q2",IF(RawSalesTable[[#This Row],[Month_Number]]&lt;=9,"Q3","Q4")))</f>
        <v>Q4</v>
      </c>
      <c r="AJ314" s="13">
        <f>DATE(YEAR(RawSalesTable[[#This Row],[Order_Date]]),MONTH(RawSalesTable[[#This Row],[Order_Date]]),1)</f>
        <v>45962</v>
      </c>
      <c r="AK314" s="8" t="str">
        <f>VLOOKUP(RawSalesTable[[#This Row],[Customer_ID_clean]],CustomersTable[],4,FALSE)</f>
        <v>Alberta</v>
      </c>
    </row>
    <row r="315" spans="1:37">
      <c r="A315" t="s">
        <v>717</v>
      </c>
      <c r="B315" s="3">
        <v>45683</v>
      </c>
      <c r="C315" t="s">
        <v>108</v>
      </c>
      <c r="D315" t="s">
        <v>261</v>
      </c>
      <c r="E315" t="s">
        <v>110</v>
      </c>
      <c r="F315" t="s">
        <v>116</v>
      </c>
      <c r="G315" t="s">
        <v>183</v>
      </c>
      <c r="H315" t="s">
        <v>97</v>
      </c>
      <c r="I315">
        <v>4</v>
      </c>
      <c r="J315" s="2">
        <v>253.26</v>
      </c>
      <c r="K315" s="4">
        <v>0.15</v>
      </c>
      <c r="L315" t="s">
        <v>106</v>
      </c>
      <c r="M315">
        <v>4</v>
      </c>
      <c r="N315" t="s">
        <v>91</v>
      </c>
      <c r="O315" t="str">
        <f>SUBSTITUTE(PROPER(TRIM(RawSalesTable[[#This Row],[Channel_Raw]])), "Market Place", "Marketplace")</f>
        <v>Retail Store</v>
      </c>
      <c r="P315" t="str">
        <f>TRIM(RawSalesTable[[#This Row],[Store_Raw]])</f>
        <v>Toronto Downtown</v>
      </c>
      <c r="Q315" t="str">
        <f>IF(TRIM(RawSalesTable[[#This Row],[Payment_Method_Raw]])="","Non renseigné",SUBSTITUTE(TRIM(RawSalesTable[[#This Row],[Payment_Method_Raw]]),"CC","Credit Card"))</f>
        <v>Credit Card</v>
      </c>
      <c r="R315" s="8" t="str">
        <f>UPPER(PROPER(RawSalesTable[[#This Row],[Customer_ID]]))</f>
        <v>C0071</v>
      </c>
      <c r="S315" s="8" t="str">
        <f>TRIM(LEFT(RawSalesTable[[#This Row],[Customer_Info]],FIND(",",RawSalesTable[[#This Row],[Customer_Info]]) -1))</f>
        <v>Ethan Lee</v>
      </c>
      <c r="T315" s="8" t="str">
        <f>TRIM(MID(RawSalesTable[[#This Row],[Customer_Info]],FIND(",",RawSalesTable[[#This Row],[Customer_Info]])+1,FIND(",",RawSalesTable[[#This Row],[Customer_Info]],FIND(",",RawSalesTable[[#This Row],[Customer_Info]])+1)-FIND(",",RawSalesTable[[#This Row],[Customer_Info]])-1))</f>
        <v>Surrey</v>
      </c>
      <c r="U315" s="8" t="str">
        <f>TRIM(RIGHT(RawSalesTable[[#This Row],[Customer_Info]], LEN(RawSalesTable[[#This Row],[Customer_Info]])-FIND(",",RawSalesTable[[#This Row],[Customer_Info]],FIND(",",RawSalesTable[[#This Row],[Customer_Info]])+1)))</f>
        <v>Consumer</v>
      </c>
      <c r="V315" s="8" t="str">
        <f>VLOOKUP(RawSalesTable[[#This Row],[Product_ID]],ProductsTable[],2,FALSE)</f>
        <v>Dumbbell Set</v>
      </c>
      <c r="W315" s="8" t="str">
        <f>VLOOKUP(RawSalesTable[[#This Row],[Product_ID]],ProductsTable[],3,FALSE)</f>
        <v>Fitness</v>
      </c>
      <c r="X315" s="8">
        <f>VLOOKUP(RawSalesTable[[#This Row],[Product_ID]],ProductsTable[],5,FALSE)</f>
        <v>131.72999999999999</v>
      </c>
      <c r="Y315" s="8">
        <f>RawSalesTable[[#This Row],[Quantity]]*RawSalesTable[[#This Row],[Unit_Price]]</f>
        <v>1013.04</v>
      </c>
      <c r="Z315" s="8">
        <f>RawSalesTable[[#This Row],[Gross_Sales]]*RawSalesTable[[#This Row],[Discount_Pct]]</f>
        <v>151.95599999999999</v>
      </c>
      <c r="AA315" s="8">
        <f>RawSalesTable[[#This Row],[Gross_Sales]]-RawSalesTable[[#This Row],[Discount_Amount]]</f>
        <v>861.08399999999995</v>
      </c>
      <c r="AB315" s="8">
        <f>RawSalesTable[[#This Row],[Unit_Cost]]*RawSalesTable[[#This Row],[Quantity]]</f>
        <v>526.91999999999996</v>
      </c>
      <c r="AC315" s="8">
        <f>RawSalesTable[[#This Row],[Net_Sales]]-RawSalesTable[[#This Row],[Total_Cost]]</f>
        <v>334.16399999999999</v>
      </c>
      <c r="AD315" s="9">
        <f>RawSalesTable[[#This Row],[Profit]]/RawSalesTable[[#This Row],[Net_Sales]]</f>
        <v>0.3880736374151651</v>
      </c>
      <c r="AE315" s="8">
        <f>IF(RawSalesTable[[#This Row],[Return_Status]]="Yes",1,0)</f>
        <v>0</v>
      </c>
      <c r="AF315" s="8">
        <f>YEAR(RawSalesTable[[#This Row],[Order_Date]])</f>
        <v>2025</v>
      </c>
      <c r="AG315" s="8">
        <f>MONTH(RawSalesTable[[#This Row],[Order_Date]])</f>
        <v>1</v>
      </c>
      <c r="AH315" s="8" t="str">
        <f>TEXT(RawSalesTable[[#This Row],[Order_Date]],"mmmm")</f>
        <v>janvier</v>
      </c>
      <c r="AI315" s="8" t="str">
        <f>IF(RawSalesTable[[#This Row],[Month_Number]]&lt;=3,"Q1",IF(RawSalesTable[[#This Row],[Month_Number]]&lt;=6,"Q2",IF(RawSalesTable[[#This Row],[Month_Number]]&lt;=9,"Q3","Q4")))</f>
        <v>Q1</v>
      </c>
      <c r="AJ315" s="13">
        <f>DATE(YEAR(RawSalesTable[[#This Row],[Order_Date]]),MONTH(RawSalesTable[[#This Row],[Order_Date]]),1)</f>
        <v>45658</v>
      </c>
      <c r="AK315" s="8" t="str">
        <f>VLOOKUP(RawSalesTable[[#This Row],[Customer_ID_clean]],CustomersTable[],4,FALSE)</f>
        <v>British Columbia</v>
      </c>
    </row>
    <row r="316" spans="1:37">
      <c r="A316" t="s">
        <v>718</v>
      </c>
      <c r="B316" s="3">
        <v>45818</v>
      </c>
      <c r="C316" t="s">
        <v>279</v>
      </c>
      <c r="D316" t="s">
        <v>109</v>
      </c>
      <c r="E316" t="s">
        <v>280</v>
      </c>
      <c r="F316" t="s">
        <v>87</v>
      </c>
      <c r="G316" t="s">
        <v>183</v>
      </c>
      <c r="H316" t="s">
        <v>97</v>
      </c>
      <c r="I316">
        <v>2</v>
      </c>
      <c r="J316" s="2">
        <v>201.38</v>
      </c>
      <c r="K316" s="4">
        <v>0</v>
      </c>
      <c r="L316" t="s">
        <v>504</v>
      </c>
      <c r="M316">
        <v>1</v>
      </c>
      <c r="N316" t="s">
        <v>91</v>
      </c>
      <c r="O316" t="str">
        <f>SUBSTITUTE(PROPER(TRIM(RawSalesTable[[#This Row],[Channel_Raw]])), "Market Place", "Marketplace")</f>
        <v>Retail Store</v>
      </c>
      <c r="P316" t="str">
        <f>TRIM(RawSalesTable[[#This Row],[Store_Raw]])</f>
        <v>Online Fulfillment</v>
      </c>
      <c r="Q316" t="str">
        <f>IF(TRIM(RawSalesTable[[#This Row],[Payment_Method_Raw]])="","Non renseigné",SUBSTITUTE(TRIM(RawSalesTable[[#This Row],[Payment_Method_Raw]]),"CC","Credit Card"))</f>
        <v>Debit Card</v>
      </c>
      <c r="R316" s="8" t="str">
        <f>UPPER(PROPER(RawSalesTable[[#This Row],[Customer_ID]]))</f>
        <v>C0069</v>
      </c>
      <c r="S316" s="8" t="str">
        <f>TRIM(LEFT(RawSalesTable[[#This Row],[Customer_Info]],FIND(",",RawSalesTable[[#This Row],[Customer_Info]]) -1))</f>
        <v>Sarah White</v>
      </c>
      <c r="T316" s="8" t="str">
        <f>TRIM(MID(RawSalesTable[[#This Row],[Customer_Info]],FIND(",",RawSalesTable[[#This Row],[Customer_Info]])+1,FIND(",",RawSalesTable[[#This Row],[Customer_Info]],FIND(",",RawSalesTable[[#This Row],[Customer_Info]])+1)-FIND(",",RawSalesTable[[#This Row],[Customer_Info]])-1))</f>
        <v>Ottawa</v>
      </c>
      <c r="U316" s="8" t="str">
        <f>TRIM(RIGHT(RawSalesTable[[#This Row],[Customer_Info]], LEN(RawSalesTable[[#This Row],[Customer_Info]])-FIND(",",RawSalesTable[[#This Row],[Customer_Info]],FIND(",",RawSalesTable[[#This Row],[Customer_Info]])+1)))</f>
        <v>Consumer</v>
      </c>
      <c r="V316" s="8" t="str">
        <f>VLOOKUP(RawSalesTable[[#This Row],[Product_ID]],ProductsTable[],2,FALSE)</f>
        <v>Gym Bag</v>
      </c>
      <c r="W316" s="8" t="str">
        <f>VLOOKUP(RawSalesTable[[#This Row],[Product_ID]],ProductsTable[],3,FALSE)</f>
        <v>Fitness</v>
      </c>
      <c r="X316" s="8">
        <f>VLOOKUP(RawSalesTable[[#This Row],[Product_ID]],ProductsTable[],5,FALSE)</f>
        <v>132.72</v>
      </c>
      <c r="Y316" s="8">
        <f>RawSalesTable[[#This Row],[Quantity]]*RawSalesTable[[#This Row],[Unit_Price]]</f>
        <v>402.76</v>
      </c>
      <c r="Z316" s="8">
        <f>RawSalesTable[[#This Row],[Gross_Sales]]*RawSalesTable[[#This Row],[Discount_Pct]]</f>
        <v>0</v>
      </c>
      <c r="AA316" s="8">
        <f>RawSalesTable[[#This Row],[Gross_Sales]]-RawSalesTable[[#This Row],[Discount_Amount]]</f>
        <v>402.76</v>
      </c>
      <c r="AB316" s="8">
        <f>RawSalesTable[[#This Row],[Unit_Cost]]*RawSalesTable[[#This Row],[Quantity]]</f>
        <v>265.44</v>
      </c>
      <c r="AC316" s="8">
        <f>RawSalesTable[[#This Row],[Net_Sales]]-RawSalesTable[[#This Row],[Total_Cost]]</f>
        <v>137.32</v>
      </c>
      <c r="AD316" s="9">
        <f>RawSalesTable[[#This Row],[Profit]]/RawSalesTable[[#This Row],[Net_Sales]]</f>
        <v>0.34094746250869001</v>
      </c>
      <c r="AE316" s="8">
        <f>IF(RawSalesTable[[#This Row],[Return_Status]]="Yes",1,0)</f>
        <v>0</v>
      </c>
      <c r="AF316" s="8">
        <f>YEAR(RawSalesTable[[#This Row],[Order_Date]])</f>
        <v>2025</v>
      </c>
      <c r="AG316" s="8">
        <f>MONTH(RawSalesTable[[#This Row],[Order_Date]])</f>
        <v>6</v>
      </c>
      <c r="AH316" s="8" t="str">
        <f>TEXT(RawSalesTable[[#This Row],[Order_Date]],"mmmm")</f>
        <v>juin</v>
      </c>
      <c r="AI316" s="8" t="str">
        <f>IF(RawSalesTable[[#This Row],[Month_Number]]&lt;=3,"Q1",IF(RawSalesTable[[#This Row],[Month_Number]]&lt;=6,"Q2",IF(RawSalesTable[[#This Row],[Month_Number]]&lt;=9,"Q3","Q4")))</f>
        <v>Q2</v>
      </c>
      <c r="AJ316" s="13">
        <f>DATE(YEAR(RawSalesTable[[#This Row],[Order_Date]]),MONTH(RawSalesTable[[#This Row],[Order_Date]]),1)</f>
        <v>45809</v>
      </c>
      <c r="AK316" s="8" t="str">
        <f>VLOOKUP(RawSalesTable[[#This Row],[Customer_ID_clean]],CustomersTable[],4,FALSE)</f>
        <v>Ontario</v>
      </c>
    </row>
    <row r="317" spans="1:37">
      <c r="A317" t="s">
        <v>720</v>
      </c>
      <c r="B317" s="3">
        <v>45856</v>
      </c>
      <c r="C317" t="s">
        <v>100</v>
      </c>
      <c r="D317" t="s">
        <v>261</v>
      </c>
      <c r="E317" t="s">
        <v>102</v>
      </c>
      <c r="F317" t="s">
        <v>145</v>
      </c>
      <c r="G317" t="s">
        <v>183</v>
      </c>
      <c r="H317" t="s">
        <v>89</v>
      </c>
      <c r="I317">
        <v>3</v>
      </c>
      <c r="J317" s="2">
        <v>252.56</v>
      </c>
      <c r="K317" s="4">
        <v>0.15</v>
      </c>
      <c r="L317" t="s">
        <v>90</v>
      </c>
      <c r="M317">
        <v>5</v>
      </c>
      <c r="N317" t="s">
        <v>91</v>
      </c>
      <c r="O317" t="str">
        <f>SUBSTITUTE(PROPER(TRIM(RawSalesTable[[#This Row],[Channel_Raw]])), "Market Place", "Marketplace")</f>
        <v>Online</v>
      </c>
      <c r="P317" t="str">
        <f>TRIM(RawSalesTable[[#This Row],[Store_Raw]])</f>
        <v>Calgary North</v>
      </c>
      <c r="Q317" t="str">
        <f>IF(TRIM(RawSalesTable[[#This Row],[Payment_Method_Raw]])="","Non renseigné",SUBSTITUTE(TRIM(RawSalesTable[[#This Row],[Payment_Method_Raw]]),"CC","Credit Card"))</f>
        <v>PayPal</v>
      </c>
      <c r="R317" s="8" t="str">
        <f>UPPER(PROPER(RawSalesTable[[#This Row],[Customer_ID]]))</f>
        <v>C0003</v>
      </c>
      <c r="S317" s="8" t="str">
        <f>TRIM(LEFT(RawSalesTable[[#This Row],[Customer_Info]],FIND(",",RawSalesTable[[#This Row],[Customer_Info]]) -1))</f>
        <v>Amelia Young</v>
      </c>
      <c r="T317" s="8" t="str">
        <f>TRIM(MID(RawSalesTable[[#This Row],[Customer_Info]],FIND(",",RawSalesTable[[#This Row],[Customer_Info]])+1,FIND(",",RawSalesTable[[#This Row],[Customer_Info]],FIND(",",RawSalesTable[[#This Row],[Customer_Info]])+1)-FIND(",",RawSalesTable[[#This Row],[Customer_Info]])-1))</f>
        <v>Ottawa</v>
      </c>
      <c r="U317" s="8" t="str">
        <f>TRIM(RIGHT(RawSalesTable[[#This Row],[Customer_Info]], LEN(RawSalesTable[[#This Row],[Customer_Info]])-FIND(",",RawSalesTable[[#This Row],[Customer_Info]],FIND(",",RawSalesTable[[#This Row],[Customer_Info]])+1)))</f>
        <v>Corporate</v>
      </c>
      <c r="V317" s="8" t="str">
        <f>VLOOKUP(RawSalesTable[[#This Row],[Product_ID]],ProductsTable[],2,FALSE)</f>
        <v>Dumbbell Set</v>
      </c>
      <c r="W317" s="8" t="str">
        <f>VLOOKUP(RawSalesTable[[#This Row],[Product_ID]],ProductsTable[],3,FALSE)</f>
        <v>Fitness</v>
      </c>
      <c r="X317" s="8">
        <f>VLOOKUP(RawSalesTable[[#This Row],[Product_ID]],ProductsTable[],5,FALSE)</f>
        <v>131.72999999999999</v>
      </c>
      <c r="Y317" s="8">
        <f>RawSalesTable[[#This Row],[Quantity]]*RawSalesTable[[#This Row],[Unit_Price]]</f>
        <v>757.68000000000006</v>
      </c>
      <c r="Z317" s="8">
        <f>RawSalesTable[[#This Row],[Gross_Sales]]*RawSalesTable[[#This Row],[Discount_Pct]]</f>
        <v>113.652</v>
      </c>
      <c r="AA317" s="8">
        <f>RawSalesTable[[#This Row],[Gross_Sales]]-RawSalesTable[[#This Row],[Discount_Amount]]</f>
        <v>644.02800000000002</v>
      </c>
      <c r="AB317" s="8">
        <f>RawSalesTable[[#This Row],[Unit_Cost]]*RawSalesTable[[#This Row],[Quantity]]</f>
        <v>395.18999999999994</v>
      </c>
      <c r="AC317" s="8">
        <f>RawSalesTable[[#This Row],[Net_Sales]]-RawSalesTable[[#This Row],[Total_Cost]]</f>
        <v>248.83800000000008</v>
      </c>
      <c r="AD317" s="9">
        <f>RawSalesTable[[#This Row],[Profit]]/RawSalesTable[[#This Row],[Net_Sales]]</f>
        <v>0.38637761091132694</v>
      </c>
      <c r="AE317" s="8">
        <f>IF(RawSalesTable[[#This Row],[Return_Status]]="Yes",1,0)</f>
        <v>0</v>
      </c>
      <c r="AF317" s="8">
        <f>YEAR(RawSalesTable[[#This Row],[Order_Date]])</f>
        <v>2025</v>
      </c>
      <c r="AG317" s="8">
        <f>MONTH(RawSalesTable[[#This Row],[Order_Date]])</f>
        <v>7</v>
      </c>
      <c r="AH317" s="8" t="str">
        <f>TEXT(RawSalesTable[[#This Row],[Order_Date]],"mmmm")</f>
        <v>juillet</v>
      </c>
      <c r="AI317" s="8" t="str">
        <f>IF(RawSalesTable[[#This Row],[Month_Number]]&lt;=3,"Q1",IF(RawSalesTable[[#This Row],[Month_Number]]&lt;=6,"Q2",IF(RawSalesTable[[#This Row],[Month_Number]]&lt;=9,"Q3","Q4")))</f>
        <v>Q3</v>
      </c>
      <c r="AJ317" s="13">
        <f>DATE(YEAR(RawSalesTable[[#This Row],[Order_Date]]),MONTH(RawSalesTable[[#This Row],[Order_Date]]),1)</f>
        <v>45839</v>
      </c>
      <c r="AK317" s="8" t="str">
        <f>VLOOKUP(RawSalesTable[[#This Row],[Customer_ID_clean]],CustomersTable[],4,FALSE)</f>
        <v>Ontario</v>
      </c>
    </row>
    <row r="318" spans="1:37">
      <c r="A318" t="s">
        <v>721</v>
      </c>
      <c r="B318" s="3">
        <v>46007</v>
      </c>
      <c r="C318" t="s">
        <v>124</v>
      </c>
      <c r="D318" t="s">
        <v>114</v>
      </c>
      <c r="E318" t="s">
        <v>126</v>
      </c>
      <c r="F318" t="s">
        <v>145</v>
      </c>
      <c r="G318" t="s">
        <v>130</v>
      </c>
      <c r="H318" t="s">
        <v>105</v>
      </c>
      <c r="I318">
        <v>2</v>
      </c>
      <c r="J318" s="2">
        <v>140.47</v>
      </c>
      <c r="K318" s="4">
        <v>0.15</v>
      </c>
      <c r="L318" t="s">
        <v>106</v>
      </c>
      <c r="M318">
        <v>6</v>
      </c>
      <c r="N318" t="s">
        <v>91</v>
      </c>
      <c r="O318" t="str">
        <f>SUBSTITUTE(PROPER(TRIM(RawSalesTable[[#This Row],[Channel_Raw]])), "Market Place", "Marketplace")</f>
        <v>Marketplace</v>
      </c>
      <c r="P318" t="str">
        <f>TRIM(RawSalesTable[[#This Row],[Store_Raw]])</f>
        <v>Calgary North</v>
      </c>
      <c r="Q318" t="str">
        <f>IF(TRIM(RawSalesTable[[#This Row],[Payment_Method_Raw]])="","Non renseigné",SUBSTITUTE(TRIM(RawSalesTable[[#This Row],[Payment_Method_Raw]]),"CC","Credit Card"))</f>
        <v>Credit Card</v>
      </c>
      <c r="R318" s="8" t="str">
        <f>UPPER(PROPER(RawSalesTable[[#This Row],[Customer_ID]]))</f>
        <v>C0021</v>
      </c>
      <c r="S318" s="8" t="str">
        <f>TRIM(LEFT(RawSalesTable[[#This Row],[Customer_Info]],FIND(",",RawSalesTable[[#This Row],[Customer_Info]]) -1))</f>
        <v>Nora King</v>
      </c>
      <c r="T318" s="8" t="str">
        <f>TRIM(MID(RawSalesTable[[#This Row],[Customer_Info]],FIND(",",RawSalesTable[[#This Row],[Customer_Info]])+1,FIND(",",RawSalesTable[[#This Row],[Customer_Info]],FIND(",",RawSalesTable[[#This Row],[Customer_Info]])+1)-FIND(",",RawSalesTable[[#This Row],[Customer_Info]])-1))</f>
        <v>Halifax</v>
      </c>
      <c r="U318" s="8" t="str">
        <f>TRIM(RIGHT(RawSalesTable[[#This Row],[Customer_Info]], LEN(RawSalesTable[[#This Row],[Customer_Info]])-FIND(",",RawSalesTable[[#This Row],[Customer_Info]],FIND(",",RawSalesTable[[#This Row],[Customer_Info]])+1)))</f>
        <v>Corporate</v>
      </c>
      <c r="V318" s="8" t="str">
        <f>VLOOKUP(RawSalesTable[[#This Row],[Product_ID]],ProductsTable[],2,FALSE)</f>
        <v>Laptop Sleeve</v>
      </c>
      <c r="W318" s="8" t="str">
        <f>VLOOKUP(RawSalesTable[[#This Row],[Product_ID]],ProductsTable[],3,FALSE)</f>
        <v>Accessories</v>
      </c>
      <c r="X318" s="8">
        <f>VLOOKUP(RawSalesTable[[#This Row],[Product_ID]],ProductsTable[],5,FALSE)</f>
        <v>78.95</v>
      </c>
      <c r="Y318" s="8">
        <f>RawSalesTable[[#This Row],[Quantity]]*RawSalesTable[[#This Row],[Unit_Price]]</f>
        <v>280.94</v>
      </c>
      <c r="Z318" s="8">
        <f>RawSalesTable[[#This Row],[Gross_Sales]]*RawSalesTable[[#This Row],[Discount_Pct]]</f>
        <v>42.140999999999998</v>
      </c>
      <c r="AA318" s="8">
        <f>RawSalesTable[[#This Row],[Gross_Sales]]-RawSalesTable[[#This Row],[Discount_Amount]]</f>
        <v>238.79900000000001</v>
      </c>
      <c r="AB318" s="8">
        <f>RawSalesTable[[#This Row],[Unit_Cost]]*RawSalesTable[[#This Row],[Quantity]]</f>
        <v>157.9</v>
      </c>
      <c r="AC318" s="8">
        <f>RawSalesTable[[#This Row],[Net_Sales]]-RawSalesTable[[#This Row],[Total_Cost]]</f>
        <v>80.899000000000001</v>
      </c>
      <c r="AD318" s="9">
        <f>RawSalesTable[[#This Row],[Profit]]/RawSalesTable[[#This Row],[Net_Sales]]</f>
        <v>0.33877445047927335</v>
      </c>
      <c r="AE318" s="8">
        <f>IF(RawSalesTable[[#This Row],[Return_Status]]="Yes",1,0)</f>
        <v>0</v>
      </c>
      <c r="AF318" s="8">
        <f>YEAR(RawSalesTable[[#This Row],[Order_Date]])</f>
        <v>2025</v>
      </c>
      <c r="AG318" s="8">
        <f>MONTH(RawSalesTable[[#This Row],[Order_Date]])</f>
        <v>12</v>
      </c>
      <c r="AH318" s="8" t="str">
        <f>TEXT(RawSalesTable[[#This Row],[Order_Date]],"mmmm")</f>
        <v>décembre</v>
      </c>
      <c r="AI318" s="8" t="str">
        <f>IF(RawSalesTable[[#This Row],[Month_Number]]&lt;=3,"Q1",IF(RawSalesTable[[#This Row],[Month_Number]]&lt;=6,"Q2",IF(RawSalesTable[[#This Row],[Month_Number]]&lt;=9,"Q3","Q4")))</f>
        <v>Q4</v>
      </c>
      <c r="AJ318" s="13">
        <f>DATE(YEAR(RawSalesTable[[#This Row],[Order_Date]]),MONTH(RawSalesTable[[#This Row],[Order_Date]]),1)</f>
        <v>45992</v>
      </c>
      <c r="AK318" s="8" t="str">
        <f>VLOOKUP(RawSalesTable[[#This Row],[Customer_ID_clean]],CustomersTable[],4,FALSE)</f>
        <v>Nova Scotia</v>
      </c>
    </row>
    <row r="319" spans="1:37">
      <c r="A319" t="s">
        <v>722</v>
      </c>
      <c r="B319" s="3">
        <v>45923</v>
      </c>
      <c r="C319" t="s">
        <v>647</v>
      </c>
      <c r="D319" t="s">
        <v>303</v>
      </c>
      <c r="E319" t="s">
        <v>648</v>
      </c>
      <c r="F319" t="s">
        <v>103</v>
      </c>
      <c r="G319" t="s">
        <v>104</v>
      </c>
      <c r="H319" t="s">
        <v>97</v>
      </c>
      <c r="I319">
        <v>1</v>
      </c>
      <c r="J319" s="2">
        <v>168.49</v>
      </c>
      <c r="K319" s="4">
        <v>0.05</v>
      </c>
      <c r="L319" t="s">
        <v>98</v>
      </c>
      <c r="M319">
        <v>3</v>
      </c>
      <c r="N319" t="s">
        <v>91</v>
      </c>
      <c r="O319" t="str">
        <f>SUBSTITUTE(PROPER(TRIM(RawSalesTable[[#This Row],[Channel_Raw]])), "Market Place", "Marketplace")</f>
        <v>Retail Store</v>
      </c>
      <c r="P319" t="str">
        <f>TRIM(RawSalesTable[[#This Row],[Store_Raw]])</f>
        <v>Vancouver West</v>
      </c>
      <c r="Q319" t="str">
        <f>IF(TRIM(RawSalesTable[[#This Row],[Payment_Method_Raw]])="","Non renseigné",SUBSTITUTE(TRIM(RawSalesTable[[#This Row],[Payment_Method_Raw]]),"CC","Credit Card"))</f>
        <v>Debit Card</v>
      </c>
      <c r="R319" s="8" t="str">
        <f>UPPER(PROPER(RawSalesTable[[#This Row],[Customer_ID]]))</f>
        <v>C0050</v>
      </c>
      <c r="S319" s="8" t="str">
        <f>TRIM(LEFT(RawSalesTable[[#This Row],[Customer_Info]],FIND(",",RawSalesTable[[#This Row],[Customer_Info]]) -1))</f>
        <v>Sarah Singh</v>
      </c>
      <c r="T319" s="8" t="str">
        <f>TRIM(MID(RawSalesTable[[#This Row],[Customer_Info]],FIND(",",RawSalesTable[[#This Row],[Customer_Info]])+1,FIND(",",RawSalesTable[[#This Row],[Customer_Info]],FIND(",",RawSalesTable[[#This Row],[Customer_Info]])+1)-FIND(",",RawSalesTable[[#This Row],[Customer_Info]])-1))</f>
        <v>Mississauga</v>
      </c>
      <c r="U319" s="8" t="str">
        <f>TRIM(RIGHT(RawSalesTable[[#This Row],[Customer_Info]], LEN(RawSalesTable[[#This Row],[Customer_Info]])-FIND(",",RawSalesTable[[#This Row],[Customer_Info]],FIND(",",RawSalesTable[[#This Row],[Customer_Info]])+1)))</f>
        <v>Consumer</v>
      </c>
      <c r="V319" s="8" t="str">
        <f>VLOOKUP(RawSalesTable[[#This Row],[Product_ID]],ProductsTable[],2,FALSE)</f>
        <v>Power Bank</v>
      </c>
      <c r="W319" s="8" t="str">
        <f>VLOOKUP(RawSalesTable[[#This Row],[Product_ID]],ProductsTable[],3,FALSE)</f>
        <v>Accessories</v>
      </c>
      <c r="X319" s="8">
        <f>VLOOKUP(RawSalesTable[[#This Row],[Product_ID]],ProductsTable[],5,FALSE)</f>
        <v>76.97</v>
      </c>
      <c r="Y319" s="8">
        <f>RawSalesTable[[#This Row],[Quantity]]*RawSalesTable[[#This Row],[Unit_Price]]</f>
        <v>168.49</v>
      </c>
      <c r="Z319" s="8">
        <f>RawSalesTable[[#This Row],[Gross_Sales]]*RawSalesTable[[#This Row],[Discount_Pct]]</f>
        <v>8.4245000000000001</v>
      </c>
      <c r="AA319" s="8">
        <f>RawSalesTable[[#This Row],[Gross_Sales]]-RawSalesTable[[#This Row],[Discount_Amount]]</f>
        <v>160.06550000000001</v>
      </c>
      <c r="AB319" s="8">
        <f>RawSalesTable[[#This Row],[Unit_Cost]]*RawSalesTable[[#This Row],[Quantity]]</f>
        <v>76.97</v>
      </c>
      <c r="AC319" s="8">
        <f>RawSalesTable[[#This Row],[Net_Sales]]-RawSalesTable[[#This Row],[Total_Cost]]</f>
        <v>83.095500000000015</v>
      </c>
      <c r="AD319" s="9">
        <f>RawSalesTable[[#This Row],[Profit]]/RawSalesTable[[#This Row],[Net_Sales]]</f>
        <v>0.51913435437367828</v>
      </c>
      <c r="AE319" s="8">
        <f>IF(RawSalesTable[[#This Row],[Return_Status]]="Yes",1,0)</f>
        <v>0</v>
      </c>
      <c r="AF319" s="8">
        <f>YEAR(RawSalesTable[[#This Row],[Order_Date]])</f>
        <v>2025</v>
      </c>
      <c r="AG319" s="8">
        <f>MONTH(RawSalesTable[[#This Row],[Order_Date]])</f>
        <v>9</v>
      </c>
      <c r="AH319" s="8" t="str">
        <f>TEXT(RawSalesTable[[#This Row],[Order_Date]],"mmmm")</f>
        <v>septembre</v>
      </c>
      <c r="AI319" s="8" t="str">
        <f>IF(RawSalesTable[[#This Row],[Month_Number]]&lt;=3,"Q1",IF(RawSalesTable[[#This Row],[Month_Number]]&lt;=6,"Q2",IF(RawSalesTable[[#This Row],[Month_Number]]&lt;=9,"Q3","Q4")))</f>
        <v>Q3</v>
      </c>
      <c r="AJ319" s="13">
        <f>DATE(YEAR(RawSalesTable[[#This Row],[Order_Date]]),MONTH(RawSalesTable[[#This Row],[Order_Date]]),1)</f>
        <v>45901</v>
      </c>
      <c r="AK319" s="8" t="str">
        <f>VLOOKUP(RawSalesTable[[#This Row],[Customer_ID_clean]],CustomersTable[],4,FALSE)</f>
        <v>Ontario</v>
      </c>
    </row>
    <row r="320" spans="1:37">
      <c r="A320" t="s">
        <v>723</v>
      </c>
      <c r="B320" s="3">
        <v>45795</v>
      </c>
      <c r="C320" t="s">
        <v>670</v>
      </c>
      <c r="D320" t="s">
        <v>469</v>
      </c>
      <c r="E320" t="s">
        <v>671</v>
      </c>
      <c r="F320" t="s">
        <v>111</v>
      </c>
      <c r="G320" t="s">
        <v>130</v>
      </c>
      <c r="H320" t="s">
        <v>228</v>
      </c>
      <c r="I320">
        <v>2</v>
      </c>
      <c r="J320" s="2">
        <v>82.55</v>
      </c>
      <c r="K320" s="4">
        <v>0.05</v>
      </c>
      <c r="L320" t="s">
        <v>90</v>
      </c>
      <c r="M320">
        <v>7</v>
      </c>
      <c r="N320" t="s">
        <v>91</v>
      </c>
      <c r="O320" t="str">
        <f>SUBSTITUTE(PROPER(TRIM(RawSalesTable[[#This Row],[Channel_Raw]])), "Market Place", "Marketplace")</f>
        <v>Online</v>
      </c>
      <c r="P320" t="str">
        <f>TRIM(RawSalesTable[[#This Row],[Store_Raw]])</f>
        <v>Montreal Central</v>
      </c>
      <c r="Q320" t="str">
        <f>IF(TRIM(RawSalesTable[[#This Row],[Payment_Method_Raw]])="","Non renseigné",SUBSTITUTE(TRIM(RawSalesTable[[#This Row],[Payment_Method_Raw]]),"CC","Credit Card"))</f>
        <v>PayPal</v>
      </c>
      <c r="R320" s="8" t="str">
        <f>UPPER(PROPER(RawSalesTable[[#This Row],[Customer_ID]]))</f>
        <v>C0107</v>
      </c>
      <c r="S320" s="8" t="str">
        <f>TRIM(LEFT(RawSalesTable[[#This Row],[Customer_Info]],FIND(",",RawSalesTable[[#This Row],[Customer_Info]]) -1))</f>
        <v>Ava Lee</v>
      </c>
      <c r="T320" s="8" t="str">
        <f>TRIM(MID(RawSalesTable[[#This Row],[Customer_Info]],FIND(",",RawSalesTable[[#This Row],[Customer_Info]])+1,FIND(",",RawSalesTable[[#This Row],[Customer_Info]],FIND(",",RawSalesTable[[#This Row],[Customer_Info]])+1)-FIND(",",RawSalesTable[[#This Row],[Customer_Info]])-1))</f>
        <v>Calgary</v>
      </c>
      <c r="U320" s="8" t="str">
        <f>TRIM(RIGHT(RawSalesTable[[#This Row],[Customer_Info]], LEN(RawSalesTable[[#This Row],[Customer_Info]])-FIND(",",RawSalesTable[[#This Row],[Customer_Info]],FIND(",",RawSalesTable[[#This Row],[Customer_Info]])+1)))</f>
        <v>Small Business</v>
      </c>
      <c r="V320" s="8" t="str">
        <f>VLOOKUP(RawSalesTable[[#This Row],[Product_ID]],ProductsTable[],2,FALSE)</f>
        <v>Phone Stand</v>
      </c>
      <c r="W320" s="8" t="str">
        <f>VLOOKUP(RawSalesTable[[#This Row],[Product_ID]],ProductsTable[],3,FALSE)</f>
        <v>Accessories</v>
      </c>
      <c r="X320" s="8">
        <f>VLOOKUP(RawSalesTable[[#This Row],[Product_ID]],ProductsTable[],5,FALSE)</f>
        <v>59.85</v>
      </c>
      <c r="Y320" s="8">
        <f>RawSalesTable[[#This Row],[Quantity]]*RawSalesTable[[#This Row],[Unit_Price]]</f>
        <v>165.1</v>
      </c>
      <c r="Z320" s="8">
        <f>RawSalesTable[[#This Row],[Gross_Sales]]*RawSalesTable[[#This Row],[Discount_Pct]]</f>
        <v>8.2550000000000008</v>
      </c>
      <c r="AA320" s="8">
        <f>RawSalesTable[[#This Row],[Gross_Sales]]-RawSalesTable[[#This Row],[Discount_Amount]]</f>
        <v>156.845</v>
      </c>
      <c r="AB320" s="8">
        <f>RawSalesTable[[#This Row],[Unit_Cost]]*RawSalesTable[[#This Row],[Quantity]]</f>
        <v>119.7</v>
      </c>
      <c r="AC320" s="8">
        <f>RawSalesTable[[#This Row],[Net_Sales]]-RawSalesTable[[#This Row],[Total_Cost]]</f>
        <v>37.144999999999996</v>
      </c>
      <c r="AD320" s="9">
        <f>RawSalesTable[[#This Row],[Profit]]/RawSalesTable[[#This Row],[Net_Sales]]</f>
        <v>0.2368261659600242</v>
      </c>
      <c r="AE320" s="8">
        <f>IF(RawSalesTable[[#This Row],[Return_Status]]="Yes",1,0)</f>
        <v>0</v>
      </c>
      <c r="AF320" s="8">
        <f>YEAR(RawSalesTable[[#This Row],[Order_Date]])</f>
        <v>2025</v>
      </c>
      <c r="AG320" s="8">
        <f>MONTH(RawSalesTable[[#This Row],[Order_Date]])</f>
        <v>5</v>
      </c>
      <c r="AH320" s="8" t="str">
        <f>TEXT(RawSalesTable[[#This Row],[Order_Date]],"mmmm")</f>
        <v>mai</v>
      </c>
      <c r="AI320" s="8" t="str">
        <f>IF(RawSalesTable[[#This Row],[Month_Number]]&lt;=3,"Q1",IF(RawSalesTable[[#This Row],[Month_Number]]&lt;=6,"Q2",IF(RawSalesTable[[#This Row],[Month_Number]]&lt;=9,"Q3","Q4")))</f>
        <v>Q2</v>
      </c>
      <c r="AJ320" s="13">
        <f>DATE(YEAR(RawSalesTable[[#This Row],[Order_Date]]),MONTH(RawSalesTable[[#This Row],[Order_Date]]),1)</f>
        <v>45778</v>
      </c>
      <c r="AK320" s="8" t="str">
        <f>VLOOKUP(RawSalesTable[[#This Row],[Customer_ID_clean]],CustomersTable[],4,FALSE)</f>
        <v>Alberta</v>
      </c>
    </row>
    <row r="321" spans="1:37">
      <c r="A321" t="s">
        <v>724</v>
      </c>
      <c r="B321" s="3">
        <v>45855</v>
      </c>
      <c r="C321" t="s">
        <v>695</v>
      </c>
      <c r="D321" t="s">
        <v>194</v>
      </c>
      <c r="E321" t="s">
        <v>696</v>
      </c>
      <c r="F321" t="s">
        <v>111</v>
      </c>
      <c r="G321" t="s">
        <v>130</v>
      </c>
      <c r="H321" t="s">
        <v>97</v>
      </c>
      <c r="I321">
        <v>2</v>
      </c>
      <c r="J321" s="2">
        <v>197.34</v>
      </c>
      <c r="K321" s="4">
        <v>0.1</v>
      </c>
      <c r="L321" t="s">
        <v>253</v>
      </c>
      <c r="M321">
        <v>1</v>
      </c>
      <c r="N321" t="s">
        <v>91</v>
      </c>
      <c r="O321" t="str">
        <f>SUBSTITUTE(PROPER(TRIM(RawSalesTable[[#This Row],[Channel_Raw]])), "Market Place", "Marketplace")</f>
        <v>Retail Store</v>
      </c>
      <c r="P321" t="str">
        <f>TRIM(RawSalesTable[[#This Row],[Store_Raw]])</f>
        <v>Montreal Central</v>
      </c>
      <c r="Q321" t="str">
        <f>IF(TRIM(RawSalesTable[[#This Row],[Payment_Method_Raw]])="","Non renseigné",SUBSTITUTE(TRIM(RawSalesTable[[#This Row],[Payment_Method_Raw]]),"CC","Credit Card"))</f>
        <v>Credit Card</v>
      </c>
      <c r="R321" s="8" t="str">
        <f>UPPER(PROPER(RawSalesTable[[#This Row],[Customer_ID]]))</f>
        <v>C0019</v>
      </c>
      <c r="S321" s="8" t="str">
        <f>TRIM(LEFT(RawSalesTable[[#This Row],[Customer_Info]],FIND(",",RawSalesTable[[#This Row],[Customer_Info]]) -1))</f>
        <v>Lucas Taylor</v>
      </c>
      <c r="T321" s="8" t="str">
        <f>TRIM(MID(RawSalesTable[[#This Row],[Customer_Info]],FIND(",",RawSalesTable[[#This Row],[Customer_Info]])+1,FIND(",",RawSalesTable[[#This Row],[Customer_Info]],FIND(",",RawSalesTable[[#This Row],[Customer_Info]])+1)-FIND(",",RawSalesTable[[#This Row],[Customer_Info]])-1))</f>
        <v>Montreal</v>
      </c>
      <c r="U321" s="8" t="str">
        <f>TRIM(RIGHT(RawSalesTable[[#This Row],[Customer_Info]], LEN(RawSalesTable[[#This Row],[Customer_Info]])-FIND(",",RawSalesTable[[#This Row],[Customer_Info]],FIND(",",RawSalesTable[[#This Row],[Customer_Info]])+1)))</f>
        <v>Small Business</v>
      </c>
      <c r="V321" s="8" t="str">
        <f>VLOOKUP(RawSalesTable[[#This Row],[Product_ID]],ProductsTable[],2,FALSE)</f>
        <v>Jump Rope</v>
      </c>
      <c r="W321" s="8" t="str">
        <f>VLOOKUP(RawSalesTable[[#This Row],[Product_ID]],ProductsTable[],3,FALSE)</f>
        <v>Fitness</v>
      </c>
      <c r="X321" s="8">
        <f>VLOOKUP(RawSalesTable[[#This Row],[Product_ID]],ProductsTable[],5,FALSE)</f>
        <v>101</v>
      </c>
      <c r="Y321" s="8">
        <f>RawSalesTable[[#This Row],[Quantity]]*RawSalesTable[[#This Row],[Unit_Price]]</f>
        <v>394.68</v>
      </c>
      <c r="Z321" s="8">
        <f>RawSalesTable[[#This Row],[Gross_Sales]]*RawSalesTable[[#This Row],[Discount_Pct]]</f>
        <v>39.468000000000004</v>
      </c>
      <c r="AA321" s="8">
        <f>RawSalesTable[[#This Row],[Gross_Sales]]-RawSalesTable[[#This Row],[Discount_Amount]]</f>
        <v>355.21199999999999</v>
      </c>
      <c r="AB321" s="8">
        <f>RawSalesTable[[#This Row],[Unit_Cost]]*RawSalesTable[[#This Row],[Quantity]]</f>
        <v>202</v>
      </c>
      <c r="AC321" s="8">
        <f>RawSalesTable[[#This Row],[Net_Sales]]-RawSalesTable[[#This Row],[Total_Cost]]</f>
        <v>153.21199999999999</v>
      </c>
      <c r="AD321" s="9">
        <f>RawSalesTable[[#This Row],[Profit]]/RawSalesTable[[#This Row],[Net_Sales]]</f>
        <v>0.43132551828204002</v>
      </c>
      <c r="AE321" s="8">
        <f>IF(RawSalesTable[[#This Row],[Return_Status]]="Yes",1,0)</f>
        <v>0</v>
      </c>
      <c r="AF321" s="8">
        <f>YEAR(RawSalesTable[[#This Row],[Order_Date]])</f>
        <v>2025</v>
      </c>
      <c r="AG321" s="8">
        <f>MONTH(RawSalesTable[[#This Row],[Order_Date]])</f>
        <v>7</v>
      </c>
      <c r="AH321" s="8" t="str">
        <f>TEXT(RawSalesTable[[#This Row],[Order_Date]],"mmmm")</f>
        <v>juillet</v>
      </c>
      <c r="AI321" s="8" t="str">
        <f>IF(RawSalesTable[[#This Row],[Month_Number]]&lt;=3,"Q1",IF(RawSalesTable[[#This Row],[Month_Number]]&lt;=6,"Q2",IF(RawSalesTable[[#This Row],[Month_Number]]&lt;=9,"Q3","Q4")))</f>
        <v>Q3</v>
      </c>
      <c r="AJ321" s="13">
        <f>DATE(YEAR(RawSalesTable[[#This Row],[Order_Date]]),MONTH(RawSalesTable[[#This Row],[Order_Date]]),1)</f>
        <v>45839</v>
      </c>
      <c r="AK321" s="8" t="str">
        <f>VLOOKUP(RawSalesTable[[#This Row],[Customer_ID_clean]],CustomersTable[],4,FALSE)</f>
        <v>Quebec</v>
      </c>
    </row>
    <row r="322" spans="1:37">
      <c r="A322" t="s">
        <v>725</v>
      </c>
      <c r="B322" s="3">
        <v>45876</v>
      </c>
      <c r="C322" t="s">
        <v>293</v>
      </c>
      <c r="D322" t="s">
        <v>94</v>
      </c>
      <c r="E322" t="s">
        <v>394</v>
      </c>
      <c r="F322" t="s">
        <v>145</v>
      </c>
      <c r="G322" t="s">
        <v>183</v>
      </c>
      <c r="H322" t="s">
        <v>97</v>
      </c>
      <c r="I322">
        <v>1</v>
      </c>
      <c r="J322" s="2">
        <v>301.12</v>
      </c>
      <c r="K322" s="4">
        <v>0.2</v>
      </c>
      <c r="L322" t="s">
        <v>106</v>
      </c>
      <c r="M322">
        <v>0</v>
      </c>
      <c r="N322" t="s">
        <v>91</v>
      </c>
      <c r="O322" t="str">
        <f>SUBSTITUTE(PROPER(TRIM(RawSalesTable[[#This Row],[Channel_Raw]])), "Market Place", "Marketplace")</f>
        <v>Retail Store</v>
      </c>
      <c r="P322" t="str">
        <f>TRIM(RawSalesTable[[#This Row],[Store_Raw]])</f>
        <v>Calgary North</v>
      </c>
      <c r="Q322" t="str">
        <f>IF(TRIM(RawSalesTable[[#This Row],[Payment_Method_Raw]])="","Non renseigné",SUBSTITUTE(TRIM(RawSalesTable[[#This Row],[Payment_Method_Raw]]),"CC","Credit Card"))</f>
        <v>Credit Card</v>
      </c>
      <c r="R322" s="8" t="str">
        <f>UPPER(PROPER(RawSalesTable[[#This Row],[Customer_ID]]))</f>
        <v>C0007</v>
      </c>
      <c r="S322" s="8" t="str">
        <f>TRIM(LEFT(RawSalesTable[[#This Row],[Customer_Info]],FIND(",",RawSalesTable[[#This Row],[Customer_Info]]) -1))</f>
        <v>Lucas Wilson</v>
      </c>
      <c r="T322" s="8" t="str">
        <f>TRIM(MID(RawSalesTable[[#This Row],[Customer_Info]],FIND(",",RawSalesTable[[#This Row],[Customer_Info]])+1,FIND(",",RawSalesTable[[#This Row],[Customer_Info]],FIND(",",RawSalesTable[[#This Row],[Customer_Info]])+1)-FIND(",",RawSalesTable[[#This Row],[Customer_Info]])-1))</f>
        <v>Ottawa</v>
      </c>
      <c r="U322" s="8" t="str">
        <f>TRIM(RIGHT(RawSalesTable[[#This Row],[Customer_Info]], LEN(RawSalesTable[[#This Row],[Customer_Info]])-FIND(",",RawSalesTable[[#This Row],[Customer_Info]],FIND(",",RawSalesTable[[#This Row],[Customer_Info]])+1)))</f>
        <v>Consumer</v>
      </c>
      <c r="V322" s="8" t="str">
        <f>VLOOKUP(RawSalesTable[[#This Row],[Product_ID]],ProductsTable[],2,FALSE)</f>
        <v>Backpack</v>
      </c>
      <c r="W322" s="8" t="str">
        <f>VLOOKUP(RawSalesTable[[#This Row],[Product_ID]],ProductsTable[],3,FALSE)</f>
        <v>Accessories</v>
      </c>
      <c r="X322" s="8">
        <f>VLOOKUP(RawSalesTable[[#This Row],[Product_ID]],ProductsTable[],5,FALSE)</f>
        <v>152.55000000000001</v>
      </c>
      <c r="Y322" s="8">
        <f>RawSalesTable[[#This Row],[Quantity]]*RawSalesTable[[#This Row],[Unit_Price]]</f>
        <v>301.12</v>
      </c>
      <c r="Z322" s="8">
        <f>RawSalesTable[[#This Row],[Gross_Sales]]*RawSalesTable[[#This Row],[Discount_Pct]]</f>
        <v>60.224000000000004</v>
      </c>
      <c r="AA322" s="8">
        <f>RawSalesTable[[#This Row],[Gross_Sales]]-RawSalesTable[[#This Row],[Discount_Amount]]</f>
        <v>240.89600000000002</v>
      </c>
      <c r="AB322" s="8">
        <f>RawSalesTable[[#This Row],[Unit_Cost]]*RawSalesTable[[#This Row],[Quantity]]</f>
        <v>152.55000000000001</v>
      </c>
      <c r="AC322" s="8">
        <f>RawSalesTable[[#This Row],[Net_Sales]]-RawSalesTable[[#This Row],[Total_Cost]]</f>
        <v>88.346000000000004</v>
      </c>
      <c r="AD322" s="9">
        <f>RawSalesTable[[#This Row],[Profit]]/RawSalesTable[[#This Row],[Net_Sales]]</f>
        <v>0.36673917375132836</v>
      </c>
      <c r="AE322" s="8">
        <f>IF(RawSalesTable[[#This Row],[Return_Status]]="Yes",1,0)</f>
        <v>0</v>
      </c>
      <c r="AF322" s="8">
        <f>YEAR(RawSalesTable[[#This Row],[Order_Date]])</f>
        <v>2025</v>
      </c>
      <c r="AG322" s="8">
        <f>MONTH(RawSalesTable[[#This Row],[Order_Date]])</f>
        <v>8</v>
      </c>
      <c r="AH322" s="8" t="str">
        <f>TEXT(RawSalesTable[[#This Row],[Order_Date]],"mmmm")</f>
        <v>août</v>
      </c>
      <c r="AI322" s="8" t="str">
        <f>IF(RawSalesTable[[#This Row],[Month_Number]]&lt;=3,"Q1",IF(RawSalesTable[[#This Row],[Month_Number]]&lt;=6,"Q2",IF(RawSalesTable[[#This Row],[Month_Number]]&lt;=9,"Q3","Q4")))</f>
        <v>Q3</v>
      </c>
      <c r="AJ322" s="13">
        <f>DATE(YEAR(RawSalesTable[[#This Row],[Order_Date]]),MONTH(RawSalesTable[[#This Row],[Order_Date]]),1)</f>
        <v>45870</v>
      </c>
      <c r="AK322" s="8" t="str">
        <f>VLOOKUP(RawSalesTable[[#This Row],[Customer_ID_clean]],CustomersTable[],4,FALSE)</f>
        <v>Ontario</v>
      </c>
    </row>
    <row r="323" spans="1:37">
      <c r="A323" t="s">
        <v>726</v>
      </c>
      <c r="B323" s="3">
        <v>45761</v>
      </c>
      <c r="C323" t="s">
        <v>695</v>
      </c>
      <c r="D323" t="s">
        <v>503</v>
      </c>
      <c r="E323" t="s">
        <v>696</v>
      </c>
      <c r="F323" t="s">
        <v>145</v>
      </c>
      <c r="G323" t="s">
        <v>104</v>
      </c>
      <c r="H323" t="s">
        <v>89</v>
      </c>
      <c r="I323">
        <v>1</v>
      </c>
      <c r="J323" s="2">
        <v>127.63</v>
      </c>
      <c r="K323" s="4">
        <v>0.05</v>
      </c>
      <c r="L323" t="s">
        <v>98</v>
      </c>
      <c r="M323">
        <v>4</v>
      </c>
      <c r="N323" t="s">
        <v>91</v>
      </c>
      <c r="O323" t="str">
        <f>SUBSTITUTE(PROPER(TRIM(RawSalesTable[[#This Row],[Channel_Raw]])), "Market Place", "Marketplace")</f>
        <v>Online</v>
      </c>
      <c r="P323" t="str">
        <f>TRIM(RawSalesTable[[#This Row],[Store_Raw]])</f>
        <v>Calgary North</v>
      </c>
      <c r="Q323" t="str">
        <f>IF(TRIM(RawSalesTable[[#This Row],[Payment_Method_Raw]])="","Non renseigné",SUBSTITUTE(TRIM(RawSalesTable[[#This Row],[Payment_Method_Raw]]),"CC","Credit Card"))</f>
        <v>Debit Card</v>
      </c>
      <c r="R323" s="8" t="str">
        <f>UPPER(PROPER(RawSalesTable[[#This Row],[Customer_ID]]))</f>
        <v>C0019</v>
      </c>
      <c r="S323" s="8" t="str">
        <f>TRIM(LEFT(RawSalesTable[[#This Row],[Customer_Info]],FIND(",",RawSalesTable[[#This Row],[Customer_Info]]) -1))</f>
        <v>Lucas Taylor</v>
      </c>
      <c r="T323" s="8" t="str">
        <f>TRIM(MID(RawSalesTable[[#This Row],[Customer_Info]],FIND(",",RawSalesTable[[#This Row],[Customer_Info]])+1,FIND(",",RawSalesTable[[#This Row],[Customer_Info]],FIND(",",RawSalesTable[[#This Row],[Customer_Info]])+1)-FIND(",",RawSalesTable[[#This Row],[Customer_Info]])-1))</f>
        <v>Montreal</v>
      </c>
      <c r="U323" s="8" t="str">
        <f>TRIM(RIGHT(RawSalesTable[[#This Row],[Customer_Info]], LEN(RawSalesTable[[#This Row],[Customer_Info]])-FIND(",",RawSalesTable[[#This Row],[Customer_Info]],FIND(",",RawSalesTable[[#This Row],[Customer_Info]])+1)))</f>
        <v>Small Business</v>
      </c>
      <c r="V323" s="8" t="str">
        <f>VLOOKUP(RawSalesTable[[#This Row],[Product_ID]],ProductsTable[],2,FALSE)</f>
        <v>Whiteboard</v>
      </c>
      <c r="W323" s="8" t="str">
        <f>VLOOKUP(RawSalesTable[[#This Row],[Product_ID]],ProductsTable[],3,FALSE)</f>
        <v>Office</v>
      </c>
      <c r="X323" s="8">
        <f>VLOOKUP(RawSalesTable[[#This Row],[Product_ID]],ProductsTable[],5,FALSE)</f>
        <v>85.73</v>
      </c>
      <c r="Y323" s="8">
        <f>RawSalesTable[[#This Row],[Quantity]]*RawSalesTable[[#This Row],[Unit_Price]]</f>
        <v>127.63</v>
      </c>
      <c r="Z323" s="8">
        <f>RawSalesTable[[#This Row],[Gross_Sales]]*RawSalesTable[[#This Row],[Discount_Pct]]</f>
        <v>6.3815</v>
      </c>
      <c r="AA323" s="8">
        <f>RawSalesTable[[#This Row],[Gross_Sales]]-RawSalesTable[[#This Row],[Discount_Amount]]</f>
        <v>121.24849999999999</v>
      </c>
      <c r="AB323" s="8">
        <f>RawSalesTable[[#This Row],[Unit_Cost]]*RawSalesTable[[#This Row],[Quantity]]</f>
        <v>85.73</v>
      </c>
      <c r="AC323" s="8">
        <f>RawSalesTable[[#This Row],[Net_Sales]]-RawSalesTable[[#This Row],[Total_Cost]]</f>
        <v>35.518499999999989</v>
      </c>
      <c r="AD323" s="9">
        <f>RawSalesTable[[#This Row],[Profit]]/RawSalesTable[[#This Row],[Net_Sales]]</f>
        <v>0.29293970647059542</v>
      </c>
      <c r="AE323" s="8">
        <f>IF(RawSalesTable[[#This Row],[Return_Status]]="Yes",1,0)</f>
        <v>0</v>
      </c>
      <c r="AF323" s="8">
        <f>YEAR(RawSalesTable[[#This Row],[Order_Date]])</f>
        <v>2025</v>
      </c>
      <c r="AG323" s="8">
        <f>MONTH(RawSalesTable[[#This Row],[Order_Date]])</f>
        <v>4</v>
      </c>
      <c r="AH323" s="8" t="str">
        <f>TEXT(RawSalesTable[[#This Row],[Order_Date]],"mmmm")</f>
        <v>avril</v>
      </c>
      <c r="AI323" s="8" t="str">
        <f>IF(RawSalesTable[[#This Row],[Month_Number]]&lt;=3,"Q1",IF(RawSalesTable[[#This Row],[Month_Number]]&lt;=6,"Q2",IF(RawSalesTable[[#This Row],[Month_Number]]&lt;=9,"Q3","Q4")))</f>
        <v>Q2</v>
      </c>
      <c r="AJ323" s="13">
        <f>DATE(YEAR(RawSalesTable[[#This Row],[Order_Date]]),MONTH(RawSalesTable[[#This Row],[Order_Date]]),1)</f>
        <v>45748</v>
      </c>
      <c r="AK323" s="8" t="str">
        <f>VLOOKUP(RawSalesTable[[#This Row],[Customer_ID_clean]],CustomersTable[],4,FALSE)</f>
        <v>Quebec</v>
      </c>
    </row>
    <row r="324" spans="1:37">
      <c r="A324" t="s">
        <v>727</v>
      </c>
      <c r="B324" s="3">
        <v>45762</v>
      </c>
      <c r="C324" t="s">
        <v>213</v>
      </c>
      <c r="D324" t="s">
        <v>133</v>
      </c>
      <c r="E324" t="s">
        <v>214</v>
      </c>
      <c r="F324" t="s">
        <v>103</v>
      </c>
      <c r="G324" t="s">
        <v>117</v>
      </c>
      <c r="H324" t="s">
        <v>97</v>
      </c>
      <c r="I324">
        <v>1</v>
      </c>
      <c r="J324" s="2">
        <v>337.2</v>
      </c>
      <c r="K324" s="4">
        <v>0.05</v>
      </c>
      <c r="L324" t="s">
        <v>106</v>
      </c>
      <c r="M324">
        <v>1</v>
      </c>
      <c r="N324" t="s">
        <v>91</v>
      </c>
      <c r="O324" t="str">
        <f>SUBSTITUTE(PROPER(TRIM(RawSalesTable[[#This Row],[Channel_Raw]])), "Market Place", "Marketplace")</f>
        <v>Retail Store</v>
      </c>
      <c r="P324" t="str">
        <f>TRIM(RawSalesTable[[#This Row],[Store_Raw]])</f>
        <v>Vancouver West</v>
      </c>
      <c r="Q324" t="str">
        <f>IF(TRIM(RawSalesTable[[#This Row],[Payment_Method_Raw]])="","Non renseigné",SUBSTITUTE(TRIM(RawSalesTable[[#This Row],[Payment_Method_Raw]]),"CC","Credit Card"))</f>
        <v>Credit Card</v>
      </c>
      <c r="R324" s="8" t="str">
        <f>UPPER(PROPER(RawSalesTable[[#This Row],[Customer_ID]]))</f>
        <v>C0001</v>
      </c>
      <c r="S324" s="8" t="str">
        <f>TRIM(LEFT(RawSalesTable[[#This Row],[Customer_Info]],FIND(",",RawSalesTable[[#This Row],[Customer_Info]]) -1))</f>
        <v>Ethan Roy</v>
      </c>
      <c r="T324" s="8" t="str">
        <f>TRIM(MID(RawSalesTable[[#This Row],[Customer_Info]],FIND(",",RawSalesTable[[#This Row],[Customer_Info]])+1,FIND(",",RawSalesTable[[#This Row],[Customer_Info]],FIND(",",RawSalesTable[[#This Row],[Customer_Info]])+1)-FIND(",",RawSalesTable[[#This Row],[Customer_Info]])-1))</f>
        <v>Halifax</v>
      </c>
      <c r="U324" s="8" t="str">
        <f>TRIM(RIGHT(RawSalesTable[[#This Row],[Customer_Info]], LEN(RawSalesTable[[#This Row],[Customer_Info]])-FIND(",",RawSalesTable[[#This Row],[Customer_Info]],FIND(",",RawSalesTable[[#This Row],[Customer_Info]])+1)))</f>
        <v>Consumer</v>
      </c>
      <c r="V324" s="8" t="str">
        <f>VLOOKUP(RawSalesTable[[#This Row],[Product_ID]],ProductsTable[],2,FALSE)</f>
        <v>Travel Adapter</v>
      </c>
      <c r="W324" s="8" t="str">
        <f>VLOOKUP(RawSalesTable[[#This Row],[Product_ID]],ProductsTable[],3,FALSE)</f>
        <v>Accessories</v>
      </c>
      <c r="X324" s="8">
        <f>VLOOKUP(RawSalesTable[[#This Row],[Product_ID]],ProductsTable[],5,FALSE)</f>
        <v>229.86</v>
      </c>
      <c r="Y324" s="8">
        <f>RawSalesTable[[#This Row],[Quantity]]*RawSalesTable[[#This Row],[Unit_Price]]</f>
        <v>337.2</v>
      </c>
      <c r="Z324" s="8">
        <f>RawSalesTable[[#This Row],[Gross_Sales]]*RawSalesTable[[#This Row],[Discount_Pct]]</f>
        <v>16.86</v>
      </c>
      <c r="AA324" s="8">
        <f>RawSalesTable[[#This Row],[Gross_Sales]]-RawSalesTable[[#This Row],[Discount_Amount]]</f>
        <v>320.33999999999997</v>
      </c>
      <c r="AB324" s="8">
        <f>RawSalesTable[[#This Row],[Unit_Cost]]*RawSalesTable[[#This Row],[Quantity]]</f>
        <v>229.86</v>
      </c>
      <c r="AC324" s="8">
        <f>RawSalesTable[[#This Row],[Net_Sales]]-RawSalesTable[[#This Row],[Total_Cost]]</f>
        <v>90.479999999999961</v>
      </c>
      <c r="AD324" s="9">
        <f>RawSalesTable[[#This Row],[Profit]]/RawSalesTable[[#This Row],[Net_Sales]]</f>
        <v>0.28244989698445394</v>
      </c>
      <c r="AE324" s="8">
        <f>IF(RawSalesTable[[#This Row],[Return_Status]]="Yes",1,0)</f>
        <v>0</v>
      </c>
      <c r="AF324" s="8">
        <f>YEAR(RawSalesTable[[#This Row],[Order_Date]])</f>
        <v>2025</v>
      </c>
      <c r="AG324" s="8">
        <f>MONTH(RawSalesTable[[#This Row],[Order_Date]])</f>
        <v>4</v>
      </c>
      <c r="AH324" s="8" t="str">
        <f>TEXT(RawSalesTable[[#This Row],[Order_Date]],"mmmm")</f>
        <v>avril</v>
      </c>
      <c r="AI324" s="8" t="str">
        <f>IF(RawSalesTable[[#This Row],[Month_Number]]&lt;=3,"Q1",IF(RawSalesTable[[#This Row],[Month_Number]]&lt;=6,"Q2",IF(RawSalesTable[[#This Row],[Month_Number]]&lt;=9,"Q3","Q4")))</f>
        <v>Q2</v>
      </c>
      <c r="AJ324" s="13">
        <f>DATE(YEAR(RawSalesTable[[#This Row],[Order_Date]]),MONTH(RawSalesTable[[#This Row],[Order_Date]]),1)</f>
        <v>45748</v>
      </c>
      <c r="AK324" s="8" t="str">
        <f>VLOOKUP(RawSalesTable[[#This Row],[Customer_ID_clean]],CustomersTable[],4,FALSE)</f>
        <v>Nova Scotia</v>
      </c>
    </row>
    <row r="325" spans="1:37">
      <c r="A325" t="s">
        <v>728</v>
      </c>
      <c r="B325" s="3">
        <v>45823</v>
      </c>
      <c r="C325" t="s">
        <v>200</v>
      </c>
      <c r="D325" t="s">
        <v>133</v>
      </c>
      <c r="E325" t="s">
        <v>201</v>
      </c>
      <c r="F325" t="s">
        <v>87</v>
      </c>
      <c r="G325" t="s">
        <v>130</v>
      </c>
      <c r="H325" t="s">
        <v>89</v>
      </c>
      <c r="I325">
        <v>1</v>
      </c>
      <c r="J325" s="2">
        <v>334.17</v>
      </c>
      <c r="K325" s="4">
        <v>0.05</v>
      </c>
      <c r="L325" t="s">
        <v>521</v>
      </c>
      <c r="M325">
        <v>7</v>
      </c>
      <c r="N325" t="s">
        <v>91</v>
      </c>
      <c r="O325" t="str">
        <f>SUBSTITUTE(PROPER(TRIM(RawSalesTable[[#This Row],[Channel_Raw]])), "Market Place", "Marketplace")</f>
        <v>Online</v>
      </c>
      <c r="P325" t="str">
        <f>TRIM(RawSalesTable[[#This Row],[Store_Raw]])</f>
        <v>Online Fulfillment</v>
      </c>
      <c r="Q325" t="str">
        <f>IF(TRIM(RawSalesTable[[#This Row],[Payment_Method_Raw]])="","Non renseigné",SUBSTITUTE(TRIM(RawSalesTable[[#This Row],[Payment_Method_Raw]]),"CC","Credit Card"))</f>
        <v>debit card</v>
      </c>
      <c r="R325" s="8" t="str">
        <f>UPPER(PROPER(RawSalesTable[[#This Row],[Customer_ID]]))</f>
        <v>C0118</v>
      </c>
      <c r="S325" s="8" t="str">
        <f>TRIM(LEFT(RawSalesTable[[#This Row],[Customer_Info]],FIND(",",RawSalesTable[[#This Row],[Customer_Info]]) -1))</f>
        <v>Ryan Smith</v>
      </c>
      <c r="T325" s="8" t="str">
        <f>TRIM(MID(RawSalesTable[[#This Row],[Customer_Info]],FIND(",",RawSalesTable[[#This Row],[Customer_Info]])+1,FIND(",",RawSalesTable[[#This Row],[Customer_Info]],FIND(",",RawSalesTable[[#This Row],[Customer_Info]])+1)-FIND(",",RawSalesTable[[#This Row],[Customer_Info]])-1))</f>
        <v>Victoria</v>
      </c>
      <c r="U325" s="8" t="str">
        <f>TRIM(RIGHT(RawSalesTable[[#This Row],[Customer_Info]], LEN(RawSalesTable[[#This Row],[Customer_Info]])-FIND(",",RawSalesTable[[#This Row],[Customer_Info]],FIND(",",RawSalesTable[[#This Row],[Customer_Info]])+1)))</f>
        <v>Small Business</v>
      </c>
      <c r="V325" s="8" t="str">
        <f>VLOOKUP(RawSalesTable[[#This Row],[Product_ID]],ProductsTable[],2,FALSE)</f>
        <v>Travel Adapter</v>
      </c>
      <c r="W325" s="8" t="str">
        <f>VLOOKUP(RawSalesTable[[#This Row],[Product_ID]],ProductsTable[],3,FALSE)</f>
        <v>Accessories</v>
      </c>
      <c r="X325" s="8">
        <f>VLOOKUP(RawSalesTable[[#This Row],[Product_ID]],ProductsTable[],5,FALSE)</f>
        <v>229.86</v>
      </c>
      <c r="Y325" s="8">
        <f>RawSalesTable[[#This Row],[Quantity]]*RawSalesTable[[#This Row],[Unit_Price]]</f>
        <v>334.17</v>
      </c>
      <c r="Z325" s="8">
        <f>RawSalesTable[[#This Row],[Gross_Sales]]*RawSalesTable[[#This Row],[Discount_Pct]]</f>
        <v>16.708500000000001</v>
      </c>
      <c r="AA325" s="8">
        <f>RawSalesTable[[#This Row],[Gross_Sales]]-RawSalesTable[[#This Row],[Discount_Amount]]</f>
        <v>317.4615</v>
      </c>
      <c r="AB325" s="8">
        <f>RawSalesTable[[#This Row],[Unit_Cost]]*RawSalesTable[[#This Row],[Quantity]]</f>
        <v>229.86</v>
      </c>
      <c r="AC325" s="8">
        <f>RawSalesTable[[#This Row],[Net_Sales]]-RawSalesTable[[#This Row],[Total_Cost]]</f>
        <v>87.601499999999987</v>
      </c>
      <c r="AD325" s="9">
        <f>RawSalesTable[[#This Row],[Profit]]/RawSalesTable[[#This Row],[Net_Sales]]</f>
        <v>0.27594369710972821</v>
      </c>
      <c r="AE325" s="8">
        <f>IF(RawSalesTable[[#This Row],[Return_Status]]="Yes",1,0)</f>
        <v>0</v>
      </c>
      <c r="AF325" s="8">
        <f>YEAR(RawSalesTable[[#This Row],[Order_Date]])</f>
        <v>2025</v>
      </c>
      <c r="AG325" s="8">
        <f>MONTH(RawSalesTable[[#This Row],[Order_Date]])</f>
        <v>6</v>
      </c>
      <c r="AH325" s="8" t="str">
        <f>TEXT(RawSalesTable[[#This Row],[Order_Date]],"mmmm")</f>
        <v>juin</v>
      </c>
      <c r="AI325" s="8" t="str">
        <f>IF(RawSalesTable[[#This Row],[Month_Number]]&lt;=3,"Q1",IF(RawSalesTable[[#This Row],[Month_Number]]&lt;=6,"Q2",IF(RawSalesTable[[#This Row],[Month_Number]]&lt;=9,"Q3","Q4")))</f>
        <v>Q2</v>
      </c>
      <c r="AJ325" s="13">
        <f>DATE(YEAR(RawSalesTable[[#This Row],[Order_Date]]),MONTH(RawSalesTable[[#This Row],[Order_Date]]),1)</f>
        <v>45809</v>
      </c>
      <c r="AK325" s="8" t="str">
        <f>VLOOKUP(RawSalesTable[[#This Row],[Customer_ID_clean]],CustomersTable[],4,FALSE)</f>
        <v>British Columbia</v>
      </c>
    </row>
    <row r="326" spans="1:37">
      <c r="A326" t="s">
        <v>729</v>
      </c>
      <c r="B326" s="3">
        <v>45795</v>
      </c>
      <c r="C326" t="s">
        <v>313</v>
      </c>
      <c r="D326" t="s">
        <v>120</v>
      </c>
      <c r="E326" t="s">
        <v>314</v>
      </c>
      <c r="F326" t="s">
        <v>87</v>
      </c>
      <c r="G326" t="s">
        <v>104</v>
      </c>
      <c r="H326" t="s">
        <v>308</v>
      </c>
      <c r="I326">
        <v>1</v>
      </c>
      <c r="J326" s="2">
        <v>390.94</v>
      </c>
      <c r="K326" s="4">
        <v>0.2</v>
      </c>
      <c r="L326" t="s">
        <v>253</v>
      </c>
      <c r="M326">
        <v>4</v>
      </c>
      <c r="N326" t="s">
        <v>91</v>
      </c>
      <c r="O326" t="str">
        <f>SUBSTITUTE(PROPER(TRIM(RawSalesTable[[#This Row],[Channel_Raw]])), "Market Place", "Marketplace")</f>
        <v>Online</v>
      </c>
      <c r="P326" t="str">
        <f>TRIM(RawSalesTable[[#This Row],[Store_Raw]])</f>
        <v>Online Fulfillment</v>
      </c>
      <c r="Q326" t="str">
        <f>IF(TRIM(RawSalesTable[[#This Row],[Payment_Method_Raw]])="","Non renseigné",SUBSTITUTE(TRIM(RawSalesTable[[#This Row],[Payment_Method_Raw]]),"CC","Credit Card"))</f>
        <v>Credit Card</v>
      </c>
      <c r="R326" s="8" t="str">
        <f>UPPER(PROPER(RawSalesTable[[#This Row],[Customer_ID]]))</f>
        <v>C0080</v>
      </c>
      <c r="S326" s="8" t="str">
        <f>TRIM(LEFT(RawSalesTable[[#This Row],[Customer_Info]],FIND(",",RawSalesTable[[#This Row],[Customer_Info]]) -1))</f>
        <v>Sarah Smith</v>
      </c>
      <c r="T326" s="8" t="str">
        <f>TRIM(MID(RawSalesTable[[#This Row],[Customer_Info]],FIND(",",RawSalesTable[[#This Row],[Customer_Info]])+1,FIND(",",RawSalesTable[[#This Row],[Customer_Info]],FIND(",",RawSalesTable[[#This Row],[Customer_Info]])+1)-FIND(",",RawSalesTable[[#This Row],[Customer_Info]])-1))</f>
        <v>Mississauga</v>
      </c>
      <c r="U326" s="8" t="str">
        <f>TRIM(RIGHT(RawSalesTable[[#This Row],[Customer_Info]], LEN(RawSalesTable[[#This Row],[Customer_Info]])-FIND(",",RawSalesTable[[#This Row],[Customer_Info]],FIND(",",RawSalesTable[[#This Row],[Customer_Info]])+1)))</f>
        <v>Corporate</v>
      </c>
      <c r="V326" s="8" t="str">
        <f>VLOOKUP(RawSalesTable[[#This Row],[Product_ID]],ProductsTable[],2,FALSE)</f>
        <v>Desk Organizer</v>
      </c>
      <c r="W326" s="8" t="str">
        <f>VLOOKUP(RawSalesTable[[#This Row],[Product_ID]],ProductsTable[],3,FALSE)</f>
        <v>Office</v>
      </c>
      <c r="X326" s="8">
        <f>VLOOKUP(RawSalesTable[[#This Row],[Product_ID]],ProductsTable[],5,FALSE)</f>
        <v>235.76</v>
      </c>
      <c r="Y326" s="8">
        <f>RawSalesTable[[#This Row],[Quantity]]*RawSalesTable[[#This Row],[Unit_Price]]</f>
        <v>390.94</v>
      </c>
      <c r="Z326" s="8">
        <f>RawSalesTable[[#This Row],[Gross_Sales]]*RawSalesTable[[#This Row],[Discount_Pct]]</f>
        <v>78.188000000000002</v>
      </c>
      <c r="AA326" s="8">
        <f>RawSalesTable[[#This Row],[Gross_Sales]]-RawSalesTable[[#This Row],[Discount_Amount]]</f>
        <v>312.75200000000001</v>
      </c>
      <c r="AB326" s="8">
        <f>RawSalesTable[[#This Row],[Unit_Cost]]*RawSalesTable[[#This Row],[Quantity]]</f>
        <v>235.76</v>
      </c>
      <c r="AC326" s="8">
        <f>RawSalesTable[[#This Row],[Net_Sales]]-RawSalesTable[[#This Row],[Total_Cost]]</f>
        <v>76.992000000000019</v>
      </c>
      <c r="AD326" s="9">
        <f>RawSalesTable[[#This Row],[Profit]]/RawSalesTable[[#This Row],[Net_Sales]]</f>
        <v>0.24617588376733007</v>
      </c>
      <c r="AE326" s="8">
        <f>IF(RawSalesTable[[#This Row],[Return_Status]]="Yes",1,0)</f>
        <v>0</v>
      </c>
      <c r="AF326" s="8">
        <f>YEAR(RawSalesTable[[#This Row],[Order_Date]])</f>
        <v>2025</v>
      </c>
      <c r="AG326" s="8">
        <f>MONTH(RawSalesTable[[#This Row],[Order_Date]])</f>
        <v>5</v>
      </c>
      <c r="AH326" s="8" t="str">
        <f>TEXT(RawSalesTable[[#This Row],[Order_Date]],"mmmm")</f>
        <v>mai</v>
      </c>
      <c r="AI326" s="8" t="str">
        <f>IF(RawSalesTable[[#This Row],[Month_Number]]&lt;=3,"Q1",IF(RawSalesTable[[#This Row],[Month_Number]]&lt;=6,"Q2",IF(RawSalesTable[[#This Row],[Month_Number]]&lt;=9,"Q3","Q4")))</f>
        <v>Q2</v>
      </c>
      <c r="AJ326" s="13">
        <f>DATE(YEAR(RawSalesTable[[#This Row],[Order_Date]]),MONTH(RawSalesTable[[#This Row],[Order_Date]]),1)</f>
        <v>45778</v>
      </c>
      <c r="AK326" s="8" t="str">
        <f>VLOOKUP(RawSalesTable[[#This Row],[Customer_ID_clean]],CustomersTable[],4,FALSE)</f>
        <v>Ontario</v>
      </c>
    </row>
    <row r="327" spans="1:37">
      <c r="A327" t="s">
        <v>730</v>
      </c>
      <c r="B327" s="3">
        <v>45709</v>
      </c>
      <c r="C327" t="s">
        <v>610</v>
      </c>
      <c r="D327" t="s">
        <v>133</v>
      </c>
      <c r="E327" t="s">
        <v>611</v>
      </c>
      <c r="F327" t="s">
        <v>145</v>
      </c>
      <c r="G327" t="s">
        <v>88</v>
      </c>
      <c r="H327" t="s">
        <v>105</v>
      </c>
      <c r="I327">
        <v>4</v>
      </c>
      <c r="J327" s="2">
        <v>339.87</v>
      </c>
      <c r="K327" s="4">
        <v>0</v>
      </c>
      <c r="L327" t="s">
        <v>98</v>
      </c>
      <c r="M327">
        <v>8</v>
      </c>
      <c r="N327" t="s">
        <v>91</v>
      </c>
      <c r="O327" t="str">
        <f>SUBSTITUTE(PROPER(TRIM(RawSalesTable[[#This Row],[Channel_Raw]])), "Market Place", "Marketplace")</f>
        <v>Marketplace</v>
      </c>
      <c r="P327" t="str">
        <f>TRIM(RawSalesTable[[#This Row],[Store_Raw]])</f>
        <v>Calgary North</v>
      </c>
      <c r="Q327" t="str">
        <f>IF(TRIM(RawSalesTable[[#This Row],[Payment_Method_Raw]])="","Non renseigné",SUBSTITUTE(TRIM(RawSalesTable[[#This Row],[Payment_Method_Raw]]),"CC","Credit Card"))</f>
        <v>Debit Card</v>
      </c>
      <c r="R327" s="8" t="str">
        <f>UPPER(PROPER(RawSalesTable[[#This Row],[Customer_ID]]))</f>
        <v>C0051</v>
      </c>
      <c r="S327" s="8" t="str">
        <f>TRIM(LEFT(RawSalesTable[[#This Row],[Customer_Info]],FIND(",",RawSalesTable[[#This Row],[Customer_Info]]) -1))</f>
        <v>Daniel Brown</v>
      </c>
      <c r="T327" s="8" t="str">
        <f>TRIM(MID(RawSalesTable[[#This Row],[Customer_Info]],FIND(",",RawSalesTable[[#This Row],[Customer_Info]])+1,FIND(",",RawSalesTable[[#This Row],[Customer_Info]],FIND(",",RawSalesTable[[#This Row],[Customer_Info]])+1)-FIND(",",RawSalesTable[[#This Row],[Customer_Info]])-1))</f>
        <v>Vancouver</v>
      </c>
      <c r="U327" s="8" t="str">
        <f>TRIM(RIGHT(RawSalesTable[[#This Row],[Customer_Info]], LEN(RawSalesTable[[#This Row],[Customer_Info]])-FIND(",",RawSalesTable[[#This Row],[Customer_Info]],FIND(",",RawSalesTable[[#This Row],[Customer_Info]])+1)))</f>
        <v>Small Business</v>
      </c>
      <c r="V327" s="8" t="str">
        <f>VLOOKUP(RawSalesTable[[#This Row],[Product_ID]],ProductsTable[],2,FALSE)</f>
        <v>Travel Adapter</v>
      </c>
      <c r="W327" s="8" t="str">
        <f>VLOOKUP(RawSalesTable[[#This Row],[Product_ID]],ProductsTable[],3,FALSE)</f>
        <v>Accessories</v>
      </c>
      <c r="X327" s="8">
        <f>VLOOKUP(RawSalesTable[[#This Row],[Product_ID]],ProductsTable[],5,FALSE)</f>
        <v>229.86</v>
      </c>
      <c r="Y327" s="8">
        <f>RawSalesTable[[#This Row],[Quantity]]*RawSalesTable[[#This Row],[Unit_Price]]</f>
        <v>1359.48</v>
      </c>
      <c r="Z327" s="8">
        <f>RawSalesTable[[#This Row],[Gross_Sales]]*RawSalesTable[[#This Row],[Discount_Pct]]</f>
        <v>0</v>
      </c>
      <c r="AA327" s="8">
        <f>RawSalesTable[[#This Row],[Gross_Sales]]-RawSalesTable[[#This Row],[Discount_Amount]]</f>
        <v>1359.48</v>
      </c>
      <c r="AB327" s="8">
        <f>RawSalesTable[[#This Row],[Unit_Cost]]*RawSalesTable[[#This Row],[Quantity]]</f>
        <v>919.44</v>
      </c>
      <c r="AC327" s="8">
        <f>RawSalesTable[[#This Row],[Net_Sales]]-RawSalesTable[[#This Row],[Total_Cost]]</f>
        <v>440.03999999999996</v>
      </c>
      <c r="AD327" s="9">
        <f>RawSalesTable[[#This Row],[Profit]]/RawSalesTable[[#This Row],[Net_Sales]]</f>
        <v>0.32368258451760962</v>
      </c>
      <c r="AE327" s="8">
        <f>IF(RawSalesTable[[#This Row],[Return_Status]]="Yes",1,0)</f>
        <v>0</v>
      </c>
      <c r="AF327" s="8">
        <f>YEAR(RawSalesTable[[#This Row],[Order_Date]])</f>
        <v>2025</v>
      </c>
      <c r="AG327" s="8">
        <f>MONTH(RawSalesTable[[#This Row],[Order_Date]])</f>
        <v>2</v>
      </c>
      <c r="AH327" s="8" t="str">
        <f>TEXT(RawSalesTable[[#This Row],[Order_Date]],"mmmm")</f>
        <v>février</v>
      </c>
      <c r="AI327" s="8" t="str">
        <f>IF(RawSalesTable[[#This Row],[Month_Number]]&lt;=3,"Q1",IF(RawSalesTable[[#This Row],[Month_Number]]&lt;=6,"Q2",IF(RawSalesTable[[#This Row],[Month_Number]]&lt;=9,"Q3","Q4")))</f>
        <v>Q1</v>
      </c>
      <c r="AJ327" s="13">
        <f>DATE(YEAR(RawSalesTable[[#This Row],[Order_Date]]),MONTH(RawSalesTable[[#This Row],[Order_Date]]),1)</f>
        <v>45689</v>
      </c>
      <c r="AK327" s="8" t="str">
        <f>VLOOKUP(RawSalesTable[[#This Row],[Customer_ID_clean]],CustomersTable[],4,FALSE)</f>
        <v>British Columbia</v>
      </c>
    </row>
    <row r="328" spans="1:37">
      <c r="A328" t="s">
        <v>731</v>
      </c>
      <c r="B328" s="3">
        <v>45866</v>
      </c>
      <c r="C328" t="s">
        <v>290</v>
      </c>
      <c r="D328" t="s">
        <v>252</v>
      </c>
      <c r="E328" t="s">
        <v>732</v>
      </c>
      <c r="F328" t="s">
        <v>111</v>
      </c>
      <c r="G328" t="s">
        <v>183</v>
      </c>
      <c r="H328" t="s">
        <v>97</v>
      </c>
      <c r="I328">
        <v>2</v>
      </c>
      <c r="J328" s="2">
        <v>268.60000000000002</v>
      </c>
      <c r="K328" s="4">
        <v>0.15</v>
      </c>
      <c r="L328" t="s">
        <v>90</v>
      </c>
      <c r="M328">
        <v>1</v>
      </c>
      <c r="N328" t="s">
        <v>91</v>
      </c>
      <c r="O328" t="str">
        <f>SUBSTITUTE(PROPER(TRIM(RawSalesTable[[#This Row],[Channel_Raw]])), "Market Place", "Marketplace")</f>
        <v>Retail Store</v>
      </c>
      <c r="P328" t="str">
        <f>TRIM(RawSalesTable[[#This Row],[Store_Raw]])</f>
        <v>Montreal Central</v>
      </c>
      <c r="Q328" t="str">
        <f>IF(TRIM(RawSalesTable[[#This Row],[Payment_Method_Raw]])="","Non renseigné",SUBSTITUTE(TRIM(RawSalesTable[[#This Row],[Payment_Method_Raw]]),"CC","Credit Card"))</f>
        <v>PayPal</v>
      </c>
      <c r="R328" s="8" t="str">
        <f>UPPER(PROPER(RawSalesTable[[#This Row],[Customer_ID]]))</f>
        <v>C0116</v>
      </c>
      <c r="S328" s="8" t="str">
        <f>TRIM(LEFT(RawSalesTable[[#This Row],[Customer_Info]],FIND(",",RawSalesTable[[#This Row],[Customer_Info]]) -1))</f>
        <v>Lucas Brown</v>
      </c>
      <c r="T328" s="8" t="str">
        <f>TRIM(MID(RawSalesTable[[#This Row],[Customer_Info]],FIND(",",RawSalesTable[[#This Row],[Customer_Info]])+1,FIND(",",RawSalesTable[[#This Row],[Customer_Info]],FIND(",",RawSalesTable[[#This Row],[Customer_Info]])+1)-FIND(",",RawSalesTable[[#This Row],[Customer_Info]])-1))</f>
        <v>Mississauga</v>
      </c>
      <c r="U328" s="8" t="str">
        <f>TRIM(RIGHT(RawSalesTable[[#This Row],[Customer_Info]], LEN(RawSalesTable[[#This Row],[Customer_Info]])-FIND(",",RawSalesTable[[#This Row],[Customer_Info]],FIND(",",RawSalesTable[[#This Row],[Customer_Info]])+1)))</f>
        <v>Corporate</v>
      </c>
      <c r="V328" s="8" t="str">
        <f>VLOOKUP(RawSalesTable[[#This Row],[Product_ID]],ProductsTable[],2,FALSE)</f>
        <v>Vacuum</v>
      </c>
      <c r="W328" s="8" t="str">
        <f>VLOOKUP(RawSalesTable[[#This Row],[Product_ID]],ProductsTable[],3,FALSE)</f>
        <v>Home</v>
      </c>
      <c r="X328" s="8">
        <f>VLOOKUP(RawSalesTable[[#This Row],[Product_ID]],ProductsTable[],5,FALSE)</f>
        <v>186.94</v>
      </c>
      <c r="Y328" s="8">
        <f>RawSalesTable[[#This Row],[Quantity]]*RawSalesTable[[#This Row],[Unit_Price]]</f>
        <v>537.20000000000005</v>
      </c>
      <c r="Z328" s="8">
        <f>RawSalesTable[[#This Row],[Gross_Sales]]*RawSalesTable[[#This Row],[Discount_Pct]]</f>
        <v>80.58</v>
      </c>
      <c r="AA328" s="8">
        <f>RawSalesTable[[#This Row],[Gross_Sales]]-RawSalesTable[[#This Row],[Discount_Amount]]</f>
        <v>456.62000000000006</v>
      </c>
      <c r="AB328" s="8">
        <f>RawSalesTable[[#This Row],[Unit_Cost]]*RawSalesTable[[#This Row],[Quantity]]</f>
        <v>373.88</v>
      </c>
      <c r="AC328" s="8">
        <f>RawSalesTable[[#This Row],[Net_Sales]]-RawSalesTable[[#This Row],[Total_Cost]]</f>
        <v>82.740000000000066</v>
      </c>
      <c r="AD328" s="9">
        <f>RawSalesTable[[#This Row],[Profit]]/RawSalesTable[[#This Row],[Net_Sales]]</f>
        <v>0.18120099864219713</v>
      </c>
      <c r="AE328" s="8">
        <f>IF(RawSalesTable[[#This Row],[Return_Status]]="Yes",1,0)</f>
        <v>0</v>
      </c>
      <c r="AF328" s="8">
        <f>YEAR(RawSalesTable[[#This Row],[Order_Date]])</f>
        <v>2025</v>
      </c>
      <c r="AG328" s="8">
        <f>MONTH(RawSalesTable[[#This Row],[Order_Date]])</f>
        <v>7</v>
      </c>
      <c r="AH328" s="8" t="str">
        <f>TEXT(RawSalesTable[[#This Row],[Order_Date]],"mmmm")</f>
        <v>juillet</v>
      </c>
      <c r="AI328" s="8" t="str">
        <f>IF(RawSalesTable[[#This Row],[Month_Number]]&lt;=3,"Q1",IF(RawSalesTable[[#This Row],[Month_Number]]&lt;=6,"Q2",IF(RawSalesTable[[#This Row],[Month_Number]]&lt;=9,"Q3","Q4")))</f>
        <v>Q3</v>
      </c>
      <c r="AJ328" s="13">
        <f>DATE(YEAR(RawSalesTable[[#This Row],[Order_Date]]),MONTH(RawSalesTable[[#This Row],[Order_Date]]),1)</f>
        <v>45839</v>
      </c>
      <c r="AK328" s="8" t="str">
        <f>VLOOKUP(RawSalesTable[[#This Row],[Customer_ID_clean]],CustomersTable[],4,FALSE)</f>
        <v>Ontario</v>
      </c>
    </row>
    <row r="329" spans="1:37">
      <c r="A329" t="s">
        <v>733</v>
      </c>
      <c r="B329" s="3">
        <v>45727</v>
      </c>
      <c r="C329" t="s">
        <v>396</v>
      </c>
      <c r="D329" t="s">
        <v>323</v>
      </c>
      <c r="E329" t="s">
        <v>397</v>
      </c>
      <c r="F329" t="s">
        <v>116</v>
      </c>
      <c r="G329" t="s">
        <v>104</v>
      </c>
      <c r="H329" t="s">
        <v>97</v>
      </c>
      <c r="I329">
        <v>3</v>
      </c>
      <c r="J329" s="2">
        <v>325.47000000000003</v>
      </c>
      <c r="K329" s="4">
        <v>0.25</v>
      </c>
      <c r="L329" t="s">
        <v>90</v>
      </c>
      <c r="M329">
        <v>3</v>
      </c>
      <c r="N329" t="s">
        <v>91</v>
      </c>
      <c r="O329" t="str">
        <f>SUBSTITUTE(PROPER(TRIM(RawSalesTable[[#This Row],[Channel_Raw]])), "Market Place", "Marketplace")</f>
        <v>Retail Store</v>
      </c>
      <c r="P329" t="str">
        <f>TRIM(RawSalesTable[[#This Row],[Store_Raw]])</f>
        <v>Toronto Downtown</v>
      </c>
      <c r="Q329" t="str">
        <f>IF(TRIM(RawSalesTable[[#This Row],[Payment_Method_Raw]])="","Non renseigné",SUBSTITUTE(TRIM(RawSalesTable[[#This Row],[Payment_Method_Raw]]),"CC","Credit Card"))</f>
        <v>PayPal</v>
      </c>
      <c r="R329" s="8" t="str">
        <f>UPPER(PROPER(RawSalesTable[[#This Row],[Customer_ID]]))</f>
        <v>C0058</v>
      </c>
      <c r="S329" s="8" t="str">
        <f>TRIM(LEFT(RawSalesTable[[#This Row],[Customer_Info]],FIND(",",RawSalesTable[[#This Row],[Customer_Info]]) -1))</f>
        <v>Mia Singh</v>
      </c>
      <c r="T329" s="8" t="str">
        <f>TRIM(MID(RawSalesTable[[#This Row],[Customer_Info]],FIND(",",RawSalesTable[[#This Row],[Customer_Info]])+1,FIND(",",RawSalesTable[[#This Row],[Customer_Info]],FIND(",",RawSalesTable[[#This Row],[Customer_Info]])+1)-FIND(",",RawSalesTable[[#This Row],[Customer_Info]])-1))</f>
        <v>Laval</v>
      </c>
      <c r="U329" s="8" t="str">
        <f>TRIM(RIGHT(RawSalesTable[[#This Row],[Customer_Info]], LEN(RawSalesTable[[#This Row],[Customer_Info]])-FIND(",",RawSalesTable[[#This Row],[Customer_Info]],FIND(",",RawSalesTable[[#This Row],[Customer_Info]])+1)))</f>
        <v>Consumer</v>
      </c>
      <c r="V329" s="8" t="str">
        <f>VLOOKUP(RawSalesTable[[#This Row],[Product_ID]],ProductsTable[],2,FALSE)</f>
        <v>Toaster</v>
      </c>
      <c r="W329" s="8" t="str">
        <f>VLOOKUP(RawSalesTable[[#This Row],[Product_ID]],ProductsTable[],3,FALSE)</f>
        <v>Home</v>
      </c>
      <c r="X329" s="8">
        <f>VLOOKUP(RawSalesTable[[#This Row],[Product_ID]],ProductsTable[],5,FALSE)</f>
        <v>152.88</v>
      </c>
      <c r="Y329" s="8">
        <f>RawSalesTable[[#This Row],[Quantity]]*RawSalesTable[[#This Row],[Unit_Price]]</f>
        <v>976.41000000000008</v>
      </c>
      <c r="Z329" s="8">
        <f>RawSalesTable[[#This Row],[Gross_Sales]]*RawSalesTable[[#This Row],[Discount_Pct]]</f>
        <v>244.10250000000002</v>
      </c>
      <c r="AA329" s="8">
        <f>RawSalesTable[[#This Row],[Gross_Sales]]-RawSalesTable[[#This Row],[Discount_Amount]]</f>
        <v>732.30750000000012</v>
      </c>
      <c r="AB329" s="8">
        <f>RawSalesTable[[#This Row],[Unit_Cost]]*RawSalesTable[[#This Row],[Quantity]]</f>
        <v>458.64</v>
      </c>
      <c r="AC329" s="8">
        <f>RawSalesTable[[#This Row],[Net_Sales]]-RawSalesTable[[#This Row],[Total_Cost]]</f>
        <v>273.66750000000013</v>
      </c>
      <c r="AD329" s="9">
        <f>RawSalesTable[[#This Row],[Profit]]/RawSalesTable[[#This Row],[Net_Sales]]</f>
        <v>0.37370571788490503</v>
      </c>
      <c r="AE329" s="8">
        <f>IF(RawSalesTable[[#This Row],[Return_Status]]="Yes",1,0)</f>
        <v>0</v>
      </c>
      <c r="AF329" s="8">
        <f>YEAR(RawSalesTable[[#This Row],[Order_Date]])</f>
        <v>2025</v>
      </c>
      <c r="AG329" s="8">
        <f>MONTH(RawSalesTable[[#This Row],[Order_Date]])</f>
        <v>3</v>
      </c>
      <c r="AH329" s="8" t="str">
        <f>TEXT(RawSalesTable[[#This Row],[Order_Date]],"mmmm")</f>
        <v>mars</v>
      </c>
      <c r="AI329" s="8" t="str">
        <f>IF(RawSalesTable[[#This Row],[Month_Number]]&lt;=3,"Q1",IF(RawSalesTable[[#This Row],[Month_Number]]&lt;=6,"Q2",IF(RawSalesTable[[#This Row],[Month_Number]]&lt;=9,"Q3","Q4")))</f>
        <v>Q1</v>
      </c>
      <c r="AJ329" s="13">
        <f>DATE(YEAR(RawSalesTable[[#This Row],[Order_Date]]),MONTH(RawSalesTable[[#This Row],[Order_Date]]),1)</f>
        <v>45717</v>
      </c>
      <c r="AK329" s="8" t="str">
        <f>VLOOKUP(RawSalesTable[[#This Row],[Customer_ID_clean]],CustomersTable[],4,FALSE)</f>
        <v>Quebec</v>
      </c>
    </row>
    <row r="330" spans="1:37">
      <c r="A330" t="s">
        <v>734</v>
      </c>
      <c r="B330" s="3">
        <v>46007</v>
      </c>
      <c r="C330" t="s">
        <v>239</v>
      </c>
      <c r="D330" t="s">
        <v>133</v>
      </c>
      <c r="E330" t="s">
        <v>560</v>
      </c>
      <c r="F330" t="s">
        <v>87</v>
      </c>
      <c r="G330" t="s">
        <v>171</v>
      </c>
      <c r="H330" t="s">
        <v>105</v>
      </c>
      <c r="I330">
        <v>1</v>
      </c>
      <c r="J330" s="2">
        <v>354.82</v>
      </c>
      <c r="K330" s="4">
        <v>0.1</v>
      </c>
      <c r="L330" t="s">
        <v>106</v>
      </c>
      <c r="M330">
        <v>7</v>
      </c>
      <c r="N330" t="s">
        <v>91</v>
      </c>
      <c r="O330" t="str">
        <f>SUBSTITUTE(PROPER(TRIM(RawSalesTable[[#This Row],[Channel_Raw]])), "Market Place", "Marketplace")</f>
        <v>Marketplace</v>
      </c>
      <c r="P330" t="str">
        <f>TRIM(RawSalesTable[[#This Row],[Store_Raw]])</f>
        <v>Online Fulfillment</v>
      </c>
      <c r="Q330" t="str">
        <f>IF(TRIM(RawSalesTable[[#This Row],[Payment_Method_Raw]])="","Non renseigné",SUBSTITUTE(TRIM(RawSalesTable[[#This Row],[Payment_Method_Raw]]),"CC","Credit Card"))</f>
        <v>Credit Card</v>
      </c>
      <c r="R330" s="8" t="str">
        <f>UPPER(PROPER(RawSalesTable[[#This Row],[Customer_ID]]))</f>
        <v>C0089</v>
      </c>
      <c r="S330" s="8" t="str">
        <f>TRIM(LEFT(RawSalesTable[[#This Row],[Customer_Info]],FIND(",",RawSalesTable[[#This Row],[Customer_Info]]) -1))</f>
        <v>Lucas Martin</v>
      </c>
      <c r="T330" s="8" t="str">
        <f>TRIM(MID(RawSalesTable[[#This Row],[Customer_Info]],FIND(",",RawSalesTable[[#This Row],[Customer_Info]])+1,FIND(",",RawSalesTable[[#This Row],[Customer_Info]],FIND(",",RawSalesTable[[#This Row],[Customer_Info]])+1)-FIND(",",RawSalesTable[[#This Row],[Customer_Info]])-1))</f>
        <v>Vancouver</v>
      </c>
      <c r="U330" s="8" t="str">
        <f>TRIM(RIGHT(RawSalesTable[[#This Row],[Customer_Info]], LEN(RawSalesTable[[#This Row],[Customer_Info]])-FIND(",",RawSalesTable[[#This Row],[Customer_Info]],FIND(",",RawSalesTable[[#This Row],[Customer_Info]])+1)))</f>
        <v>Consumer</v>
      </c>
      <c r="V330" s="8" t="str">
        <f>VLOOKUP(RawSalesTable[[#This Row],[Product_ID]],ProductsTable[],2,FALSE)</f>
        <v>Travel Adapter</v>
      </c>
      <c r="W330" s="8" t="str">
        <f>VLOOKUP(RawSalesTable[[#This Row],[Product_ID]],ProductsTable[],3,FALSE)</f>
        <v>Accessories</v>
      </c>
      <c r="X330" s="8">
        <f>VLOOKUP(RawSalesTable[[#This Row],[Product_ID]],ProductsTable[],5,FALSE)</f>
        <v>229.86</v>
      </c>
      <c r="Y330" s="8">
        <f>RawSalesTable[[#This Row],[Quantity]]*RawSalesTable[[#This Row],[Unit_Price]]</f>
        <v>354.82</v>
      </c>
      <c r="Z330" s="8">
        <f>RawSalesTable[[#This Row],[Gross_Sales]]*RawSalesTable[[#This Row],[Discount_Pct]]</f>
        <v>35.481999999999999</v>
      </c>
      <c r="AA330" s="8">
        <f>RawSalesTable[[#This Row],[Gross_Sales]]-RawSalesTable[[#This Row],[Discount_Amount]]</f>
        <v>319.33799999999997</v>
      </c>
      <c r="AB330" s="8">
        <f>RawSalesTable[[#This Row],[Unit_Cost]]*RawSalesTable[[#This Row],[Quantity]]</f>
        <v>229.86</v>
      </c>
      <c r="AC330" s="8">
        <f>RawSalesTable[[#This Row],[Net_Sales]]-RawSalesTable[[#This Row],[Total_Cost]]</f>
        <v>89.477999999999952</v>
      </c>
      <c r="AD330" s="9">
        <f>RawSalesTable[[#This Row],[Profit]]/RawSalesTable[[#This Row],[Net_Sales]]</f>
        <v>0.2801984104616424</v>
      </c>
      <c r="AE330" s="8">
        <f>IF(RawSalesTable[[#This Row],[Return_Status]]="Yes",1,0)</f>
        <v>0</v>
      </c>
      <c r="AF330" s="8">
        <f>YEAR(RawSalesTable[[#This Row],[Order_Date]])</f>
        <v>2025</v>
      </c>
      <c r="AG330" s="8">
        <f>MONTH(RawSalesTable[[#This Row],[Order_Date]])</f>
        <v>12</v>
      </c>
      <c r="AH330" s="8" t="str">
        <f>TEXT(RawSalesTable[[#This Row],[Order_Date]],"mmmm")</f>
        <v>décembre</v>
      </c>
      <c r="AI330" s="8" t="str">
        <f>IF(RawSalesTable[[#This Row],[Month_Number]]&lt;=3,"Q1",IF(RawSalesTable[[#This Row],[Month_Number]]&lt;=6,"Q2",IF(RawSalesTable[[#This Row],[Month_Number]]&lt;=9,"Q3","Q4")))</f>
        <v>Q4</v>
      </c>
      <c r="AJ330" s="13">
        <f>DATE(YEAR(RawSalesTable[[#This Row],[Order_Date]]),MONTH(RawSalesTable[[#This Row],[Order_Date]]),1)</f>
        <v>45992</v>
      </c>
      <c r="AK330" s="8" t="str">
        <f>VLOOKUP(RawSalesTable[[#This Row],[Customer_ID_clean]],CustomersTable[],4,FALSE)</f>
        <v>British Columbia</v>
      </c>
    </row>
    <row r="331" spans="1:37">
      <c r="A331" t="s">
        <v>735</v>
      </c>
      <c r="B331" s="3">
        <v>45901</v>
      </c>
      <c r="C331" t="s">
        <v>248</v>
      </c>
      <c r="D331" t="s">
        <v>271</v>
      </c>
      <c r="E331" t="s">
        <v>250</v>
      </c>
      <c r="F331" t="s">
        <v>103</v>
      </c>
      <c r="G331" t="s">
        <v>104</v>
      </c>
      <c r="H331" t="s">
        <v>89</v>
      </c>
      <c r="I331">
        <v>1</v>
      </c>
      <c r="J331" s="2">
        <v>225.3</v>
      </c>
      <c r="K331" s="4">
        <v>0.05</v>
      </c>
      <c r="L331" t="s">
        <v>90</v>
      </c>
      <c r="M331">
        <v>4</v>
      </c>
      <c r="N331" t="s">
        <v>91</v>
      </c>
      <c r="O331" t="str">
        <f>SUBSTITUTE(PROPER(TRIM(RawSalesTable[[#This Row],[Channel_Raw]])), "Market Place", "Marketplace")</f>
        <v>Online</v>
      </c>
      <c r="P331" t="str">
        <f>TRIM(RawSalesTable[[#This Row],[Store_Raw]])</f>
        <v>Vancouver West</v>
      </c>
      <c r="Q331" t="str">
        <f>IF(TRIM(RawSalesTable[[#This Row],[Payment_Method_Raw]])="","Non renseigné",SUBSTITUTE(TRIM(RawSalesTable[[#This Row],[Payment_Method_Raw]]),"CC","Credit Card"))</f>
        <v>PayPal</v>
      </c>
      <c r="R331" s="8" t="str">
        <f>UPPER(PROPER(RawSalesTable[[#This Row],[Customer_ID]]))</f>
        <v>C0012</v>
      </c>
      <c r="S331" s="8" t="str">
        <f>TRIM(LEFT(RawSalesTable[[#This Row],[Customer_Info]],FIND(",",RawSalesTable[[#This Row],[Customer_Info]]) -1))</f>
        <v>Daniel Taylor</v>
      </c>
      <c r="T331" s="8" t="str">
        <f>TRIM(MID(RawSalesTable[[#This Row],[Customer_Info]],FIND(",",RawSalesTable[[#This Row],[Customer_Info]])+1,FIND(",",RawSalesTable[[#This Row],[Customer_Info]],FIND(",",RawSalesTable[[#This Row],[Customer_Info]])+1)-FIND(",",RawSalesTable[[#This Row],[Customer_Info]])-1))</f>
        <v>Victoria</v>
      </c>
      <c r="U331" s="8" t="str">
        <f>TRIM(RIGHT(RawSalesTable[[#This Row],[Customer_Info]], LEN(RawSalesTable[[#This Row],[Customer_Info]])-FIND(",",RawSalesTable[[#This Row],[Customer_Info]],FIND(",",RawSalesTable[[#This Row],[Customer_Info]])+1)))</f>
        <v>Corporate</v>
      </c>
      <c r="V331" s="8" t="str">
        <f>VLOOKUP(RawSalesTable[[#This Row],[Product_ID]],ProductsTable[],2,FALSE)</f>
        <v>Resistance Bands</v>
      </c>
      <c r="W331" s="8" t="str">
        <f>VLOOKUP(RawSalesTable[[#This Row],[Product_ID]],ProductsTable[],3,FALSE)</f>
        <v>Fitness</v>
      </c>
      <c r="X331" s="8">
        <f>VLOOKUP(RawSalesTable[[#This Row],[Product_ID]],ProductsTable[],5,FALSE)</f>
        <v>139.19999999999999</v>
      </c>
      <c r="Y331" s="8">
        <f>RawSalesTable[[#This Row],[Quantity]]*RawSalesTable[[#This Row],[Unit_Price]]</f>
        <v>225.3</v>
      </c>
      <c r="Z331" s="8">
        <f>RawSalesTable[[#This Row],[Gross_Sales]]*RawSalesTable[[#This Row],[Discount_Pct]]</f>
        <v>11.265000000000001</v>
      </c>
      <c r="AA331" s="8">
        <f>RawSalesTable[[#This Row],[Gross_Sales]]-RawSalesTable[[#This Row],[Discount_Amount]]</f>
        <v>214.03500000000003</v>
      </c>
      <c r="AB331" s="8">
        <f>RawSalesTable[[#This Row],[Unit_Cost]]*RawSalesTable[[#This Row],[Quantity]]</f>
        <v>139.19999999999999</v>
      </c>
      <c r="AC331" s="8">
        <f>RawSalesTable[[#This Row],[Net_Sales]]-RawSalesTable[[#This Row],[Total_Cost]]</f>
        <v>74.835000000000036</v>
      </c>
      <c r="AD331" s="9">
        <f>RawSalesTable[[#This Row],[Profit]]/RawSalesTable[[#This Row],[Net_Sales]]</f>
        <v>0.34963907772093361</v>
      </c>
      <c r="AE331" s="8">
        <f>IF(RawSalesTable[[#This Row],[Return_Status]]="Yes",1,0)</f>
        <v>0</v>
      </c>
      <c r="AF331" s="8">
        <f>YEAR(RawSalesTable[[#This Row],[Order_Date]])</f>
        <v>2025</v>
      </c>
      <c r="AG331" s="8">
        <f>MONTH(RawSalesTable[[#This Row],[Order_Date]])</f>
        <v>9</v>
      </c>
      <c r="AH331" s="8" t="str">
        <f>TEXT(RawSalesTable[[#This Row],[Order_Date]],"mmmm")</f>
        <v>septembre</v>
      </c>
      <c r="AI331" s="8" t="str">
        <f>IF(RawSalesTable[[#This Row],[Month_Number]]&lt;=3,"Q1",IF(RawSalesTable[[#This Row],[Month_Number]]&lt;=6,"Q2",IF(RawSalesTable[[#This Row],[Month_Number]]&lt;=9,"Q3","Q4")))</f>
        <v>Q3</v>
      </c>
      <c r="AJ331" s="13">
        <f>DATE(YEAR(RawSalesTable[[#This Row],[Order_Date]]),MONTH(RawSalesTable[[#This Row],[Order_Date]]),1)</f>
        <v>45901</v>
      </c>
      <c r="AK331" s="8" t="str">
        <f>VLOOKUP(RawSalesTable[[#This Row],[Customer_ID_clean]],CustomersTable[],4,FALSE)</f>
        <v>British Columbia</v>
      </c>
    </row>
    <row r="332" spans="1:37">
      <c r="A332" t="s">
        <v>736</v>
      </c>
      <c r="B332" s="3">
        <v>45840</v>
      </c>
      <c r="C332" t="s">
        <v>647</v>
      </c>
      <c r="D332" t="s">
        <v>249</v>
      </c>
      <c r="E332" t="s">
        <v>648</v>
      </c>
      <c r="F332" t="s">
        <v>103</v>
      </c>
      <c r="G332" t="s">
        <v>183</v>
      </c>
      <c r="H332" t="s">
        <v>105</v>
      </c>
      <c r="I332">
        <v>2</v>
      </c>
      <c r="J332" s="2">
        <v>430.2</v>
      </c>
      <c r="K332" s="4">
        <v>0</v>
      </c>
      <c r="L332" t="s">
        <v>106</v>
      </c>
      <c r="M332">
        <v>6</v>
      </c>
      <c r="N332" t="s">
        <v>91</v>
      </c>
      <c r="O332" t="str">
        <f>SUBSTITUTE(PROPER(TRIM(RawSalesTable[[#This Row],[Channel_Raw]])), "Market Place", "Marketplace")</f>
        <v>Marketplace</v>
      </c>
      <c r="P332" t="str">
        <f>TRIM(RawSalesTable[[#This Row],[Store_Raw]])</f>
        <v>Vancouver West</v>
      </c>
      <c r="Q332" t="str">
        <f>IF(TRIM(RawSalesTable[[#This Row],[Payment_Method_Raw]])="","Non renseigné",SUBSTITUTE(TRIM(RawSalesTable[[#This Row],[Payment_Method_Raw]]),"CC","Credit Card"))</f>
        <v>Credit Card</v>
      </c>
      <c r="R332" s="8" t="str">
        <f>UPPER(PROPER(RawSalesTable[[#This Row],[Customer_ID]]))</f>
        <v>C0050</v>
      </c>
      <c r="S332" s="8" t="str">
        <f>TRIM(LEFT(RawSalesTable[[#This Row],[Customer_Info]],FIND(",",RawSalesTable[[#This Row],[Customer_Info]]) -1))</f>
        <v>Sarah Singh</v>
      </c>
      <c r="T332" s="8" t="str">
        <f>TRIM(MID(RawSalesTable[[#This Row],[Customer_Info]],FIND(",",RawSalesTable[[#This Row],[Customer_Info]])+1,FIND(",",RawSalesTable[[#This Row],[Customer_Info]],FIND(",",RawSalesTable[[#This Row],[Customer_Info]])+1)-FIND(",",RawSalesTable[[#This Row],[Customer_Info]])-1))</f>
        <v>Mississauga</v>
      </c>
      <c r="U332" s="8" t="str">
        <f>TRIM(RIGHT(RawSalesTable[[#This Row],[Customer_Info]], LEN(RawSalesTable[[#This Row],[Customer_Info]])-FIND(",",RawSalesTable[[#This Row],[Customer_Info]],FIND(",",RawSalesTable[[#This Row],[Customer_Info]])+1)))</f>
        <v>Consumer</v>
      </c>
      <c r="V332" s="8" t="str">
        <f>VLOOKUP(RawSalesTable[[#This Row],[Product_ID]],ProductsTable[],2,FALSE)</f>
        <v>Humidifier</v>
      </c>
      <c r="W332" s="8" t="str">
        <f>VLOOKUP(RawSalesTable[[#This Row],[Product_ID]],ProductsTable[],3,FALSE)</f>
        <v>Home</v>
      </c>
      <c r="X332" s="8">
        <f>VLOOKUP(RawSalesTable[[#This Row],[Product_ID]],ProductsTable[],5,FALSE)</f>
        <v>239.67</v>
      </c>
      <c r="Y332" s="8">
        <f>RawSalesTable[[#This Row],[Quantity]]*RawSalesTable[[#This Row],[Unit_Price]]</f>
        <v>860.4</v>
      </c>
      <c r="Z332" s="8">
        <f>RawSalesTable[[#This Row],[Gross_Sales]]*RawSalesTable[[#This Row],[Discount_Pct]]</f>
        <v>0</v>
      </c>
      <c r="AA332" s="8">
        <f>RawSalesTable[[#This Row],[Gross_Sales]]-RawSalesTable[[#This Row],[Discount_Amount]]</f>
        <v>860.4</v>
      </c>
      <c r="AB332" s="8">
        <f>RawSalesTable[[#This Row],[Unit_Cost]]*RawSalesTable[[#This Row],[Quantity]]</f>
        <v>479.34</v>
      </c>
      <c r="AC332" s="8">
        <f>RawSalesTable[[#This Row],[Net_Sales]]-RawSalesTable[[#This Row],[Total_Cost]]</f>
        <v>381.06</v>
      </c>
      <c r="AD332" s="9">
        <f>RawSalesTable[[#This Row],[Profit]]/RawSalesTable[[#This Row],[Net_Sales]]</f>
        <v>0.44288702928870294</v>
      </c>
      <c r="AE332" s="8">
        <f>IF(RawSalesTable[[#This Row],[Return_Status]]="Yes",1,0)</f>
        <v>0</v>
      </c>
      <c r="AF332" s="8">
        <f>YEAR(RawSalesTable[[#This Row],[Order_Date]])</f>
        <v>2025</v>
      </c>
      <c r="AG332" s="8">
        <f>MONTH(RawSalesTable[[#This Row],[Order_Date]])</f>
        <v>7</v>
      </c>
      <c r="AH332" s="8" t="str">
        <f>TEXT(RawSalesTable[[#This Row],[Order_Date]],"mmmm")</f>
        <v>juillet</v>
      </c>
      <c r="AI332" s="8" t="str">
        <f>IF(RawSalesTable[[#This Row],[Month_Number]]&lt;=3,"Q1",IF(RawSalesTable[[#This Row],[Month_Number]]&lt;=6,"Q2",IF(RawSalesTable[[#This Row],[Month_Number]]&lt;=9,"Q3","Q4")))</f>
        <v>Q3</v>
      </c>
      <c r="AJ332" s="13">
        <f>DATE(YEAR(RawSalesTable[[#This Row],[Order_Date]]),MONTH(RawSalesTable[[#This Row],[Order_Date]]),1)</f>
        <v>45839</v>
      </c>
      <c r="AK332" s="8" t="str">
        <f>VLOOKUP(RawSalesTable[[#This Row],[Customer_ID_clean]],CustomersTable[],4,FALSE)</f>
        <v>Ontario</v>
      </c>
    </row>
    <row r="333" spans="1:37">
      <c r="A333" t="s">
        <v>737</v>
      </c>
      <c r="B333" s="3">
        <v>45789</v>
      </c>
      <c r="C333" t="s">
        <v>197</v>
      </c>
      <c r="D333" t="s">
        <v>738</v>
      </c>
      <c r="E333" t="s">
        <v>198</v>
      </c>
      <c r="F333" t="s">
        <v>111</v>
      </c>
      <c r="G333" t="s">
        <v>122</v>
      </c>
      <c r="H333" t="s">
        <v>89</v>
      </c>
      <c r="I333">
        <v>3</v>
      </c>
      <c r="J333" s="2">
        <v>313.67</v>
      </c>
      <c r="K333" s="4">
        <v>0.25</v>
      </c>
      <c r="L333" t="s">
        <v>106</v>
      </c>
      <c r="M333">
        <v>7</v>
      </c>
      <c r="N333" t="s">
        <v>147</v>
      </c>
      <c r="O333" t="str">
        <f>SUBSTITUTE(PROPER(TRIM(RawSalesTable[[#This Row],[Channel_Raw]])), "Market Place", "Marketplace")</f>
        <v>Online</v>
      </c>
      <c r="P333" t="str">
        <f>TRIM(RawSalesTable[[#This Row],[Store_Raw]])</f>
        <v>Montreal Central</v>
      </c>
      <c r="Q333" t="str">
        <f>IF(TRIM(RawSalesTable[[#This Row],[Payment_Method_Raw]])="","Non renseigné",SUBSTITUTE(TRIM(RawSalesTable[[#This Row],[Payment_Method_Raw]]),"CC","Credit Card"))</f>
        <v>Credit Card</v>
      </c>
      <c r="R333" s="8" t="str">
        <f>UPPER(PROPER(RawSalesTable[[#This Row],[Customer_ID]]))</f>
        <v>C0091</v>
      </c>
      <c r="S333" s="8" t="str">
        <f>TRIM(LEFT(RawSalesTable[[#This Row],[Customer_Info]],FIND(",",RawSalesTable[[#This Row],[Customer_Info]]) -1))</f>
        <v>Leo Taylor</v>
      </c>
      <c r="T333" s="8" t="str">
        <f>TRIM(MID(RawSalesTable[[#This Row],[Customer_Info]],FIND(",",RawSalesTable[[#This Row],[Customer_Info]])+1,FIND(",",RawSalesTable[[#This Row],[Customer_Info]],FIND(",",RawSalesTable[[#This Row],[Customer_Info]])+1)-FIND(",",RawSalesTable[[#This Row],[Customer_Info]])-1))</f>
        <v>Victoria</v>
      </c>
      <c r="U333" s="8" t="str">
        <f>TRIM(RIGHT(RawSalesTable[[#This Row],[Customer_Info]], LEN(RawSalesTable[[#This Row],[Customer_Info]])-FIND(",",RawSalesTable[[#This Row],[Customer_Info]],FIND(",",RawSalesTable[[#This Row],[Customer_Info]])+1)))</f>
        <v>Small Business</v>
      </c>
      <c r="V333" s="8" t="str">
        <f>VLOOKUP(RawSalesTable[[#This Row],[Product_ID]],ProductsTable[],2,FALSE)</f>
        <v>Printer</v>
      </c>
      <c r="W333" s="8" t="str">
        <f>VLOOKUP(RawSalesTable[[#This Row],[Product_ID]],ProductsTable[],3,FALSE)</f>
        <v>Office</v>
      </c>
      <c r="X333" s="8">
        <f>VLOOKUP(RawSalesTable[[#This Row],[Product_ID]],ProductsTable[],5,FALSE)</f>
        <v>156.75</v>
      </c>
      <c r="Y333" s="8">
        <f>RawSalesTable[[#This Row],[Quantity]]*RawSalesTable[[#This Row],[Unit_Price]]</f>
        <v>941.01</v>
      </c>
      <c r="Z333" s="8">
        <f>RawSalesTable[[#This Row],[Gross_Sales]]*RawSalesTable[[#This Row],[Discount_Pct]]</f>
        <v>235.2525</v>
      </c>
      <c r="AA333" s="8">
        <f>RawSalesTable[[#This Row],[Gross_Sales]]-RawSalesTable[[#This Row],[Discount_Amount]]</f>
        <v>705.75749999999994</v>
      </c>
      <c r="AB333" s="8">
        <f>RawSalesTable[[#This Row],[Unit_Cost]]*RawSalesTable[[#This Row],[Quantity]]</f>
        <v>470.25</v>
      </c>
      <c r="AC333" s="8">
        <f>RawSalesTable[[#This Row],[Net_Sales]]-RawSalesTable[[#This Row],[Total_Cost]]</f>
        <v>235.50749999999994</v>
      </c>
      <c r="AD333" s="9">
        <f>RawSalesTable[[#This Row],[Profit]]/RawSalesTable[[#This Row],[Net_Sales]]</f>
        <v>0.33369464724073067</v>
      </c>
      <c r="AE333" s="8">
        <f>IF(RawSalesTable[[#This Row],[Return_Status]]="Yes",1,0)</f>
        <v>1</v>
      </c>
      <c r="AF333" s="8">
        <f>YEAR(RawSalesTable[[#This Row],[Order_Date]])</f>
        <v>2025</v>
      </c>
      <c r="AG333" s="8">
        <f>MONTH(RawSalesTable[[#This Row],[Order_Date]])</f>
        <v>5</v>
      </c>
      <c r="AH333" s="8" t="str">
        <f>TEXT(RawSalesTable[[#This Row],[Order_Date]],"mmmm")</f>
        <v>mai</v>
      </c>
      <c r="AI333" s="8" t="str">
        <f>IF(RawSalesTable[[#This Row],[Month_Number]]&lt;=3,"Q1",IF(RawSalesTable[[#This Row],[Month_Number]]&lt;=6,"Q2",IF(RawSalesTable[[#This Row],[Month_Number]]&lt;=9,"Q3","Q4")))</f>
        <v>Q2</v>
      </c>
      <c r="AJ333" s="13">
        <f>DATE(YEAR(RawSalesTable[[#This Row],[Order_Date]]),MONTH(RawSalesTable[[#This Row],[Order_Date]]),1)</f>
        <v>45778</v>
      </c>
      <c r="AK333" s="8" t="str">
        <f>VLOOKUP(RawSalesTable[[#This Row],[Customer_ID_clean]],CustomersTable[],4,FALSE)</f>
        <v>British Columbia</v>
      </c>
    </row>
    <row r="334" spans="1:37">
      <c r="A334" t="s">
        <v>739</v>
      </c>
      <c r="B334" s="3">
        <v>46018</v>
      </c>
      <c r="C334" t="s">
        <v>326</v>
      </c>
      <c r="D334" t="s">
        <v>226</v>
      </c>
      <c r="E334" t="s">
        <v>327</v>
      </c>
      <c r="F334" t="s">
        <v>111</v>
      </c>
      <c r="G334" t="s">
        <v>183</v>
      </c>
      <c r="H334" t="s">
        <v>89</v>
      </c>
      <c r="I334">
        <v>1</v>
      </c>
      <c r="J334" s="2">
        <v>215.29</v>
      </c>
      <c r="K334" s="4">
        <v>0</v>
      </c>
      <c r="L334" t="s">
        <v>106</v>
      </c>
      <c r="M334">
        <v>3</v>
      </c>
      <c r="N334" t="s">
        <v>147</v>
      </c>
      <c r="O334" t="str">
        <f>SUBSTITUTE(PROPER(TRIM(RawSalesTable[[#This Row],[Channel_Raw]])), "Market Place", "Marketplace")</f>
        <v>Online</v>
      </c>
      <c r="P334" t="str">
        <f>TRIM(RawSalesTable[[#This Row],[Store_Raw]])</f>
        <v>Montreal Central</v>
      </c>
      <c r="Q334" t="str">
        <f>IF(TRIM(RawSalesTable[[#This Row],[Payment_Method_Raw]])="","Non renseigné",SUBSTITUTE(TRIM(RawSalesTable[[#This Row],[Payment_Method_Raw]]),"CC","Credit Card"))</f>
        <v>Credit Card</v>
      </c>
      <c r="R334" s="8" t="str">
        <f>UPPER(PROPER(RawSalesTable[[#This Row],[Customer_ID]]))</f>
        <v>C0092</v>
      </c>
      <c r="S334" s="8" t="str">
        <f>TRIM(LEFT(RawSalesTable[[#This Row],[Customer_Info]],FIND(",",RawSalesTable[[#This Row],[Customer_Info]]) -1))</f>
        <v>Lucas Tremblay</v>
      </c>
      <c r="T334" s="8" t="str">
        <f>TRIM(MID(RawSalesTable[[#This Row],[Customer_Info]],FIND(",",RawSalesTable[[#This Row],[Customer_Info]])+1,FIND(",",RawSalesTable[[#This Row],[Customer_Info]],FIND(",",RawSalesTable[[#This Row],[Customer_Info]])+1)-FIND(",",RawSalesTable[[#This Row],[Customer_Info]])-1))</f>
        <v>Saskatoon</v>
      </c>
      <c r="U334" s="8" t="str">
        <f>TRIM(RIGHT(RawSalesTable[[#This Row],[Customer_Info]], LEN(RawSalesTable[[#This Row],[Customer_Info]])-FIND(",",RawSalesTable[[#This Row],[Customer_Info]],FIND(",",RawSalesTable[[#This Row],[Customer_Info]])+1)))</f>
        <v>Consumer</v>
      </c>
      <c r="V334" s="8" t="str">
        <f>VLOOKUP(RawSalesTable[[#This Row],[Product_ID]],ProductsTable[],2,FALSE)</f>
        <v>Desk Lamp</v>
      </c>
      <c r="W334" s="8" t="str">
        <f>VLOOKUP(RawSalesTable[[#This Row],[Product_ID]],ProductsTable[],3,FALSE)</f>
        <v>Office</v>
      </c>
      <c r="X334" s="8">
        <f>VLOOKUP(RawSalesTable[[#This Row],[Product_ID]],ProductsTable[],5,FALSE)</f>
        <v>127.21</v>
      </c>
      <c r="Y334" s="8">
        <f>RawSalesTable[[#This Row],[Quantity]]*RawSalesTable[[#This Row],[Unit_Price]]</f>
        <v>215.29</v>
      </c>
      <c r="Z334" s="8">
        <f>RawSalesTable[[#This Row],[Gross_Sales]]*RawSalesTable[[#This Row],[Discount_Pct]]</f>
        <v>0</v>
      </c>
      <c r="AA334" s="8">
        <f>RawSalesTable[[#This Row],[Gross_Sales]]-RawSalesTable[[#This Row],[Discount_Amount]]</f>
        <v>215.29</v>
      </c>
      <c r="AB334" s="8">
        <f>RawSalesTable[[#This Row],[Unit_Cost]]*RawSalesTable[[#This Row],[Quantity]]</f>
        <v>127.21</v>
      </c>
      <c r="AC334" s="8">
        <f>RawSalesTable[[#This Row],[Net_Sales]]-RawSalesTable[[#This Row],[Total_Cost]]</f>
        <v>88.08</v>
      </c>
      <c r="AD334" s="9">
        <f>RawSalesTable[[#This Row],[Profit]]/RawSalesTable[[#This Row],[Net_Sales]]</f>
        <v>0.40912257884713643</v>
      </c>
      <c r="AE334" s="8">
        <f>IF(RawSalesTable[[#This Row],[Return_Status]]="Yes",1,0)</f>
        <v>1</v>
      </c>
      <c r="AF334" s="8">
        <f>YEAR(RawSalesTable[[#This Row],[Order_Date]])</f>
        <v>2025</v>
      </c>
      <c r="AG334" s="8">
        <f>MONTH(RawSalesTable[[#This Row],[Order_Date]])</f>
        <v>12</v>
      </c>
      <c r="AH334" s="8" t="str">
        <f>TEXT(RawSalesTable[[#This Row],[Order_Date]],"mmmm")</f>
        <v>décembre</v>
      </c>
      <c r="AI334" s="8" t="str">
        <f>IF(RawSalesTable[[#This Row],[Month_Number]]&lt;=3,"Q1",IF(RawSalesTable[[#This Row],[Month_Number]]&lt;=6,"Q2",IF(RawSalesTable[[#This Row],[Month_Number]]&lt;=9,"Q3","Q4")))</f>
        <v>Q4</v>
      </c>
      <c r="AJ334" s="13">
        <f>DATE(YEAR(RawSalesTable[[#This Row],[Order_Date]]),MONTH(RawSalesTable[[#This Row],[Order_Date]]),1)</f>
        <v>45992</v>
      </c>
      <c r="AK334" s="8" t="str">
        <f>VLOOKUP(RawSalesTable[[#This Row],[Customer_ID_clean]],CustomersTable[],4,FALSE)</f>
        <v>Saskatchewan</v>
      </c>
    </row>
    <row r="335" spans="1:37">
      <c r="A335" t="s">
        <v>740</v>
      </c>
      <c r="B335" s="3">
        <v>45864</v>
      </c>
      <c r="C335" t="s">
        <v>543</v>
      </c>
      <c r="D335" t="s">
        <v>101</v>
      </c>
      <c r="E335" t="s">
        <v>544</v>
      </c>
      <c r="F335" t="s">
        <v>111</v>
      </c>
      <c r="G335" t="s">
        <v>117</v>
      </c>
      <c r="H335" t="s">
        <v>233</v>
      </c>
      <c r="I335">
        <v>1</v>
      </c>
      <c r="J335" s="2">
        <v>289.89</v>
      </c>
      <c r="K335" s="4">
        <v>0.05</v>
      </c>
      <c r="L335" t="s">
        <v>98</v>
      </c>
      <c r="M335">
        <v>1</v>
      </c>
      <c r="N335" t="s">
        <v>91</v>
      </c>
      <c r="O335" t="str">
        <f>SUBSTITUTE(PROPER(TRIM(RawSalesTable[[#This Row],[Channel_Raw]])), "Market Place", "Marketplace")</f>
        <v>Retail Store</v>
      </c>
      <c r="P335" t="str">
        <f>TRIM(RawSalesTable[[#This Row],[Store_Raw]])</f>
        <v>Montreal Central</v>
      </c>
      <c r="Q335" t="str">
        <f>IF(TRIM(RawSalesTable[[#This Row],[Payment_Method_Raw]])="","Non renseigné",SUBSTITUTE(TRIM(RawSalesTable[[#This Row],[Payment_Method_Raw]]),"CC","Credit Card"))</f>
        <v>Debit Card</v>
      </c>
      <c r="R335" s="8" t="str">
        <f>UPPER(PROPER(RawSalesTable[[#This Row],[Customer_ID]]))</f>
        <v>C0031</v>
      </c>
      <c r="S335" s="8" t="str">
        <f>TRIM(LEFT(RawSalesTable[[#This Row],[Customer_Info]],FIND(",",RawSalesTable[[#This Row],[Customer_Info]]) -1))</f>
        <v>Leo Gagnon</v>
      </c>
      <c r="T335" s="8" t="str">
        <f>TRIM(MID(RawSalesTable[[#This Row],[Customer_Info]],FIND(",",RawSalesTable[[#This Row],[Customer_Info]])+1,FIND(",",RawSalesTable[[#This Row],[Customer_Info]],FIND(",",RawSalesTable[[#This Row],[Customer_Info]])+1)-FIND(",",RawSalesTable[[#This Row],[Customer_Info]])-1))</f>
        <v>Surrey</v>
      </c>
      <c r="U335" s="8" t="str">
        <f>TRIM(RIGHT(RawSalesTable[[#This Row],[Customer_Info]], LEN(RawSalesTable[[#This Row],[Customer_Info]])-FIND(",",RawSalesTable[[#This Row],[Customer_Info]],FIND(",",RawSalesTable[[#This Row],[Customer_Info]])+1)))</f>
        <v>Small Business</v>
      </c>
      <c r="V335" s="8" t="str">
        <f>VLOOKUP(RawSalesTable[[#This Row],[Product_ID]],ProductsTable[],2,FALSE)</f>
        <v>Kettle</v>
      </c>
      <c r="W335" s="8" t="str">
        <f>VLOOKUP(RawSalesTable[[#This Row],[Product_ID]],ProductsTable[],3,FALSE)</f>
        <v>Home</v>
      </c>
      <c r="X335" s="8">
        <f>VLOOKUP(RawSalesTable[[#This Row],[Product_ID]],ProductsTable[],5,FALSE)</f>
        <v>139.86000000000001</v>
      </c>
      <c r="Y335" s="8">
        <f>RawSalesTable[[#This Row],[Quantity]]*RawSalesTable[[#This Row],[Unit_Price]]</f>
        <v>289.89</v>
      </c>
      <c r="Z335" s="8">
        <f>RawSalesTable[[#This Row],[Gross_Sales]]*RawSalesTable[[#This Row],[Discount_Pct]]</f>
        <v>14.4945</v>
      </c>
      <c r="AA335" s="8">
        <f>RawSalesTable[[#This Row],[Gross_Sales]]-RawSalesTable[[#This Row],[Discount_Amount]]</f>
        <v>275.39549999999997</v>
      </c>
      <c r="AB335" s="8">
        <f>RawSalesTable[[#This Row],[Unit_Cost]]*RawSalesTable[[#This Row],[Quantity]]</f>
        <v>139.86000000000001</v>
      </c>
      <c r="AC335" s="8">
        <f>RawSalesTable[[#This Row],[Net_Sales]]-RawSalesTable[[#This Row],[Total_Cost]]</f>
        <v>135.53549999999996</v>
      </c>
      <c r="AD335" s="9">
        <f>RawSalesTable[[#This Row],[Profit]]/RawSalesTable[[#This Row],[Net_Sales]]</f>
        <v>0.492148564519028</v>
      </c>
      <c r="AE335" s="8">
        <f>IF(RawSalesTable[[#This Row],[Return_Status]]="Yes",1,0)</f>
        <v>0</v>
      </c>
      <c r="AF335" s="8">
        <f>YEAR(RawSalesTable[[#This Row],[Order_Date]])</f>
        <v>2025</v>
      </c>
      <c r="AG335" s="8">
        <f>MONTH(RawSalesTable[[#This Row],[Order_Date]])</f>
        <v>7</v>
      </c>
      <c r="AH335" s="8" t="str">
        <f>TEXT(RawSalesTable[[#This Row],[Order_Date]],"mmmm")</f>
        <v>juillet</v>
      </c>
      <c r="AI335" s="8" t="str">
        <f>IF(RawSalesTable[[#This Row],[Month_Number]]&lt;=3,"Q1",IF(RawSalesTable[[#This Row],[Month_Number]]&lt;=6,"Q2",IF(RawSalesTable[[#This Row],[Month_Number]]&lt;=9,"Q3","Q4")))</f>
        <v>Q3</v>
      </c>
      <c r="AJ335" s="13">
        <f>DATE(YEAR(RawSalesTable[[#This Row],[Order_Date]]),MONTH(RawSalesTable[[#This Row],[Order_Date]]),1)</f>
        <v>45839</v>
      </c>
      <c r="AK335" s="8" t="str">
        <f>VLOOKUP(RawSalesTable[[#This Row],[Customer_ID_clean]],CustomersTable[],4,FALSE)</f>
        <v>British Columbia</v>
      </c>
    </row>
    <row r="336" spans="1:37">
      <c r="A336" t="s">
        <v>741</v>
      </c>
      <c r="B336" s="3">
        <v>45736</v>
      </c>
      <c r="C336" t="s">
        <v>326</v>
      </c>
      <c r="D336" t="s">
        <v>181</v>
      </c>
      <c r="E336" t="s">
        <v>327</v>
      </c>
      <c r="F336" t="s">
        <v>145</v>
      </c>
      <c r="G336" t="s">
        <v>88</v>
      </c>
      <c r="H336" t="s">
        <v>233</v>
      </c>
      <c r="I336">
        <v>5</v>
      </c>
      <c r="J336" s="2">
        <v>335.95</v>
      </c>
      <c r="K336" s="4">
        <v>0</v>
      </c>
      <c r="L336" t="s">
        <v>98</v>
      </c>
      <c r="M336">
        <v>1</v>
      </c>
      <c r="N336" t="s">
        <v>91</v>
      </c>
      <c r="O336" t="str">
        <f>SUBSTITUTE(PROPER(TRIM(RawSalesTable[[#This Row],[Channel_Raw]])), "Market Place", "Marketplace")</f>
        <v>Retail Store</v>
      </c>
      <c r="P336" t="str">
        <f>TRIM(RawSalesTable[[#This Row],[Store_Raw]])</f>
        <v>Calgary North</v>
      </c>
      <c r="Q336" t="str">
        <f>IF(TRIM(RawSalesTable[[#This Row],[Payment_Method_Raw]])="","Non renseigné",SUBSTITUTE(TRIM(RawSalesTable[[#This Row],[Payment_Method_Raw]]),"CC","Credit Card"))</f>
        <v>Debit Card</v>
      </c>
      <c r="R336" s="8" t="str">
        <f>UPPER(PROPER(RawSalesTable[[#This Row],[Customer_ID]]))</f>
        <v>C0092</v>
      </c>
      <c r="S336" s="8" t="str">
        <f>TRIM(LEFT(RawSalesTable[[#This Row],[Customer_Info]],FIND(",",RawSalesTable[[#This Row],[Customer_Info]]) -1))</f>
        <v>Lucas Tremblay</v>
      </c>
      <c r="T336" s="8" t="str">
        <f>TRIM(MID(RawSalesTable[[#This Row],[Customer_Info]],FIND(",",RawSalesTable[[#This Row],[Customer_Info]])+1,FIND(",",RawSalesTable[[#This Row],[Customer_Info]],FIND(",",RawSalesTable[[#This Row],[Customer_Info]])+1)-FIND(",",RawSalesTable[[#This Row],[Customer_Info]])-1))</f>
        <v>Saskatoon</v>
      </c>
      <c r="U336" s="8" t="str">
        <f>TRIM(RIGHT(RawSalesTable[[#This Row],[Customer_Info]], LEN(RawSalesTable[[#This Row],[Customer_Info]])-FIND(",",RawSalesTable[[#This Row],[Customer_Info]],FIND(",",RawSalesTable[[#This Row],[Customer_Info]])+1)))</f>
        <v>Consumer</v>
      </c>
      <c r="V336" s="8" t="str">
        <f>VLOOKUP(RawSalesTable[[#This Row],[Product_ID]],ProductsTable[],2,FALSE)</f>
        <v>Monitor</v>
      </c>
      <c r="W336" s="8" t="str">
        <f>VLOOKUP(RawSalesTable[[#This Row],[Product_ID]],ProductsTable[],3,FALSE)</f>
        <v>Electronics</v>
      </c>
      <c r="X336" s="8">
        <f>VLOOKUP(RawSalesTable[[#This Row],[Product_ID]],ProductsTable[],5,FALSE)</f>
        <v>224.47</v>
      </c>
      <c r="Y336" s="8">
        <f>RawSalesTable[[#This Row],[Quantity]]*RawSalesTable[[#This Row],[Unit_Price]]</f>
        <v>1679.75</v>
      </c>
      <c r="Z336" s="8">
        <f>RawSalesTable[[#This Row],[Gross_Sales]]*RawSalesTable[[#This Row],[Discount_Pct]]</f>
        <v>0</v>
      </c>
      <c r="AA336" s="8">
        <f>RawSalesTable[[#This Row],[Gross_Sales]]-RawSalesTable[[#This Row],[Discount_Amount]]</f>
        <v>1679.75</v>
      </c>
      <c r="AB336" s="8">
        <f>RawSalesTable[[#This Row],[Unit_Cost]]*RawSalesTable[[#This Row],[Quantity]]</f>
        <v>1122.3499999999999</v>
      </c>
      <c r="AC336" s="8">
        <f>RawSalesTable[[#This Row],[Net_Sales]]-RawSalesTable[[#This Row],[Total_Cost]]</f>
        <v>557.40000000000009</v>
      </c>
      <c r="AD336" s="9">
        <f>RawSalesTable[[#This Row],[Profit]]/RawSalesTable[[#This Row],[Net_Sales]]</f>
        <v>0.33183509450811138</v>
      </c>
      <c r="AE336" s="8">
        <f>IF(RawSalesTable[[#This Row],[Return_Status]]="Yes",1,0)</f>
        <v>0</v>
      </c>
      <c r="AF336" s="8">
        <f>YEAR(RawSalesTable[[#This Row],[Order_Date]])</f>
        <v>2025</v>
      </c>
      <c r="AG336" s="8">
        <f>MONTH(RawSalesTable[[#This Row],[Order_Date]])</f>
        <v>3</v>
      </c>
      <c r="AH336" s="8" t="str">
        <f>TEXT(RawSalesTable[[#This Row],[Order_Date]],"mmmm")</f>
        <v>mars</v>
      </c>
      <c r="AI336" s="8" t="str">
        <f>IF(RawSalesTable[[#This Row],[Month_Number]]&lt;=3,"Q1",IF(RawSalesTable[[#This Row],[Month_Number]]&lt;=6,"Q2",IF(RawSalesTable[[#This Row],[Month_Number]]&lt;=9,"Q3","Q4")))</f>
        <v>Q1</v>
      </c>
      <c r="AJ336" s="13">
        <f>DATE(YEAR(RawSalesTable[[#This Row],[Order_Date]]),MONTH(RawSalesTable[[#This Row],[Order_Date]]),1)</f>
        <v>45717</v>
      </c>
      <c r="AK336" s="8" t="str">
        <f>VLOOKUP(RawSalesTable[[#This Row],[Customer_ID_clean]],CustomersTable[],4,FALSE)</f>
        <v>Saskatchewan</v>
      </c>
    </row>
    <row r="337" spans="1:37">
      <c r="A337" t="s">
        <v>742</v>
      </c>
      <c r="B337" s="3">
        <v>45910</v>
      </c>
      <c r="C337" t="s">
        <v>410</v>
      </c>
      <c r="D337" t="s">
        <v>133</v>
      </c>
      <c r="E337" t="s">
        <v>411</v>
      </c>
      <c r="F337" t="s">
        <v>111</v>
      </c>
      <c r="G337" t="s">
        <v>171</v>
      </c>
      <c r="H337" t="s">
        <v>89</v>
      </c>
      <c r="I337">
        <v>1</v>
      </c>
      <c r="J337" s="2">
        <v>343.98</v>
      </c>
      <c r="K337" s="4">
        <v>0.1</v>
      </c>
      <c r="L337" t="s">
        <v>106</v>
      </c>
      <c r="M337">
        <v>3</v>
      </c>
      <c r="N337" t="s">
        <v>91</v>
      </c>
      <c r="O337" t="str">
        <f>SUBSTITUTE(PROPER(TRIM(RawSalesTable[[#This Row],[Channel_Raw]])), "Market Place", "Marketplace")</f>
        <v>Online</v>
      </c>
      <c r="P337" t="str">
        <f>TRIM(RawSalesTable[[#This Row],[Store_Raw]])</f>
        <v>Montreal Central</v>
      </c>
      <c r="Q337" t="str">
        <f>IF(TRIM(RawSalesTable[[#This Row],[Payment_Method_Raw]])="","Non renseigné",SUBSTITUTE(TRIM(RawSalesTable[[#This Row],[Payment_Method_Raw]]),"CC","Credit Card"))</f>
        <v>Credit Card</v>
      </c>
      <c r="R337" s="8" t="str">
        <f>UPPER(PROPER(RawSalesTable[[#This Row],[Customer_ID]]))</f>
        <v>C0093</v>
      </c>
      <c r="S337" s="8" t="str">
        <f>TRIM(LEFT(RawSalesTable[[#This Row],[Customer_Info]],FIND(",",RawSalesTable[[#This Row],[Customer_Info]]) -1))</f>
        <v>Ethan Roy</v>
      </c>
      <c r="T337" s="8" t="str">
        <f>TRIM(MID(RawSalesTable[[#This Row],[Customer_Info]],FIND(",",RawSalesTable[[#This Row],[Customer_Info]])+1,FIND(",",RawSalesTable[[#This Row],[Customer_Info]],FIND(",",RawSalesTable[[#This Row],[Customer_Info]])+1)-FIND(",",RawSalesTable[[#This Row],[Customer_Info]])-1))</f>
        <v>Winnipeg</v>
      </c>
      <c r="U337" s="8" t="str">
        <f>TRIM(RIGHT(RawSalesTable[[#This Row],[Customer_Info]], LEN(RawSalesTable[[#This Row],[Customer_Info]])-FIND(",",RawSalesTable[[#This Row],[Customer_Info]],FIND(",",RawSalesTable[[#This Row],[Customer_Info]])+1)))</f>
        <v>Consumer</v>
      </c>
      <c r="V337" s="8" t="str">
        <f>VLOOKUP(RawSalesTable[[#This Row],[Product_ID]],ProductsTable[],2,FALSE)</f>
        <v>Travel Adapter</v>
      </c>
      <c r="W337" s="8" t="str">
        <f>VLOOKUP(RawSalesTable[[#This Row],[Product_ID]],ProductsTable[],3,FALSE)</f>
        <v>Accessories</v>
      </c>
      <c r="X337" s="8">
        <f>VLOOKUP(RawSalesTable[[#This Row],[Product_ID]],ProductsTable[],5,FALSE)</f>
        <v>229.86</v>
      </c>
      <c r="Y337" s="8">
        <f>RawSalesTable[[#This Row],[Quantity]]*RawSalesTable[[#This Row],[Unit_Price]]</f>
        <v>343.98</v>
      </c>
      <c r="Z337" s="8">
        <f>RawSalesTable[[#This Row],[Gross_Sales]]*RawSalesTable[[#This Row],[Discount_Pct]]</f>
        <v>34.398000000000003</v>
      </c>
      <c r="AA337" s="8">
        <f>RawSalesTable[[#This Row],[Gross_Sales]]-RawSalesTable[[#This Row],[Discount_Amount]]</f>
        <v>309.58199999999999</v>
      </c>
      <c r="AB337" s="8">
        <f>RawSalesTable[[#This Row],[Unit_Cost]]*RawSalesTable[[#This Row],[Quantity]]</f>
        <v>229.86</v>
      </c>
      <c r="AC337" s="8">
        <f>RawSalesTable[[#This Row],[Net_Sales]]-RawSalesTable[[#This Row],[Total_Cost]]</f>
        <v>79.72199999999998</v>
      </c>
      <c r="AD337" s="9">
        <f>RawSalesTable[[#This Row],[Profit]]/RawSalesTable[[#This Row],[Net_Sales]]</f>
        <v>0.25751497180068605</v>
      </c>
      <c r="AE337" s="8">
        <f>IF(RawSalesTable[[#This Row],[Return_Status]]="Yes",1,0)</f>
        <v>0</v>
      </c>
      <c r="AF337" s="8">
        <f>YEAR(RawSalesTable[[#This Row],[Order_Date]])</f>
        <v>2025</v>
      </c>
      <c r="AG337" s="8">
        <f>MONTH(RawSalesTable[[#This Row],[Order_Date]])</f>
        <v>9</v>
      </c>
      <c r="AH337" s="8" t="str">
        <f>TEXT(RawSalesTable[[#This Row],[Order_Date]],"mmmm")</f>
        <v>septembre</v>
      </c>
      <c r="AI337" s="8" t="str">
        <f>IF(RawSalesTable[[#This Row],[Month_Number]]&lt;=3,"Q1",IF(RawSalesTable[[#This Row],[Month_Number]]&lt;=6,"Q2",IF(RawSalesTable[[#This Row],[Month_Number]]&lt;=9,"Q3","Q4")))</f>
        <v>Q3</v>
      </c>
      <c r="AJ337" s="13">
        <f>DATE(YEAR(RawSalesTable[[#This Row],[Order_Date]]),MONTH(RawSalesTable[[#This Row],[Order_Date]]),1)</f>
        <v>45901</v>
      </c>
      <c r="AK337" s="8" t="str">
        <f>VLOOKUP(RawSalesTable[[#This Row],[Customer_ID_clean]],CustomersTable[],4,FALSE)</f>
        <v>Manitoba</v>
      </c>
    </row>
    <row r="338" spans="1:37">
      <c r="A338" t="s">
        <v>743</v>
      </c>
      <c r="B338" s="3">
        <v>45940</v>
      </c>
      <c r="C338" t="s">
        <v>265</v>
      </c>
      <c r="D338" t="s">
        <v>271</v>
      </c>
      <c r="E338" t="s">
        <v>266</v>
      </c>
      <c r="F338" t="s">
        <v>103</v>
      </c>
      <c r="G338" t="s">
        <v>122</v>
      </c>
      <c r="H338" t="s">
        <v>97</v>
      </c>
      <c r="I338">
        <v>4</v>
      </c>
      <c r="J338" s="2">
        <v>228.16</v>
      </c>
      <c r="K338" s="4">
        <v>0.15</v>
      </c>
      <c r="L338" t="s">
        <v>98</v>
      </c>
      <c r="M338">
        <v>3</v>
      </c>
      <c r="N338" t="s">
        <v>91</v>
      </c>
      <c r="O338" t="str">
        <f>SUBSTITUTE(PROPER(TRIM(RawSalesTable[[#This Row],[Channel_Raw]])), "Market Place", "Marketplace")</f>
        <v>Retail Store</v>
      </c>
      <c r="P338" t="str">
        <f>TRIM(RawSalesTable[[#This Row],[Store_Raw]])</f>
        <v>Vancouver West</v>
      </c>
      <c r="Q338" t="str">
        <f>IF(TRIM(RawSalesTable[[#This Row],[Payment_Method_Raw]])="","Non renseigné",SUBSTITUTE(TRIM(RawSalesTable[[#This Row],[Payment_Method_Raw]]),"CC","Credit Card"))</f>
        <v>Debit Card</v>
      </c>
      <c r="R338" s="8" t="str">
        <f>UPPER(PROPER(RawSalesTable[[#This Row],[Customer_ID]]))</f>
        <v>C0020</v>
      </c>
      <c r="S338" s="8" t="str">
        <f>TRIM(LEFT(RawSalesTable[[#This Row],[Customer_Info]],FIND(",",RawSalesTable[[#This Row],[Customer_Info]]) -1))</f>
        <v>Nora Khan</v>
      </c>
      <c r="T338" s="8" t="str">
        <f>TRIM(MID(RawSalesTable[[#This Row],[Customer_Info]],FIND(",",RawSalesTable[[#This Row],[Customer_Info]])+1,FIND(",",RawSalesTable[[#This Row],[Customer_Info]],FIND(",",RawSalesTable[[#This Row],[Customer_Info]])+1)-FIND(",",RawSalesTable[[#This Row],[Customer_Info]])-1))</f>
        <v>Mississauga</v>
      </c>
      <c r="U338" s="8" t="str">
        <f>TRIM(RIGHT(RawSalesTable[[#This Row],[Customer_Info]], LEN(RawSalesTable[[#This Row],[Customer_Info]])-FIND(",",RawSalesTable[[#This Row],[Customer_Info]],FIND(",",RawSalesTable[[#This Row],[Customer_Info]])+1)))</f>
        <v>Consumer</v>
      </c>
      <c r="V338" s="8" t="str">
        <f>VLOOKUP(RawSalesTable[[#This Row],[Product_ID]],ProductsTable[],2,FALSE)</f>
        <v>Resistance Bands</v>
      </c>
      <c r="W338" s="8" t="str">
        <f>VLOOKUP(RawSalesTable[[#This Row],[Product_ID]],ProductsTable[],3,FALSE)</f>
        <v>Fitness</v>
      </c>
      <c r="X338" s="8">
        <f>VLOOKUP(RawSalesTable[[#This Row],[Product_ID]],ProductsTable[],5,FALSE)</f>
        <v>139.19999999999999</v>
      </c>
      <c r="Y338" s="8">
        <f>RawSalesTable[[#This Row],[Quantity]]*RawSalesTable[[#This Row],[Unit_Price]]</f>
        <v>912.64</v>
      </c>
      <c r="Z338" s="8">
        <f>RawSalesTable[[#This Row],[Gross_Sales]]*RawSalesTable[[#This Row],[Discount_Pct]]</f>
        <v>136.89599999999999</v>
      </c>
      <c r="AA338" s="8">
        <f>RawSalesTable[[#This Row],[Gross_Sales]]-RawSalesTable[[#This Row],[Discount_Amount]]</f>
        <v>775.74400000000003</v>
      </c>
      <c r="AB338" s="8">
        <f>RawSalesTable[[#This Row],[Unit_Cost]]*RawSalesTable[[#This Row],[Quantity]]</f>
        <v>556.79999999999995</v>
      </c>
      <c r="AC338" s="8">
        <f>RawSalesTable[[#This Row],[Net_Sales]]-RawSalesTable[[#This Row],[Total_Cost]]</f>
        <v>218.94400000000007</v>
      </c>
      <c r="AD338" s="9">
        <f>RawSalesTable[[#This Row],[Profit]]/RawSalesTable[[#This Row],[Net_Sales]]</f>
        <v>0.28223743915518529</v>
      </c>
      <c r="AE338" s="8">
        <f>IF(RawSalesTable[[#This Row],[Return_Status]]="Yes",1,0)</f>
        <v>0</v>
      </c>
      <c r="AF338" s="8">
        <f>YEAR(RawSalesTable[[#This Row],[Order_Date]])</f>
        <v>2025</v>
      </c>
      <c r="AG338" s="8">
        <f>MONTH(RawSalesTable[[#This Row],[Order_Date]])</f>
        <v>10</v>
      </c>
      <c r="AH338" s="8" t="str">
        <f>TEXT(RawSalesTable[[#This Row],[Order_Date]],"mmmm")</f>
        <v>octobre</v>
      </c>
      <c r="AI338" s="8" t="str">
        <f>IF(RawSalesTable[[#This Row],[Month_Number]]&lt;=3,"Q1",IF(RawSalesTable[[#This Row],[Month_Number]]&lt;=6,"Q2",IF(RawSalesTable[[#This Row],[Month_Number]]&lt;=9,"Q3","Q4")))</f>
        <v>Q4</v>
      </c>
      <c r="AJ338" s="13">
        <f>DATE(YEAR(RawSalesTable[[#This Row],[Order_Date]]),MONTH(RawSalesTable[[#This Row],[Order_Date]]),1)</f>
        <v>45931</v>
      </c>
      <c r="AK338" s="8" t="str">
        <f>VLOOKUP(RawSalesTable[[#This Row],[Customer_ID_clean]],CustomersTable[],4,FALSE)</f>
        <v>Ontario</v>
      </c>
    </row>
    <row r="339" spans="1:37">
      <c r="A339" t="s">
        <v>744</v>
      </c>
      <c r="B339" s="3">
        <v>45820</v>
      </c>
      <c r="C339" t="s">
        <v>695</v>
      </c>
      <c r="D339" t="s">
        <v>418</v>
      </c>
      <c r="E339" t="s">
        <v>696</v>
      </c>
      <c r="F339" t="s">
        <v>111</v>
      </c>
      <c r="G339" t="s">
        <v>96</v>
      </c>
      <c r="H339" t="s">
        <v>89</v>
      </c>
      <c r="I339">
        <v>2</v>
      </c>
      <c r="J339" s="2">
        <v>369.52</v>
      </c>
      <c r="K339" s="4">
        <v>0</v>
      </c>
      <c r="L339" t="s">
        <v>253</v>
      </c>
      <c r="M339">
        <v>4</v>
      </c>
      <c r="N339" t="s">
        <v>91</v>
      </c>
      <c r="O339" t="str">
        <f>SUBSTITUTE(PROPER(TRIM(RawSalesTable[[#This Row],[Channel_Raw]])), "Market Place", "Marketplace")</f>
        <v>Online</v>
      </c>
      <c r="P339" t="str">
        <f>TRIM(RawSalesTable[[#This Row],[Store_Raw]])</f>
        <v>Montreal Central</v>
      </c>
      <c r="Q339" t="str">
        <f>IF(TRIM(RawSalesTable[[#This Row],[Payment_Method_Raw]])="","Non renseigné",SUBSTITUTE(TRIM(RawSalesTable[[#This Row],[Payment_Method_Raw]]),"CC","Credit Card"))</f>
        <v>Credit Card</v>
      </c>
      <c r="R339" s="8" t="str">
        <f>UPPER(PROPER(RawSalesTable[[#This Row],[Customer_ID]]))</f>
        <v>C0019</v>
      </c>
      <c r="S339" s="8" t="str">
        <f>TRIM(LEFT(RawSalesTable[[#This Row],[Customer_Info]],FIND(",",RawSalesTable[[#This Row],[Customer_Info]]) -1))</f>
        <v>Lucas Taylor</v>
      </c>
      <c r="T339" s="8" t="str">
        <f>TRIM(MID(RawSalesTable[[#This Row],[Customer_Info]],FIND(",",RawSalesTable[[#This Row],[Customer_Info]])+1,FIND(",",RawSalesTable[[#This Row],[Customer_Info]],FIND(",",RawSalesTable[[#This Row],[Customer_Info]])+1)-FIND(",",RawSalesTable[[#This Row],[Customer_Info]])-1))</f>
        <v>Montreal</v>
      </c>
      <c r="U339" s="8" t="str">
        <f>TRIM(RIGHT(RawSalesTable[[#This Row],[Customer_Info]], LEN(RawSalesTable[[#This Row],[Customer_Info]])-FIND(",",RawSalesTable[[#This Row],[Customer_Info]],FIND(",",RawSalesTable[[#This Row],[Customer_Info]])+1)))</f>
        <v>Small Business</v>
      </c>
      <c r="V339" s="8" t="str">
        <f>VLOOKUP(RawSalesTable[[#This Row],[Product_ID]],ProductsTable[],2,FALSE)</f>
        <v>Foam Roller</v>
      </c>
      <c r="W339" s="8" t="str">
        <f>VLOOKUP(RawSalesTable[[#This Row],[Product_ID]],ProductsTable[],3,FALSE)</f>
        <v>Fitness</v>
      </c>
      <c r="X339" s="8">
        <f>VLOOKUP(RawSalesTable[[#This Row],[Product_ID]],ProductsTable[],5,FALSE)</f>
        <v>212.02</v>
      </c>
      <c r="Y339" s="8">
        <f>RawSalesTable[[#This Row],[Quantity]]*RawSalesTable[[#This Row],[Unit_Price]]</f>
        <v>739.04</v>
      </c>
      <c r="Z339" s="8">
        <f>RawSalesTable[[#This Row],[Gross_Sales]]*RawSalesTable[[#This Row],[Discount_Pct]]</f>
        <v>0</v>
      </c>
      <c r="AA339" s="8">
        <f>RawSalesTable[[#This Row],[Gross_Sales]]-RawSalesTable[[#This Row],[Discount_Amount]]</f>
        <v>739.04</v>
      </c>
      <c r="AB339" s="8">
        <f>RawSalesTable[[#This Row],[Unit_Cost]]*RawSalesTable[[#This Row],[Quantity]]</f>
        <v>424.04</v>
      </c>
      <c r="AC339" s="8">
        <f>RawSalesTable[[#This Row],[Net_Sales]]-RawSalesTable[[#This Row],[Total_Cost]]</f>
        <v>314.99999999999994</v>
      </c>
      <c r="AD339" s="9">
        <f>RawSalesTable[[#This Row],[Profit]]/RawSalesTable[[#This Row],[Net_Sales]]</f>
        <v>0.42622862091361763</v>
      </c>
      <c r="AE339" s="8">
        <f>IF(RawSalesTable[[#This Row],[Return_Status]]="Yes",1,0)</f>
        <v>0</v>
      </c>
      <c r="AF339" s="8">
        <f>YEAR(RawSalesTable[[#This Row],[Order_Date]])</f>
        <v>2025</v>
      </c>
      <c r="AG339" s="8">
        <f>MONTH(RawSalesTable[[#This Row],[Order_Date]])</f>
        <v>6</v>
      </c>
      <c r="AH339" s="8" t="str">
        <f>TEXT(RawSalesTable[[#This Row],[Order_Date]],"mmmm")</f>
        <v>juin</v>
      </c>
      <c r="AI339" s="8" t="str">
        <f>IF(RawSalesTable[[#This Row],[Month_Number]]&lt;=3,"Q1",IF(RawSalesTable[[#This Row],[Month_Number]]&lt;=6,"Q2",IF(RawSalesTable[[#This Row],[Month_Number]]&lt;=9,"Q3","Q4")))</f>
        <v>Q2</v>
      </c>
      <c r="AJ339" s="13">
        <f>DATE(YEAR(RawSalesTable[[#This Row],[Order_Date]]),MONTH(RawSalesTable[[#This Row],[Order_Date]]),1)</f>
        <v>45809</v>
      </c>
      <c r="AK339" s="8" t="str">
        <f>VLOOKUP(RawSalesTable[[#This Row],[Customer_ID_clean]],CustomersTable[],4,FALSE)</f>
        <v>Quebec</v>
      </c>
    </row>
    <row r="340" spans="1:37">
      <c r="A340" t="s">
        <v>745</v>
      </c>
      <c r="B340" s="3">
        <v>45946</v>
      </c>
      <c r="C340" t="s">
        <v>661</v>
      </c>
      <c r="D340" t="s">
        <v>249</v>
      </c>
      <c r="E340" t="s">
        <v>662</v>
      </c>
      <c r="F340" t="s">
        <v>111</v>
      </c>
      <c r="G340" t="s">
        <v>171</v>
      </c>
      <c r="H340" t="s">
        <v>89</v>
      </c>
      <c r="I340">
        <v>2</v>
      </c>
      <c r="J340" s="2">
        <v>430.93</v>
      </c>
      <c r="K340" s="4">
        <v>0.15</v>
      </c>
      <c r="L340" t="s">
        <v>106</v>
      </c>
      <c r="M340">
        <v>4</v>
      </c>
      <c r="N340" t="s">
        <v>91</v>
      </c>
      <c r="O340" t="str">
        <f>SUBSTITUTE(PROPER(TRIM(RawSalesTable[[#This Row],[Channel_Raw]])), "Market Place", "Marketplace")</f>
        <v>Online</v>
      </c>
      <c r="P340" t="str">
        <f>TRIM(RawSalesTable[[#This Row],[Store_Raw]])</f>
        <v>Montreal Central</v>
      </c>
      <c r="Q340" t="str">
        <f>IF(TRIM(RawSalesTable[[#This Row],[Payment_Method_Raw]])="","Non renseigné",SUBSTITUTE(TRIM(RawSalesTable[[#This Row],[Payment_Method_Raw]]),"CC","Credit Card"))</f>
        <v>Credit Card</v>
      </c>
      <c r="R340" s="8" t="str">
        <f>UPPER(PROPER(RawSalesTable[[#This Row],[Customer_ID]]))</f>
        <v>C0111</v>
      </c>
      <c r="S340" s="8" t="str">
        <f>TRIM(LEFT(RawSalesTable[[#This Row],[Customer_Info]],FIND(",",RawSalesTable[[#This Row],[Customer_Info]]) -1))</f>
        <v>Noah Khan</v>
      </c>
      <c r="T340" s="8" t="str">
        <f>TRIM(MID(RawSalesTable[[#This Row],[Customer_Info]],FIND(",",RawSalesTable[[#This Row],[Customer_Info]])+1,FIND(",",RawSalesTable[[#This Row],[Customer_Info]],FIND(",",RawSalesTable[[#This Row],[Customer_Info]])+1)-FIND(",",RawSalesTable[[#This Row],[Customer_Info]])-1))</f>
        <v>Halifax</v>
      </c>
      <c r="U340" s="8" t="str">
        <f>TRIM(RIGHT(RawSalesTable[[#This Row],[Customer_Info]], LEN(RawSalesTable[[#This Row],[Customer_Info]])-FIND(",",RawSalesTable[[#This Row],[Customer_Info]],FIND(",",RawSalesTable[[#This Row],[Customer_Info]])+1)))</f>
        <v>Consumer</v>
      </c>
      <c r="V340" s="8" t="str">
        <f>VLOOKUP(RawSalesTable[[#This Row],[Product_ID]],ProductsTable[],2,FALSE)</f>
        <v>Humidifier</v>
      </c>
      <c r="W340" s="8" t="str">
        <f>VLOOKUP(RawSalesTable[[#This Row],[Product_ID]],ProductsTable[],3,FALSE)</f>
        <v>Home</v>
      </c>
      <c r="X340" s="8">
        <f>VLOOKUP(RawSalesTable[[#This Row],[Product_ID]],ProductsTable[],5,FALSE)</f>
        <v>239.67</v>
      </c>
      <c r="Y340" s="8">
        <f>RawSalesTable[[#This Row],[Quantity]]*RawSalesTable[[#This Row],[Unit_Price]]</f>
        <v>861.86</v>
      </c>
      <c r="Z340" s="8">
        <f>RawSalesTable[[#This Row],[Gross_Sales]]*RawSalesTable[[#This Row],[Discount_Pct]]</f>
        <v>129.279</v>
      </c>
      <c r="AA340" s="8">
        <f>RawSalesTable[[#This Row],[Gross_Sales]]-RawSalesTable[[#This Row],[Discount_Amount]]</f>
        <v>732.58100000000002</v>
      </c>
      <c r="AB340" s="8">
        <f>RawSalesTable[[#This Row],[Unit_Cost]]*RawSalesTable[[#This Row],[Quantity]]</f>
        <v>479.34</v>
      </c>
      <c r="AC340" s="8">
        <f>RawSalesTable[[#This Row],[Net_Sales]]-RawSalesTable[[#This Row],[Total_Cost]]</f>
        <v>253.24100000000004</v>
      </c>
      <c r="AD340" s="9">
        <f>RawSalesTable[[#This Row],[Profit]]/RawSalesTable[[#This Row],[Net_Sales]]</f>
        <v>0.34568327597903853</v>
      </c>
      <c r="AE340" s="8">
        <f>IF(RawSalesTable[[#This Row],[Return_Status]]="Yes",1,0)</f>
        <v>0</v>
      </c>
      <c r="AF340" s="8">
        <f>YEAR(RawSalesTable[[#This Row],[Order_Date]])</f>
        <v>2025</v>
      </c>
      <c r="AG340" s="8">
        <f>MONTH(RawSalesTable[[#This Row],[Order_Date]])</f>
        <v>10</v>
      </c>
      <c r="AH340" s="8" t="str">
        <f>TEXT(RawSalesTable[[#This Row],[Order_Date]],"mmmm")</f>
        <v>octobre</v>
      </c>
      <c r="AI340" s="8" t="str">
        <f>IF(RawSalesTable[[#This Row],[Month_Number]]&lt;=3,"Q1",IF(RawSalesTable[[#This Row],[Month_Number]]&lt;=6,"Q2",IF(RawSalesTable[[#This Row],[Month_Number]]&lt;=9,"Q3","Q4")))</f>
        <v>Q4</v>
      </c>
      <c r="AJ340" s="13">
        <f>DATE(YEAR(RawSalesTable[[#This Row],[Order_Date]]),MONTH(RawSalesTable[[#This Row],[Order_Date]]),1)</f>
        <v>45931</v>
      </c>
      <c r="AK340" s="8" t="str">
        <f>VLOOKUP(RawSalesTable[[#This Row],[Customer_ID_clean]],CustomersTable[],4,FALSE)</f>
        <v>Nova Scotia</v>
      </c>
    </row>
    <row r="341" spans="1:37">
      <c r="A341" t="s">
        <v>746</v>
      </c>
      <c r="B341" s="3">
        <v>45749</v>
      </c>
      <c r="C341" t="s">
        <v>239</v>
      </c>
      <c r="D341" t="s">
        <v>738</v>
      </c>
      <c r="E341" t="s">
        <v>240</v>
      </c>
      <c r="F341" t="s">
        <v>116</v>
      </c>
      <c r="G341" t="s">
        <v>88</v>
      </c>
      <c r="H341" t="s">
        <v>89</v>
      </c>
      <c r="I341">
        <v>3</v>
      </c>
      <c r="J341" s="2">
        <v>319.5</v>
      </c>
      <c r="K341" s="4">
        <v>0</v>
      </c>
      <c r="L341" t="s">
        <v>98</v>
      </c>
      <c r="M341">
        <v>2</v>
      </c>
      <c r="N341" t="s">
        <v>91</v>
      </c>
      <c r="O341" t="str">
        <f>SUBSTITUTE(PROPER(TRIM(RawSalesTable[[#This Row],[Channel_Raw]])), "Market Place", "Marketplace")</f>
        <v>Online</v>
      </c>
      <c r="P341" t="str">
        <f>TRIM(RawSalesTable[[#This Row],[Store_Raw]])</f>
        <v>Toronto Downtown</v>
      </c>
      <c r="Q341" t="str">
        <f>IF(TRIM(RawSalesTable[[#This Row],[Payment_Method_Raw]])="","Non renseigné",SUBSTITUTE(TRIM(RawSalesTable[[#This Row],[Payment_Method_Raw]]),"CC","Credit Card"))</f>
        <v>Debit Card</v>
      </c>
      <c r="R341" s="8" t="str">
        <f>UPPER(PROPER(RawSalesTable[[#This Row],[Customer_ID]]))</f>
        <v>C0089</v>
      </c>
      <c r="S341" s="8" t="str">
        <f>TRIM(LEFT(RawSalesTable[[#This Row],[Customer_Info]],FIND(",",RawSalesTable[[#This Row],[Customer_Info]]) -1))</f>
        <v>Lucas Martin</v>
      </c>
      <c r="T341" s="8" t="str">
        <f>TRIM(MID(RawSalesTable[[#This Row],[Customer_Info]],FIND(",",RawSalesTable[[#This Row],[Customer_Info]])+1,FIND(",",RawSalesTable[[#This Row],[Customer_Info]],FIND(",",RawSalesTable[[#This Row],[Customer_Info]])+1)-FIND(",",RawSalesTable[[#This Row],[Customer_Info]])-1))</f>
        <v>Vancouver</v>
      </c>
      <c r="U341" s="8" t="str">
        <f>TRIM(RIGHT(RawSalesTable[[#This Row],[Customer_Info]], LEN(RawSalesTable[[#This Row],[Customer_Info]])-FIND(",",RawSalesTable[[#This Row],[Customer_Info]],FIND(",",RawSalesTable[[#This Row],[Customer_Info]])+1)))</f>
        <v>Consumer</v>
      </c>
      <c r="V341" s="8" t="str">
        <f>VLOOKUP(RawSalesTable[[#This Row],[Product_ID]],ProductsTable[],2,FALSE)</f>
        <v>Printer</v>
      </c>
      <c r="W341" s="8" t="str">
        <f>VLOOKUP(RawSalesTable[[#This Row],[Product_ID]],ProductsTable[],3,FALSE)</f>
        <v>Office</v>
      </c>
      <c r="X341" s="8">
        <f>VLOOKUP(RawSalesTable[[#This Row],[Product_ID]],ProductsTable[],5,FALSE)</f>
        <v>156.75</v>
      </c>
      <c r="Y341" s="8">
        <f>RawSalesTable[[#This Row],[Quantity]]*RawSalesTable[[#This Row],[Unit_Price]]</f>
        <v>958.5</v>
      </c>
      <c r="Z341" s="8">
        <f>RawSalesTable[[#This Row],[Gross_Sales]]*RawSalesTable[[#This Row],[Discount_Pct]]</f>
        <v>0</v>
      </c>
      <c r="AA341" s="8">
        <f>RawSalesTable[[#This Row],[Gross_Sales]]-RawSalesTable[[#This Row],[Discount_Amount]]</f>
        <v>958.5</v>
      </c>
      <c r="AB341" s="8">
        <f>RawSalesTable[[#This Row],[Unit_Cost]]*RawSalesTable[[#This Row],[Quantity]]</f>
        <v>470.25</v>
      </c>
      <c r="AC341" s="8">
        <f>RawSalesTable[[#This Row],[Net_Sales]]-RawSalesTable[[#This Row],[Total_Cost]]</f>
        <v>488.25</v>
      </c>
      <c r="AD341" s="9">
        <f>RawSalesTable[[#This Row],[Profit]]/RawSalesTable[[#This Row],[Net_Sales]]</f>
        <v>0.50938967136150237</v>
      </c>
      <c r="AE341" s="8">
        <f>IF(RawSalesTable[[#This Row],[Return_Status]]="Yes",1,0)</f>
        <v>0</v>
      </c>
      <c r="AF341" s="8">
        <f>YEAR(RawSalesTable[[#This Row],[Order_Date]])</f>
        <v>2025</v>
      </c>
      <c r="AG341" s="8">
        <f>MONTH(RawSalesTable[[#This Row],[Order_Date]])</f>
        <v>4</v>
      </c>
      <c r="AH341" s="8" t="str">
        <f>TEXT(RawSalesTable[[#This Row],[Order_Date]],"mmmm")</f>
        <v>avril</v>
      </c>
      <c r="AI341" s="8" t="str">
        <f>IF(RawSalesTable[[#This Row],[Month_Number]]&lt;=3,"Q1",IF(RawSalesTable[[#This Row],[Month_Number]]&lt;=6,"Q2",IF(RawSalesTable[[#This Row],[Month_Number]]&lt;=9,"Q3","Q4")))</f>
        <v>Q2</v>
      </c>
      <c r="AJ341" s="13">
        <f>DATE(YEAR(RawSalesTable[[#This Row],[Order_Date]]),MONTH(RawSalesTable[[#This Row],[Order_Date]]),1)</f>
        <v>45748</v>
      </c>
      <c r="AK341" s="8" t="str">
        <f>VLOOKUP(RawSalesTable[[#This Row],[Customer_ID_clean]],CustomersTable[],4,FALSE)</f>
        <v>British Columbia</v>
      </c>
    </row>
    <row r="342" spans="1:37">
      <c r="A342" t="s">
        <v>747</v>
      </c>
      <c r="B342" s="3">
        <v>45681</v>
      </c>
      <c r="C342" t="s">
        <v>177</v>
      </c>
      <c r="D342" t="s">
        <v>125</v>
      </c>
      <c r="E342" t="s">
        <v>178</v>
      </c>
      <c r="F342" t="s">
        <v>145</v>
      </c>
      <c r="G342" t="s">
        <v>183</v>
      </c>
      <c r="H342" t="s">
        <v>97</v>
      </c>
      <c r="I342">
        <v>1</v>
      </c>
      <c r="J342" s="2">
        <v>56.55</v>
      </c>
      <c r="K342" s="4">
        <v>0.1</v>
      </c>
      <c r="L342" t="s">
        <v>98</v>
      </c>
      <c r="M342">
        <v>4</v>
      </c>
      <c r="N342" t="s">
        <v>91</v>
      </c>
      <c r="O342" t="str">
        <f>SUBSTITUTE(PROPER(TRIM(RawSalesTable[[#This Row],[Channel_Raw]])), "Market Place", "Marketplace")</f>
        <v>Retail Store</v>
      </c>
      <c r="P342" t="str">
        <f>TRIM(RawSalesTable[[#This Row],[Store_Raw]])</f>
        <v>Calgary North</v>
      </c>
      <c r="Q342" t="str">
        <f>IF(TRIM(RawSalesTable[[#This Row],[Payment_Method_Raw]])="","Non renseigné",SUBSTITUTE(TRIM(RawSalesTable[[#This Row],[Payment_Method_Raw]]),"CC","Credit Card"))</f>
        <v>Debit Card</v>
      </c>
      <c r="R342" s="8" t="str">
        <f>UPPER(PROPER(RawSalesTable[[#This Row],[Customer_ID]]))</f>
        <v>C0041</v>
      </c>
      <c r="S342" s="8" t="str">
        <f>TRIM(LEFT(RawSalesTable[[#This Row],[Customer_Info]],FIND(",",RawSalesTable[[#This Row],[Customer_Info]]) -1))</f>
        <v>Amine Chen</v>
      </c>
      <c r="T342" s="8" t="str">
        <f>TRIM(MID(RawSalesTable[[#This Row],[Customer_Info]],FIND(",",RawSalesTable[[#This Row],[Customer_Info]])+1,FIND(",",RawSalesTable[[#This Row],[Customer_Info]],FIND(",",RawSalesTable[[#This Row],[Customer_Info]])+1)-FIND(",",RawSalesTable[[#This Row],[Customer_Info]])-1))</f>
        <v>Halifax</v>
      </c>
      <c r="U342" s="8" t="str">
        <f>TRIM(RIGHT(RawSalesTable[[#This Row],[Customer_Info]], LEN(RawSalesTable[[#This Row],[Customer_Info]])-FIND(",",RawSalesTable[[#This Row],[Customer_Info]],FIND(",",RawSalesTable[[#This Row],[Customer_Info]])+1)))</f>
        <v>Small Business</v>
      </c>
      <c r="V342" s="8" t="str">
        <f>VLOOKUP(RawSalesTable[[#This Row],[Product_ID]],ProductsTable[],2,FALSE)</f>
        <v>Kettlebell</v>
      </c>
      <c r="W342" s="8" t="str">
        <f>VLOOKUP(RawSalesTable[[#This Row],[Product_ID]],ProductsTable[],3,FALSE)</f>
        <v>Fitness</v>
      </c>
      <c r="X342" s="8">
        <f>VLOOKUP(RawSalesTable[[#This Row],[Product_ID]],ProductsTable[],5,FALSE)</f>
        <v>25.97</v>
      </c>
      <c r="Y342" s="8">
        <f>RawSalesTable[[#This Row],[Quantity]]*RawSalesTable[[#This Row],[Unit_Price]]</f>
        <v>56.55</v>
      </c>
      <c r="Z342" s="8">
        <f>RawSalesTable[[#This Row],[Gross_Sales]]*RawSalesTable[[#This Row],[Discount_Pct]]</f>
        <v>5.6550000000000002</v>
      </c>
      <c r="AA342" s="8">
        <f>RawSalesTable[[#This Row],[Gross_Sales]]-RawSalesTable[[#This Row],[Discount_Amount]]</f>
        <v>50.894999999999996</v>
      </c>
      <c r="AB342" s="8">
        <f>RawSalesTable[[#This Row],[Unit_Cost]]*RawSalesTable[[#This Row],[Quantity]]</f>
        <v>25.97</v>
      </c>
      <c r="AC342" s="8">
        <f>RawSalesTable[[#This Row],[Net_Sales]]-RawSalesTable[[#This Row],[Total_Cost]]</f>
        <v>24.924999999999997</v>
      </c>
      <c r="AD342" s="9">
        <f>RawSalesTable[[#This Row],[Profit]]/RawSalesTable[[#This Row],[Net_Sales]]</f>
        <v>0.48973376559583454</v>
      </c>
      <c r="AE342" s="8">
        <f>IF(RawSalesTable[[#This Row],[Return_Status]]="Yes",1,0)</f>
        <v>0</v>
      </c>
      <c r="AF342" s="8">
        <f>YEAR(RawSalesTable[[#This Row],[Order_Date]])</f>
        <v>2025</v>
      </c>
      <c r="AG342" s="8">
        <f>MONTH(RawSalesTable[[#This Row],[Order_Date]])</f>
        <v>1</v>
      </c>
      <c r="AH342" s="8" t="str">
        <f>TEXT(RawSalesTable[[#This Row],[Order_Date]],"mmmm")</f>
        <v>janvier</v>
      </c>
      <c r="AI342" s="8" t="str">
        <f>IF(RawSalesTable[[#This Row],[Month_Number]]&lt;=3,"Q1",IF(RawSalesTable[[#This Row],[Month_Number]]&lt;=6,"Q2",IF(RawSalesTable[[#This Row],[Month_Number]]&lt;=9,"Q3","Q4")))</f>
        <v>Q1</v>
      </c>
      <c r="AJ342" s="13">
        <f>DATE(YEAR(RawSalesTable[[#This Row],[Order_Date]]),MONTH(RawSalesTable[[#This Row],[Order_Date]]),1)</f>
        <v>45658</v>
      </c>
      <c r="AK342" s="8" t="str">
        <f>VLOOKUP(RawSalesTable[[#This Row],[Customer_ID_clean]],CustomersTable[],4,FALSE)</f>
        <v>Nova Scotia</v>
      </c>
    </row>
    <row r="343" spans="1:37">
      <c r="A343" t="s">
        <v>748</v>
      </c>
      <c r="B343" s="3">
        <v>45937</v>
      </c>
      <c r="C343" t="s">
        <v>124</v>
      </c>
      <c r="D343" t="s">
        <v>323</v>
      </c>
      <c r="E343" t="s">
        <v>126</v>
      </c>
      <c r="F343" t="s">
        <v>116</v>
      </c>
      <c r="G343" t="s">
        <v>88</v>
      </c>
      <c r="H343" t="s">
        <v>89</v>
      </c>
      <c r="I343">
        <v>2</v>
      </c>
      <c r="J343" s="2">
        <v>330.56</v>
      </c>
      <c r="K343" s="4">
        <v>0.2</v>
      </c>
      <c r="L343" t="s">
        <v>441</v>
      </c>
      <c r="M343">
        <v>3</v>
      </c>
      <c r="N343" t="s">
        <v>91</v>
      </c>
      <c r="O343" t="str">
        <f>SUBSTITUTE(PROPER(TRIM(RawSalesTable[[#This Row],[Channel_Raw]])), "Market Place", "Marketplace")</f>
        <v>Online</v>
      </c>
      <c r="P343" t="str">
        <f>TRIM(RawSalesTable[[#This Row],[Store_Raw]])</f>
        <v>Toronto Downtown</v>
      </c>
      <c r="Q343" t="str">
        <f>IF(TRIM(RawSalesTable[[#This Row],[Payment_Method_Raw]])="","Non renseigné",SUBSTITUTE(TRIM(RawSalesTable[[#This Row],[Payment_Method_Raw]]),"CC","Credit Card"))</f>
        <v>credit card</v>
      </c>
      <c r="R343" s="8" t="str">
        <f>UPPER(PROPER(RawSalesTable[[#This Row],[Customer_ID]]))</f>
        <v>C0021</v>
      </c>
      <c r="S343" s="8" t="str">
        <f>TRIM(LEFT(RawSalesTable[[#This Row],[Customer_Info]],FIND(",",RawSalesTable[[#This Row],[Customer_Info]]) -1))</f>
        <v>Nora King</v>
      </c>
      <c r="T343" s="8" t="str">
        <f>TRIM(MID(RawSalesTable[[#This Row],[Customer_Info]],FIND(",",RawSalesTable[[#This Row],[Customer_Info]])+1,FIND(",",RawSalesTable[[#This Row],[Customer_Info]],FIND(",",RawSalesTable[[#This Row],[Customer_Info]])+1)-FIND(",",RawSalesTable[[#This Row],[Customer_Info]])-1))</f>
        <v>Halifax</v>
      </c>
      <c r="U343" s="8" t="str">
        <f>TRIM(RIGHT(RawSalesTable[[#This Row],[Customer_Info]], LEN(RawSalesTable[[#This Row],[Customer_Info]])-FIND(",",RawSalesTable[[#This Row],[Customer_Info]],FIND(",",RawSalesTable[[#This Row],[Customer_Info]])+1)))</f>
        <v>Corporate</v>
      </c>
      <c r="V343" s="8" t="str">
        <f>VLOOKUP(RawSalesTable[[#This Row],[Product_ID]],ProductsTable[],2,FALSE)</f>
        <v>Toaster</v>
      </c>
      <c r="W343" s="8" t="str">
        <f>VLOOKUP(RawSalesTable[[#This Row],[Product_ID]],ProductsTable[],3,FALSE)</f>
        <v>Home</v>
      </c>
      <c r="X343" s="8">
        <f>VLOOKUP(RawSalesTable[[#This Row],[Product_ID]],ProductsTable[],5,FALSE)</f>
        <v>152.88</v>
      </c>
      <c r="Y343" s="8">
        <f>RawSalesTable[[#This Row],[Quantity]]*RawSalesTable[[#This Row],[Unit_Price]]</f>
        <v>661.12</v>
      </c>
      <c r="Z343" s="8">
        <f>RawSalesTable[[#This Row],[Gross_Sales]]*RawSalesTable[[#This Row],[Discount_Pct]]</f>
        <v>132.22400000000002</v>
      </c>
      <c r="AA343" s="8">
        <f>RawSalesTable[[#This Row],[Gross_Sales]]-RawSalesTable[[#This Row],[Discount_Amount]]</f>
        <v>528.89599999999996</v>
      </c>
      <c r="AB343" s="8">
        <f>RawSalesTable[[#This Row],[Unit_Cost]]*RawSalesTable[[#This Row],[Quantity]]</f>
        <v>305.76</v>
      </c>
      <c r="AC343" s="8">
        <f>RawSalesTable[[#This Row],[Net_Sales]]-RawSalesTable[[#This Row],[Total_Cost]]</f>
        <v>223.13599999999997</v>
      </c>
      <c r="AD343" s="9">
        <f>RawSalesTable[[#This Row],[Profit]]/RawSalesTable[[#This Row],[Net_Sales]]</f>
        <v>0.42189012584704738</v>
      </c>
      <c r="AE343" s="8">
        <f>IF(RawSalesTable[[#This Row],[Return_Status]]="Yes",1,0)</f>
        <v>0</v>
      </c>
      <c r="AF343" s="8">
        <f>YEAR(RawSalesTable[[#This Row],[Order_Date]])</f>
        <v>2025</v>
      </c>
      <c r="AG343" s="8">
        <f>MONTH(RawSalesTable[[#This Row],[Order_Date]])</f>
        <v>10</v>
      </c>
      <c r="AH343" s="8" t="str">
        <f>TEXT(RawSalesTable[[#This Row],[Order_Date]],"mmmm")</f>
        <v>octobre</v>
      </c>
      <c r="AI343" s="8" t="str">
        <f>IF(RawSalesTable[[#This Row],[Month_Number]]&lt;=3,"Q1",IF(RawSalesTable[[#This Row],[Month_Number]]&lt;=6,"Q2",IF(RawSalesTable[[#This Row],[Month_Number]]&lt;=9,"Q3","Q4")))</f>
        <v>Q4</v>
      </c>
      <c r="AJ343" s="13">
        <f>DATE(YEAR(RawSalesTable[[#This Row],[Order_Date]]),MONTH(RawSalesTable[[#This Row],[Order_Date]]),1)</f>
        <v>45931</v>
      </c>
      <c r="AK343" s="8" t="str">
        <f>VLOOKUP(RawSalesTable[[#This Row],[Customer_ID_clean]],CustomersTable[],4,FALSE)</f>
        <v>Nova Scotia</v>
      </c>
    </row>
    <row r="344" spans="1:37">
      <c r="A344" t="s">
        <v>749</v>
      </c>
      <c r="B344" s="3">
        <v>45950</v>
      </c>
      <c r="C344" t="s">
        <v>239</v>
      </c>
      <c r="D344" t="s">
        <v>255</v>
      </c>
      <c r="E344" t="s">
        <v>240</v>
      </c>
      <c r="F344" t="s">
        <v>145</v>
      </c>
      <c r="G344" t="s">
        <v>122</v>
      </c>
      <c r="H344" t="s">
        <v>89</v>
      </c>
      <c r="I344">
        <v>1</v>
      </c>
      <c r="J344" s="2">
        <v>249.26</v>
      </c>
      <c r="K344" s="4">
        <v>0.2</v>
      </c>
      <c r="L344" t="s">
        <v>106</v>
      </c>
      <c r="M344">
        <v>7</v>
      </c>
      <c r="N344" t="s">
        <v>91</v>
      </c>
      <c r="O344" t="str">
        <f>SUBSTITUTE(PROPER(TRIM(RawSalesTable[[#This Row],[Channel_Raw]])), "Market Place", "Marketplace")</f>
        <v>Online</v>
      </c>
      <c r="P344" t="str">
        <f>TRIM(RawSalesTable[[#This Row],[Store_Raw]])</f>
        <v>Calgary North</v>
      </c>
      <c r="Q344" t="str">
        <f>IF(TRIM(RawSalesTable[[#This Row],[Payment_Method_Raw]])="","Non renseigné",SUBSTITUTE(TRIM(RawSalesTable[[#This Row],[Payment_Method_Raw]]),"CC","Credit Card"))</f>
        <v>Credit Card</v>
      </c>
      <c r="R344" s="8" t="str">
        <f>UPPER(PROPER(RawSalesTable[[#This Row],[Customer_ID]]))</f>
        <v>C0089</v>
      </c>
      <c r="S344" s="8" t="str">
        <f>TRIM(LEFT(RawSalesTable[[#This Row],[Customer_Info]],FIND(",",RawSalesTable[[#This Row],[Customer_Info]]) -1))</f>
        <v>Lucas Martin</v>
      </c>
      <c r="T344" s="8" t="str">
        <f>TRIM(MID(RawSalesTable[[#This Row],[Customer_Info]],FIND(",",RawSalesTable[[#This Row],[Customer_Info]])+1,FIND(",",RawSalesTable[[#This Row],[Customer_Info]],FIND(",",RawSalesTable[[#This Row],[Customer_Info]])+1)-FIND(",",RawSalesTable[[#This Row],[Customer_Info]])-1))</f>
        <v>Vancouver</v>
      </c>
      <c r="U344" s="8" t="str">
        <f>TRIM(RIGHT(RawSalesTable[[#This Row],[Customer_Info]], LEN(RawSalesTable[[#This Row],[Customer_Info]])-FIND(",",RawSalesTable[[#This Row],[Customer_Info]],FIND(",",RawSalesTable[[#This Row],[Customer_Info]])+1)))</f>
        <v>Consumer</v>
      </c>
      <c r="V344" s="8" t="str">
        <f>VLOOKUP(RawSalesTable[[#This Row],[Product_ID]],ProductsTable[],2,FALSE)</f>
        <v>Document Shredder</v>
      </c>
      <c r="W344" s="8" t="str">
        <f>VLOOKUP(RawSalesTable[[#This Row],[Product_ID]],ProductsTable[],3,FALSE)</f>
        <v>Office</v>
      </c>
      <c r="X344" s="8">
        <f>VLOOKUP(RawSalesTable[[#This Row],[Product_ID]],ProductsTable[],5,FALSE)</f>
        <v>117.65</v>
      </c>
      <c r="Y344" s="8">
        <f>RawSalesTable[[#This Row],[Quantity]]*RawSalesTable[[#This Row],[Unit_Price]]</f>
        <v>249.26</v>
      </c>
      <c r="Z344" s="8">
        <f>RawSalesTable[[#This Row],[Gross_Sales]]*RawSalesTable[[#This Row],[Discount_Pct]]</f>
        <v>49.852000000000004</v>
      </c>
      <c r="AA344" s="8">
        <f>RawSalesTable[[#This Row],[Gross_Sales]]-RawSalesTable[[#This Row],[Discount_Amount]]</f>
        <v>199.40799999999999</v>
      </c>
      <c r="AB344" s="8">
        <f>RawSalesTable[[#This Row],[Unit_Cost]]*RawSalesTable[[#This Row],[Quantity]]</f>
        <v>117.65</v>
      </c>
      <c r="AC344" s="8">
        <f>RawSalesTable[[#This Row],[Net_Sales]]-RawSalesTable[[#This Row],[Total_Cost]]</f>
        <v>81.757999999999981</v>
      </c>
      <c r="AD344" s="9">
        <f>RawSalesTable[[#This Row],[Profit]]/RawSalesTable[[#This Row],[Net_Sales]]</f>
        <v>0.41000361068763536</v>
      </c>
      <c r="AE344" s="8">
        <f>IF(RawSalesTable[[#This Row],[Return_Status]]="Yes",1,0)</f>
        <v>0</v>
      </c>
      <c r="AF344" s="8">
        <f>YEAR(RawSalesTable[[#This Row],[Order_Date]])</f>
        <v>2025</v>
      </c>
      <c r="AG344" s="8">
        <f>MONTH(RawSalesTable[[#This Row],[Order_Date]])</f>
        <v>10</v>
      </c>
      <c r="AH344" s="8" t="str">
        <f>TEXT(RawSalesTable[[#This Row],[Order_Date]],"mmmm")</f>
        <v>octobre</v>
      </c>
      <c r="AI344" s="8" t="str">
        <f>IF(RawSalesTable[[#This Row],[Month_Number]]&lt;=3,"Q1",IF(RawSalesTable[[#This Row],[Month_Number]]&lt;=6,"Q2",IF(RawSalesTable[[#This Row],[Month_Number]]&lt;=9,"Q3","Q4")))</f>
        <v>Q4</v>
      </c>
      <c r="AJ344" s="13">
        <f>DATE(YEAR(RawSalesTable[[#This Row],[Order_Date]]),MONTH(RawSalesTable[[#This Row],[Order_Date]]),1)</f>
        <v>45931</v>
      </c>
      <c r="AK344" s="8" t="str">
        <f>VLOOKUP(RawSalesTable[[#This Row],[Customer_ID_clean]],CustomersTable[],4,FALSE)</f>
        <v>British Columbia</v>
      </c>
    </row>
    <row r="345" spans="1:37">
      <c r="A345" t="s">
        <v>750</v>
      </c>
      <c r="B345" s="3">
        <v>45702</v>
      </c>
      <c r="C345" t="s">
        <v>220</v>
      </c>
      <c r="D345" t="s">
        <v>152</v>
      </c>
      <c r="E345" t="s">
        <v>222</v>
      </c>
      <c r="F345" t="s">
        <v>103</v>
      </c>
      <c r="G345" t="s">
        <v>130</v>
      </c>
      <c r="H345" t="s">
        <v>233</v>
      </c>
      <c r="I345">
        <v>1</v>
      </c>
      <c r="J345" s="2">
        <v>141.25</v>
      </c>
      <c r="K345" s="4">
        <v>0.15</v>
      </c>
      <c r="L345" t="s">
        <v>90</v>
      </c>
      <c r="M345">
        <v>4</v>
      </c>
      <c r="N345" t="s">
        <v>91</v>
      </c>
      <c r="O345" t="str">
        <f>SUBSTITUTE(PROPER(TRIM(RawSalesTable[[#This Row],[Channel_Raw]])), "Market Place", "Marketplace")</f>
        <v>Retail Store</v>
      </c>
      <c r="P345" t="str">
        <f>TRIM(RawSalesTable[[#This Row],[Store_Raw]])</f>
        <v>Vancouver West</v>
      </c>
      <c r="Q345" t="str">
        <f>IF(TRIM(RawSalesTable[[#This Row],[Payment_Method_Raw]])="","Non renseigné",SUBSTITUTE(TRIM(RawSalesTable[[#This Row],[Payment_Method_Raw]]),"CC","Credit Card"))</f>
        <v>PayPal</v>
      </c>
      <c r="R345" s="8" t="str">
        <f>UPPER(PROPER(RawSalesTable[[#This Row],[Customer_ID]]))</f>
        <v>C0067</v>
      </c>
      <c r="S345" s="8" t="str">
        <f>TRIM(LEFT(RawSalesTable[[#This Row],[Customer_Info]],FIND(",",RawSalesTable[[#This Row],[Customer_Info]]) -1))</f>
        <v>Leo Bennett</v>
      </c>
      <c r="T345" s="8" t="str">
        <f>TRIM(MID(RawSalesTable[[#This Row],[Customer_Info]],FIND(",",RawSalesTable[[#This Row],[Customer_Info]])+1,FIND(",",RawSalesTable[[#This Row],[Customer_Info]],FIND(",",RawSalesTable[[#This Row],[Customer_Info]])+1)-FIND(",",RawSalesTable[[#This Row],[Customer_Info]])-1))</f>
        <v>Mississauga</v>
      </c>
      <c r="U345" s="8" t="str">
        <f>TRIM(RIGHT(RawSalesTable[[#This Row],[Customer_Info]], LEN(RawSalesTable[[#This Row],[Customer_Info]])-FIND(",",RawSalesTable[[#This Row],[Customer_Info]],FIND(",",RawSalesTable[[#This Row],[Customer_Info]])+1)))</f>
        <v>Consumer</v>
      </c>
      <c r="V345" s="8" t="str">
        <f>VLOOKUP(RawSalesTable[[#This Row],[Product_ID]],ProductsTable[],2,FALSE)</f>
        <v>Smart Speaker</v>
      </c>
      <c r="W345" s="8" t="str">
        <f>VLOOKUP(RawSalesTable[[#This Row],[Product_ID]],ProductsTable[],3,FALSE)</f>
        <v>Electronics</v>
      </c>
      <c r="X345" s="8">
        <f>VLOOKUP(RawSalesTable[[#This Row],[Product_ID]],ProductsTable[],5,FALSE)</f>
        <v>69</v>
      </c>
      <c r="Y345" s="8">
        <f>RawSalesTable[[#This Row],[Quantity]]*RawSalesTable[[#This Row],[Unit_Price]]</f>
        <v>141.25</v>
      </c>
      <c r="Z345" s="8">
        <f>RawSalesTable[[#This Row],[Gross_Sales]]*RawSalesTable[[#This Row],[Discount_Pct]]</f>
        <v>21.1875</v>
      </c>
      <c r="AA345" s="8">
        <f>RawSalesTable[[#This Row],[Gross_Sales]]-RawSalesTable[[#This Row],[Discount_Amount]]</f>
        <v>120.0625</v>
      </c>
      <c r="AB345" s="8">
        <f>RawSalesTable[[#This Row],[Unit_Cost]]*RawSalesTable[[#This Row],[Quantity]]</f>
        <v>69</v>
      </c>
      <c r="AC345" s="8">
        <f>RawSalesTable[[#This Row],[Net_Sales]]-RawSalesTable[[#This Row],[Total_Cost]]</f>
        <v>51.0625</v>
      </c>
      <c r="AD345" s="9">
        <f>RawSalesTable[[#This Row],[Profit]]/RawSalesTable[[#This Row],[Net_Sales]]</f>
        <v>0.42529932326913067</v>
      </c>
      <c r="AE345" s="8">
        <f>IF(RawSalesTable[[#This Row],[Return_Status]]="Yes",1,0)</f>
        <v>0</v>
      </c>
      <c r="AF345" s="8">
        <f>YEAR(RawSalesTable[[#This Row],[Order_Date]])</f>
        <v>2025</v>
      </c>
      <c r="AG345" s="8">
        <f>MONTH(RawSalesTable[[#This Row],[Order_Date]])</f>
        <v>2</v>
      </c>
      <c r="AH345" s="8" t="str">
        <f>TEXT(RawSalesTable[[#This Row],[Order_Date]],"mmmm")</f>
        <v>février</v>
      </c>
      <c r="AI345" s="8" t="str">
        <f>IF(RawSalesTable[[#This Row],[Month_Number]]&lt;=3,"Q1",IF(RawSalesTable[[#This Row],[Month_Number]]&lt;=6,"Q2",IF(RawSalesTable[[#This Row],[Month_Number]]&lt;=9,"Q3","Q4")))</f>
        <v>Q1</v>
      </c>
      <c r="AJ345" s="13">
        <f>DATE(YEAR(RawSalesTable[[#This Row],[Order_Date]]),MONTH(RawSalesTable[[#This Row],[Order_Date]]),1)</f>
        <v>45689</v>
      </c>
      <c r="AK345" s="8" t="str">
        <f>VLOOKUP(RawSalesTable[[#This Row],[Customer_ID_clean]],CustomersTable[],4,FALSE)</f>
        <v>Ontario</v>
      </c>
    </row>
    <row r="346" spans="1:37">
      <c r="A346" t="s">
        <v>751</v>
      </c>
      <c r="B346" s="3">
        <v>45918</v>
      </c>
      <c r="C346" t="s">
        <v>613</v>
      </c>
      <c r="D346" t="s">
        <v>157</v>
      </c>
      <c r="E346" t="s">
        <v>710</v>
      </c>
      <c r="F346" t="s">
        <v>103</v>
      </c>
      <c r="G346" t="s">
        <v>122</v>
      </c>
      <c r="H346" t="s">
        <v>97</v>
      </c>
      <c r="I346">
        <v>1</v>
      </c>
      <c r="J346" s="2">
        <v>280.99</v>
      </c>
      <c r="K346" s="4">
        <v>0</v>
      </c>
      <c r="L346" t="s">
        <v>98</v>
      </c>
      <c r="M346">
        <v>3</v>
      </c>
      <c r="N346" t="s">
        <v>91</v>
      </c>
      <c r="O346" t="str">
        <f>SUBSTITUTE(PROPER(TRIM(RawSalesTable[[#This Row],[Channel_Raw]])), "Market Place", "Marketplace")</f>
        <v>Retail Store</v>
      </c>
      <c r="P346" t="str">
        <f>TRIM(RawSalesTable[[#This Row],[Store_Raw]])</f>
        <v>Vancouver West</v>
      </c>
      <c r="Q346" t="str">
        <f>IF(TRIM(RawSalesTable[[#This Row],[Payment_Method_Raw]])="","Non renseigné",SUBSTITUTE(TRIM(RawSalesTable[[#This Row],[Payment_Method_Raw]]),"CC","Credit Card"))</f>
        <v>Debit Card</v>
      </c>
      <c r="R346" s="8" t="str">
        <f>UPPER(PROPER(RawSalesTable[[#This Row],[Customer_ID]]))</f>
        <v>C0060</v>
      </c>
      <c r="S346" s="8" t="str">
        <f>TRIM(LEFT(RawSalesTable[[#This Row],[Customer_Info]],FIND(",",RawSalesTable[[#This Row],[Customer_Info]]) -1))</f>
        <v>Sarah Wilson</v>
      </c>
      <c r="T346" s="8" t="str">
        <f>TRIM(MID(RawSalesTable[[#This Row],[Customer_Info]],FIND(",",RawSalesTable[[#This Row],[Customer_Info]])+1,FIND(",",RawSalesTable[[#This Row],[Customer_Info]],FIND(",",RawSalesTable[[#This Row],[Customer_Info]])+1)-FIND(",",RawSalesTable[[#This Row],[Customer_Info]])-1))</f>
        <v>Quebec City</v>
      </c>
      <c r="U346" s="8" t="str">
        <f>TRIM(RIGHT(RawSalesTable[[#This Row],[Customer_Info]], LEN(RawSalesTable[[#This Row],[Customer_Info]])-FIND(",",RawSalesTable[[#This Row],[Customer_Info]],FIND(",",RawSalesTable[[#This Row],[Customer_Info]])+1)))</f>
        <v>Corporate</v>
      </c>
      <c r="V346" s="8" t="str">
        <f>VLOOKUP(RawSalesTable[[#This Row],[Product_ID]],ProductsTable[],2,FALSE)</f>
        <v>Notebook</v>
      </c>
      <c r="W346" s="8" t="str">
        <f>VLOOKUP(RawSalesTable[[#This Row],[Product_ID]],ProductsTable[],3,FALSE)</f>
        <v>Office</v>
      </c>
      <c r="X346" s="8">
        <f>VLOOKUP(RawSalesTable[[#This Row],[Product_ID]],ProductsTable[],5,FALSE)</f>
        <v>176.13</v>
      </c>
      <c r="Y346" s="8">
        <f>RawSalesTable[[#This Row],[Quantity]]*RawSalesTable[[#This Row],[Unit_Price]]</f>
        <v>280.99</v>
      </c>
      <c r="Z346" s="8">
        <f>RawSalesTable[[#This Row],[Gross_Sales]]*RawSalesTable[[#This Row],[Discount_Pct]]</f>
        <v>0</v>
      </c>
      <c r="AA346" s="8">
        <f>RawSalesTable[[#This Row],[Gross_Sales]]-RawSalesTable[[#This Row],[Discount_Amount]]</f>
        <v>280.99</v>
      </c>
      <c r="AB346" s="8">
        <f>RawSalesTable[[#This Row],[Unit_Cost]]*RawSalesTable[[#This Row],[Quantity]]</f>
        <v>176.13</v>
      </c>
      <c r="AC346" s="8">
        <f>RawSalesTable[[#This Row],[Net_Sales]]-RawSalesTable[[#This Row],[Total_Cost]]</f>
        <v>104.86000000000001</v>
      </c>
      <c r="AD346" s="9">
        <f>RawSalesTable[[#This Row],[Profit]]/RawSalesTable[[#This Row],[Net_Sales]]</f>
        <v>0.37318054023274855</v>
      </c>
      <c r="AE346" s="8">
        <f>IF(RawSalesTable[[#This Row],[Return_Status]]="Yes",1,0)</f>
        <v>0</v>
      </c>
      <c r="AF346" s="8">
        <f>YEAR(RawSalesTable[[#This Row],[Order_Date]])</f>
        <v>2025</v>
      </c>
      <c r="AG346" s="8">
        <f>MONTH(RawSalesTable[[#This Row],[Order_Date]])</f>
        <v>9</v>
      </c>
      <c r="AH346" s="8" t="str">
        <f>TEXT(RawSalesTable[[#This Row],[Order_Date]],"mmmm")</f>
        <v>septembre</v>
      </c>
      <c r="AI346" s="8" t="str">
        <f>IF(RawSalesTable[[#This Row],[Month_Number]]&lt;=3,"Q1",IF(RawSalesTable[[#This Row],[Month_Number]]&lt;=6,"Q2",IF(RawSalesTable[[#This Row],[Month_Number]]&lt;=9,"Q3","Q4")))</f>
        <v>Q3</v>
      </c>
      <c r="AJ346" s="13">
        <f>DATE(YEAR(RawSalesTable[[#This Row],[Order_Date]]),MONTH(RawSalesTable[[#This Row],[Order_Date]]),1)</f>
        <v>45901</v>
      </c>
      <c r="AK346" s="8" t="str">
        <f>VLOOKUP(RawSalesTable[[#This Row],[Customer_ID_clean]],CustomersTable[],4,FALSE)</f>
        <v>Quebec</v>
      </c>
    </row>
    <row r="347" spans="1:37">
      <c r="A347" t="s">
        <v>752</v>
      </c>
      <c r="B347" s="3">
        <v>45826</v>
      </c>
      <c r="C347" t="s">
        <v>343</v>
      </c>
      <c r="D347" t="s">
        <v>114</v>
      </c>
      <c r="E347" t="s">
        <v>344</v>
      </c>
      <c r="F347" t="s">
        <v>87</v>
      </c>
      <c r="G347" t="s">
        <v>183</v>
      </c>
      <c r="H347" t="s">
        <v>97</v>
      </c>
      <c r="I347">
        <v>1</v>
      </c>
      <c r="J347" s="2">
        <v>136.97999999999999</v>
      </c>
      <c r="K347" s="4">
        <v>0.2</v>
      </c>
      <c r="L347" t="s">
        <v>106</v>
      </c>
      <c r="M347">
        <v>4</v>
      </c>
      <c r="N347" t="s">
        <v>91</v>
      </c>
      <c r="O347" t="str">
        <f>SUBSTITUTE(PROPER(TRIM(RawSalesTable[[#This Row],[Channel_Raw]])), "Market Place", "Marketplace")</f>
        <v>Retail Store</v>
      </c>
      <c r="P347" t="str">
        <f>TRIM(RawSalesTable[[#This Row],[Store_Raw]])</f>
        <v>Online Fulfillment</v>
      </c>
      <c r="Q347" t="str">
        <f>IF(TRIM(RawSalesTable[[#This Row],[Payment_Method_Raw]])="","Non renseigné",SUBSTITUTE(TRIM(RawSalesTable[[#This Row],[Payment_Method_Raw]]),"CC","Credit Card"))</f>
        <v>Credit Card</v>
      </c>
      <c r="R347" s="8" t="str">
        <f>UPPER(PROPER(RawSalesTable[[#This Row],[Customer_ID]]))</f>
        <v>C0114</v>
      </c>
      <c r="S347" s="8" t="str">
        <f>TRIM(LEFT(RawSalesTable[[#This Row],[Customer_Info]],FIND(",",RawSalesTable[[#This Row],[Customer_Info]]) -1))</f>
        <v>Olivia Johnson</v>
      </c>
      <c r="T347" s="8" t="str">
        <f>TRIM(MID(RawSalesTable[[#This Row],[Customer_Info]],FIND(",",RawSalesTable[[#This Row],[Customer_Info]])+1,FIND(",",RawSalesTable[[#This Row],[Customer_Info]],FIND(",",RawSalesTable[[#This Row],[Customer_Info]])+1)-FIND(",",RawSalesTable[[#This Row],[Customer_Info]])-1))</f>
        <v>Ottawa</v>
      </c>
      <c r="U347" s="8" t="str">
        <f>TRIM(RIGHT(RawSalesTable[[#This Row],[Customer_Info]], LEN(RawSalesTable[[#This Row],[Customer_Info]])-FIND(",",RawSalesTable[[#This Row],[Customer_Info]],FIND(",",RawSalesTable[[#This Row],[Customer_Info]])+1)))</f>
        <v>Consumer</v>
      </c>
      <c r="V347" s="8" t="str">
        <f>VLOOKUP(RawSalesTable[[#This Row],[Product_ID]],ProductsTable[],2,FALSE)</f>
        <v>Laptop Sleeve</v>
      </c>
      <c r="W347" s="8" t="str">
        <f>VLOOKUP(RawSalesTable[[#This Row],[Product_ID]],ProductsTable[],3,FALSE)</f>
        <v>Accessories</v>
      </c>
      <c r="X347" s="8">
        <f>VLOOKUP(RawSalesTable[[#This Row],[Product_ID]],ProductsTable[],5,FALSE)</f>
        <v>78.95</v>
      </c>
      <c r="Y347" s="8">
        <f>RawSalesTable[[#This Row],[Quantity]]*RawSalesTable[[#This Row],[Unit_Price]]</f>
        <v>136.97999999999999</v>
      </c>
      <c r="Z347" s="8">
        <f>RawSalesTable[[#This Row],[Gross_Sales]]*RawSalesTable[[#This Row],[Discount_Pct]]</f>
        <v>27.396000000000001</v>
      </c>
      <c r="AA347" s="8">
        <f>RawSalesTable[[#This Row],[Gross_Sales]]-RawSalesTable[[#This Row],[Discount_Amount]]</f>
        <v>109.58399999999999</v>
      </c>
      <c r="AB347" s="8">
        <f>RawSalesTable[[#This Row],[Unit_Cost]]*RawSalesTable[[#This Row],[Quantity]]</f>
        <v>78.95</v>
      </c>
      <c r="AC347" s="8">
        <f>RawSalesTable[[#This Row],[Net_Sales]]-RawSalesTable[[#This Row],[Total_Cost]]</f>
        <v>30.633999999999986</v>
      </c>
      <c r="AD347" s="9">
        <f>RawSalesTable[[#This Row],[Profit]]/RawSalesTable[[#This Row],[Net_Sales]]</f>
        <v>0.2795481092130237</v>
      </c>
      <c r="AE347" s="8">
        <f>IF(RawSalesTable[[#This Row],[Return_Status]]="Yes",1,0)</f>
        <v>0</v>
      </c>
      <c r="AF347" s="8">
        <f>YEAR(RawSalesTable[[#This Row],[Order_Date]])</f>
        <v>2025</v>
      </c>
      <c r="AG347" s="8">
        <f>MONTH(RawSalesTable[[#This Row],[Order_Date]])</f>
        <v>6</v>
      </c>
      <c r="AH347" s="8" t="str">
        <f>TEXT(RawSalesTable[[#This Row],[Order_Date]],"mmmm")</f>
        <v>juin</v>
      </c>
      <c r="AI347" s="8" t="str">
        <f>IF(RawSalesTable[[#This Row],[Month_Number]]&lt;=3,"Q1",IF(RawSalesTable[[#This Row],[Month_Number]]&lt;=6,"Q2",IF(RawSalesTable[[#This Row],[Month_Number]]&lt;=9,"Q3","Q4")))</f>
        <v>Q2</v>
      </c>
      <c r="AJ347" s="13">
        <f>DATE(YEAR(RawSalesTable[[#This Row],[Order_Date]]),MONTH(RawSalesTable[[#This Row],[Order_Date]]),1)</f>
        <v>45809</v>
      </c>
      <c r="AK347" s="8" t="str">
        <f>VLOOKUP(RawSalesTable[[#This Row],[Customer_ID_clean]],CustomersTable[],4,FALSE)</f>
        <v>Ontario</v>
      </c>
    </row>
    <row r="348" spans="1:37">
      <c r="A348" t="s">
        <v>753</v>
      </c>
      <c r="B348" s="3">
        <v>45808</v>
      </c>
      <c r="C348" t="s">
        <v>538</v>
      </c>
      <c r="D348" t="s">
        <v>190</v>
      </c>
      <c r="E348" t="s">
        <v>539</v>
      </c>
      <c r="F348" t="s">
        <v>145</v>
      </c>
      <c r="G348" t="s">
        <v>171</v>
      </c>
      <c r="H348" t="s">
        <v>97</v>
      </c>
      <c r="I348">
        <v>3</v>
      </c>
      <c r="J348" s="2">
        <v>297.43</v>
      </c>
      <c r="K348" s="4">
        <v>0.15</v>
      </c>
      <c r="L348" t="s">
        <v>98</v>
      </c>
      <c r="M348">
        <v>0</v>
      </c>
      <c r="N348" t="s">
        <v>91</v>
      </c>
      <c r="O348" t="str">
        <f>SUBSTITUTE(PROPER(TRIM(RawSalesTable[[#This Row],[Channel_Raw]])), "Market Place", "Marketplace")</f>
        <v>Retail Store</v>
      </c>
      <c r="P348" t="str">
        <f>TRIM(RawSalesTable[[#This Row],[Store_Raw]])</f>
        <v>Calgary North</v>
      </c>
      <c r="Q348" t="str">
        <f>IF(TRIM(RawSalesTable[[#This Row],[Payment_Method_Raw]])="","Non renseigné",SUBSTITUTE(TRIM(RawSalesTable[[#This Row],[Payment_Method_Raw]]),"CC","Credit Card"))</f>
        <v>Debit Card</v>
      </c>
      <c r="R348" s="8" t="str">
        <f>UPPER(PROPER(RawSalesTable[[#This Row],[Customer_ID]]))</f>
        <v>C0086</v>
      </c>
      <c r="S348" s="8" t="str">
        <f>TRIM(LEFT(RawSalesTable[[#This Row],[Customer_Info]],FIND(",",RawSalesTable[[#This Row],[Customer_Info]]) -1))</f>
        <v>Adam Gagnon</v>
      </c>
      <c r="T348" s="8" t="str">
        <f>TRIM(MID(RawSalesTable[[#This Row],[Customer_Info]],FIND(",",RawSalesTable[[#This Row],[Customer_Info]])+1,FIND(",",RawSalesTable[[#This Row],[Customer_Info]],FIND(",",RawSalesTable[[#This Row],[Customer_Info]])+1)-FIND(",",RawSalesTable[[#This Row],[Customer_Info]])-1))</f>
        <v>Winnipeg</v>
      </c>
      <c r="U348" s="8" t="str">
        <f>TRIM(RIGHT(RawSalesTable[[#This Row],[Customer_Info]], LEN(RawSalesTable[[#This Row],[Customer_Info]])-FIND(",",RawSalesTable[[#This Row],[Customer_Info]],FIND(",",RawSalesTable[[#This Row],[Customer_Info]])+1)))</f>
        <v>Consumer</v>
      </c>
      <c r="V348" s="8" t="str">
        <f>VLOOKUP(RawSalesTable[[#This Row],[Product_ID]],ProductsTable[],2,FALSE)</f>
        <v>Webcam</v>
      </c>
      <c r="W348" s="8" t="str">
        <f>VLOOKUP(RawSalesTable[[#This Row],[Product_ID]],ProductsTable[],3,FALSE)</f>
        <v>Electronics</v>
      </c>
      <c r="X348" s="8">
        <f>VLOOKUP(RawSalesTable[[#This Row],[Product_ID]],ProductsTable[],5,FALSE)</f>
        <v>154.72999999999999</v>
      </c>
      <c r="Y348" s="8">
        <f>RawSalesTable[[#This Row],[Quantity]]*RawSalesTable[[#This Row],[Unit_Price]]</f>
        <v>892.29</v>
      </c>
      <c r="Z348" s="8">
        <f>RawSalesTable[[#This Row],[Gross_Sales]]*RawSalesTable[[#This Row],[Discount_Pct]]</f>
        <v>133.84349999999998</v>
      </c>
      <c r="AA348" s="8">
        <f>RawSalesTable[[#This Row],[Gross_Sales]]-RawSalesTable[[#This Row],[Discount_Amount]]</f>
        <v>758.44650000000001</v>
      </c>
      <c r="AB348" s="8">
        <f>RawSalesTable[[#This Row],[Unit_Cost]]*RawSalesTable[[#This Row],[Quantity]]</f>
        <v>464.18999999999994</v>
      </c>
      <c r="AC348" s="8">
        <f>RawSalesTable[[#This Row],[Net_Sales]]-RawSalesTable[[#This Row],[Total_Cost]]</f>
        <v>294.25650000000007</v>
      </c>
      <c r="AD348" s="9">
        <f>RawSalesTable[[#This Row],[Profit]]/RawSalesTable[[#This Row],[Net_Sales]]</f>
        <v>0.38797265199325209</v>
      </c>
      <c r="AE348" s="8">
        <f>IF(RawSalesTable[[#This Row],[Return_Status]]="Yes",1,0)</f>
        <v>0</v>
      </c>
      <c r="AF348" s="8">
        <f>YEAR(RawSalesTable[[#This Row],[Order_Date]])</f>
        <v>2025</v>
      </c>
      <c r="AG348" s="8">
        <f>MONTH(RawSalesTable[[#This Row],[Order_Date]])</f>
        <v>5</v>
      </c>
      <c r="AH348" s="8" t="str">
        <f>TEXT(RawSalesTable[[#This Row],[Order_Date]],"mmmm")</f>
        <v>mai</v>
      </c>
      <c r="AI348" s="8" t="str">
        <f>IF(RawSalesTable[[#This Row],[Month_Number]]&lt;=3,"Q1",IF(RawSalesTable[[#This Row],[Month_Number]]&lt;=6,"Q2",IF(RawSalesTable[[#This Row],[Month_Number]]&lt;=9,"Q3","Q4")))</f>
        <v>Q2</v>
      </c>
      <c r="AJ348" s="13">
        <f>DATE(YEAR(RawSalesTable[[#This Row],[Order_Date]]),MONTH(RawSalesTable[[#This Row],[Order_Date]]),1)</f>
        <v>45778</v>
      </c>
      <c r="AK348" s="8" t="str">
        <f>VLOOKUP(RawSalesTable[[#This Row],[Customer_ID_clean]],CustomersTable[],4,FALSE)</f>
        <v>Manitoba</v>
      </c>
    </row>
    <row r="349" spans="1:37">
      <c r="A349" t="s">
        <v>754</v>
      </c>
      <c r="B349" s="3">
        <v>45817</v>
      </c>
      <c r="C349" t="s">
        <v>173</v>
      </c>
      <c r="D349" t="s">
        <v>165</v>
      </c>
      <c r="E349" t="s">
        <v>175</v>
      </c>
      <c r="F349" t="s">
        <v>111</v>
      </c>
      <c r="G349" t="s">
        <v>183</v>
      </c>
      <c r="H349" t="s">
        <v>89</v>
      </c>
      <c r="I349">
        <v>2</v>
      </c>
      <c r="J349" s="2">
        <v>106.69</v>
      </c>
      <c r="K349" s="4">
        <v>0.1</v>
      </c>
      <c r="L349" t="s">
        <v>106</v>
      </c>
      <c r="M349">
        <v>1</v>
      </c>
      <c r="N349" t="s">
        <v>91</v>
      </c>
      <c r="O349" t="str">
        <f>SUBSTITUTE(PROPER(TRIM(RawSalesTable[[#This Row],[Channel_Raw]])), "Market Place", "Marketplace")</f>
        <v>Online</v>
      </c>
      <c r="P349" t="str">
        <f>TRIM(RawSalesTable[[#This Row],[Store_Raw]])</f>
        <v>Montreal Central</v>
      </c>
      <c r="Q349" t="str">
        <f>IF(TRIM(RawSalesTable[[#This Row],[Payment_Method_Raw]])="","Non renseigné",SUBSTITUTE(TRIM(RawSalesTable[[#This Row],[Payment_Method_Raw]]),"CC","Credit Card"))</f>
        <v>Credit Card</v>
      </c>
      <c r="R349" s="8" t="str">
        <f>UPPER(PROPER(RawSalesTable[[#This Row],[Customer_ID]]))</f>
        <v>C0077</v>
      </c>
      <c r="S349" s="8" t="str">
        <f>TRIM(LEFT(RawSalesTable[[#This Row],[Customer_Info]],FIND(",",RawSalesTable[[#This Row],[Customer_Info]]) -1))</f>
        <v>Amine Taylor</v>
      </c>
      <c r="T349" s="8" t="str">
        <f>TRIM(MID(RawSalesTable[[#This Row],[Customer_Info]],FIND(",",RawSalesTable[[#This Row],[Customer_Info]])+1,FIND(",",RawSalesTable[[#This Row],[Customer_Info]],FIND(",",RawSalesTable[[#This Row],[Customer_Info]])+1)-FIND(",",RawSalesTable[[#This Row],[Customer_Info]])-1))</f>
        <v>Surrey</v>
      </c>
      <c r="U349" s="8" t="str">
        <f>TRIM(RIGHT(RawSalesTable[[#This Row],[Customer_Info]], LEN(RawSalesTable[[#This Row],[Customer_Info]])-FIND(",",RawSalesTable[[#This Row],[Customer_Info]],FIND(",",RawSalesTable[[#This Row],[Customer_Info]])+1)))</f>
        <v>Small Business</v>
      </c>
      <c r="V349" s="8" t="str">
        <f>VLOOKUP(RawSalesTable[[#This Row],[Product_ID]],ProductsTable[],2,FALSE)</f>
        <v>Food Scale</v>
      </c>
      <c r="W349" s="8" t="str">
        <f>VLOOKUP(RawSalesTable[[#This Row],[Product_ID]],ProductsTable[],3,FALSE)</f>
        <v>Home</v>
      </c>
      <c r="X349" s="8">
        <f>VLOOKUP(RawSalesTable[[#This Row],[Product_ID]],ProductsTable[],5,FALSE)</f>
        <v>46.07</v>
      </c>
      <c r="Y349" s="8">
        <f>RawSalesTable[[#This Row],[Quantity]]*RawSalesTable[[#This Row],[Unit_Price]]</f>
        <v>213.38</v>
      </c>
      <c r="Z349" s="8">
        <f>RawSalesTable[[#This Row],[Gross_Sales]]*RawSalesTable[[#This Row],[Discount_Pct]]</f>
        <v>21.338000000000001</v>
      </c>
      <c r="AA349" s="8">
        <f>RawSalesTable[[#This Row],[Gross_Sales]]-RawSalesTable[[#This Row],[Discount_Amount]]</f>
        <v>192.042</v>
      </c>
      <c r="AB349" s="8">
        <f>RawSalesTable[[#This Row],[Unit_Cost]]*RawSalesTable[[#This Row],[Quantity]]</f>
        <v>92.14</v>
      </c>
      <c r="AC349" s="8">
        <f>RawSalesTable[[#This Row],[Net_Sales]]-RawSalesTable[[#This Row],[Total_Cost]]</f>
        <v>99.902000000000001</v>
      </c>
      <c r="AD349" s="9">
        <f>RawSalesTable[[#This Row],[Profit]]/RawSalesTable[[#This Row],[Net_Sales]]</f>
        <v>0.5202091209214651</v>
      </c>
      <c r="AE349" s="8">
        <f>IF(RawSalesTable[[#This Row],[Return_Status]]="Yes",1,0)</f>
        <v>0</v>
      </c>
      <c r="AF349" s="8">
        <f>YEAR(RawSalesTable[[#This Row],[Order_Date]])</f>
        <v>2025</v>
      </c>
      <c r="AG349" s="8">
        <f>MONTH(RawSalesTable[[#This Row],[Order_Date]])</f>
        <v>6</v>
      </c>
      <c r="AH349" s="8" t="str">
        <f>TEXT(RawSalesTable[[#This Row],[Order_Date]],"mmmm")</f>
        <v>juin</v>
      </c>
      <c r="AI349" s="8" t="str">
        <f>IF(RawSalesTable[[#This Row],[Month_Number]]&lt;=3,"Q1",IF(RawSalesTable[[#This Row],[Month_Number]]&lt;=6,"Q2",IF(RawSalesTable[[#This Row],[Month_Number]]&lt;=9,"Q3","Q4")))</f>
        <v>Q2</v>
      </c>
      <c r="AJ349" s="13">
        <f>DATE(YEAR(RawSalesTable[[#This Row],[Order_Date]]),MONTH(RawSalesTable[[#This Row],[Order_Date]]),1)</f>
        <v>45809</v>
      </c>
      <c r="AK349" s="8" t="str">
        <f>VLOOKUP(RawSalesTable[[#This Row],[Customer_ID_clean]],CustomersTable[],4,FALSE)</f>
        <v>British Columbia</v>
      </c>
    </row>
    <row r="350" spans="1:37">
      <c r="A350" t="s">
        <v>755</v>
      </c>
      <c r="B350" s="3">
        <v>45676</v>
      </c>
      <c r="C350" t="s">
        <v>132</v>
      </c>
      <c r="D350" t="s">
        <v>133</v>
      </c>
      <c r="E350" t="s">
        <v>134</v>
      </c>
      <c r="F350" t="s">
        <v>145</v>
      </c>
      <c r="G350" t="s">
        <v>171</v>
      </c>
      <c r="H350" t="s">
        <v>105</v>
      </c>
      <c r="I350">
        <v>4</v>
      </c>
      <c r="J350" s="2">
        <v>344.84</v>
      </c>
      <c r="K350" s="4">
        <v>0</v>
      </c>
      <c r="L350" t="s">
        <v>90</v>
      </c>
      <c r="M350">
        <v>7</v>
      </c>
      <c r="N350" t="s">
        <v>91</v>
      </c>
      <c r="O350" t="str">
        <f>SUBSTITUTE(PROPER(TRIM(RawSalesTable[[#This Row],[Channel_Raw]])), "Market Place", "Marketplace")</f>
        <v>Marketplace</v>
      </c>
      <c r="P350" t="str">
        <f>TRIM(RawSalesTable[[#This Row],[Store_Raw]])</f>
        <v>Calgary North</v>
      </c>
      <c r="Q350" t="str">
        <f>IF(TRIM(RawSalesTable[[#This Row],[Payment_Method_Raw]])="","Non renseigné",SUBSTITUTE(TRIM(RawSalesTable[[#This Row],[Payment_Method_Raw]]),"CC","Credit Card"))</f>
        <v>PayPal</v>
      </c>
      <c r="R350" s="8" t="str">
        <f>UPPER(PROPER(RawSalesTable[[#This Row],[Customer_ID]]))</f>
        <v>C0104</v>
      </c>
      <c r="S350" s="8" t="str">
        <f>TRIM(LEFT(RawSalesTable[[#This Row],[Customer_Info]],FIND(",",RawSalesTable[[#This Row],[Customer_Info]]) -1))</f>
        <v>Ava Scott</v>
      </c>
      <c r="T350" s="8" t="str">
        <f>TRIM(MID(RawSalesTable[[#This Row],[Customer_Info]],FIND(",",RawSalesTable[[#This Row],[Customer_Info]])+1,FIND(",",RawSalesTable[[#This Row],[Customer_Info]],FIND(",",RawSalesTable[[#This Row],[Customer_Info]])+1)-FIND(",",RawSalesTable[[#This Row],[Customer_Info]])-1))</f>
        <v>Edmonton</v>
      </c>
      <c r="U350" s="8" t="str">
        <f>TRIM(RIGHT(RawSalesTable[[#This Row],[Customer_Info]], LEN(RawSalesTable[[#This Row],[Customer_Info]])-FIND(",",RawSalesTable[[#This Row],[Customer_Info]],FIND(",",RawSalesTable[[#This Row],[Customer_Info]])+1)))</f>
        <v>Corporate</v>
      </c>
      <c r="V350" s="8" t="str">
        <f>VLOOKUP(RawSalesTable[[#This Row],[Product_ID]],ProductsTable[],2,FALSE)</f>
        <v>Travel Adapter</v>
      </c>
      <c r="W350" s="8" t="str">
        <f>VLOOKUP(RawSalesTable[[#This Row],[Product_ID]],ProductsTable[],3,FALSE)</f>
        <v>Accessories</v>
      </c>
      <c r="X350" s="8">
        <f>VLOOKUP(RawSalesTable[[#This Row],[Product_ID]],ProductsTable[],5,FALSE)</f>
        <v>229.86</v>
      </c>
      <c r="Y350" s="8">
        <f>RawSalesTable[[#This Row],[Quantity]]*RawSalesTable[[#This Row],[Unit_Price]]</f>
        <v>1379.36</v>
      </c>
      <c r="Z350" s="8">
        <f>RawSalesTable[[#This Row],[Gross_Sales]]*RawSalesTable[[#This Row],[Discount_Pct]]</f>
        <v>0</v>
      </c>
      <c r="AA350" s="8">
        <f>RawSalesTable[[#This Row],[Gross_Sales]]-RawSalesTable[[#This Row],[Discount_Amount]]</f>
        <v>1379.36</v>
      </c>
      <c r="AB350" s="8">
        <f>RawSalesTable[[#This Row],[Unit_Cost]]*RawSalesTable[[#This Row],[Quantity]]</f>
        <v>919.44</v>
      </c>
      <c r="AC350" s="8">
        <f>RawSalesTable[[#This Row],[Net_Sales]]-RawSalesTable[[#This Row],[Total_Cost]]</f>
        <v>459.91999999999985</v>
      </c>
      <c r="AD350" s="9">
        <f>RawSalesTable[[#This Row],[Profit]]/RawSalesTable[[#This Row],[Net_Sales]]</f>
        <v>0.33342999652012517</v>
      </c>
      <c r="AE350" s="8">
        <f>IF(RawSalesTable[[#This Row],[Return_Status]]="Yes",1,0)</f>
        <v>0</v>
      </c>
      <c r="AF350" s="8">
        <f>YEAR(RawSalesTable[[#This Row],[Order_Date]])</f>
        <v>2025</v>
      </c>
      <c r="AG350" s="8">
        <f>MONTH(RawSalesTable[[#This Row],[Order_Date]])</f>
        <v>1</v>
      </c>
      <c r="AH350" s="8" t="str">
        <f>TEXT(RawSalesTable[[#This Row],[Order_Date]],"mmmm")</f>
        <v>janvier</v>
      </c>
      <c r="AI350" s="8" t="str">
        <f>IF(RawSalesTable[[#This Row],[Month_Number]]&lt;=3,"Q1",IF(RawSalesTable[[#This Row],[Month_Number]]&lt;=6,"Q2",IF(RawSalesTable[[#This Row],[Month_Number]]&lt;=9,"Q3","Q4")))</f>
        <v>Q1</v>
      </c>
      <c r="AJ350" s="13">
        <f>DATE(YEAR(RawSalesTable[[#This Row],[Order_Date]]),MONTH(RawSalesTable[[#This Row],[Order_Date]]),1)</f>
        <v>45658</v>
      </c>
      <c r="AK350" s="8" t="str">
        <f>VLOOKUP(RawSalesTable[[#This Row],[Customer_ID_clean]],CustomersTable[],4,FALSE)</f>
        <v>Alberta</v>
      </c>
    </row>
    <row r="351" spans="1:37">
      <c r="A351" t="s">
        <v>756</v>
      </c>
      <c r="B351" s="3">
        <v>45786</v>
      </c>
      <c r="C351" t="s">
        <v>564</v>
      </c>
      <c r="D351" t="s">
        <v>157</v>
      </c>
      <c r="E351" t="s">
        <v>565</v>
      </c>
      <c r="F351" t="s">
        <v>111</v>
      </c>
      <c r="G351" t="s">
        <v>130</v>
      </c>
      <c r="H351" t="s">
        <v>89</v>
      </c>
      <c r="I351">
        <v>2</v>
      </c>
      <c r="J351" s="2">
        <v>309.99</v>
      </c>
      <c r="K351" s="4">
        <v>0.05</v>
      </c>
      <c r="M351">
        <v>2</v>
      </c>
      <c r="N351" t="s">
        <v>91</v>
      </c>
      <c r="O351" t="str">
        <f>SUBSTITUTE(PROPER(TRIM(RawSalesTable[[#This Row],[Channel_Raw]])), "Market Place", "Marketplace")</f>
        <v>Online</v>
      </c>
      <c r="P351" t="str">
        <f>TRIM(RawSalesTable[[#This Row],[Store_Raw]])</f>
        <v>Montreal Central</v>
      </c>
      <c r="Q351" t="str">
        <f>IF(TRIM(RawSalesTable[[#This Row],[Payment_Method_Raw]])="","Non renseigné",SUBSTITUTE(TRIM(RawSalesTable[[#This Row],[Payment_Method_Raw]]),"CC","Credit Card"))</f>
        <v>Non renseigné</v>
      </c>
      <c r="R351" s="8" t="str">
        <f>UPPER(PROPER(RawSalesTable[[#This Row],[Customer_ID]]))</f>
        <v>C0095</v>
      </c>
      <c r="S351" s="8" t="str">
        <f>TRIM(LEFT(RawSalesTable[[#This Row],[Customer_Info]],FIND(",",RawSalesTable[[#This Row],[Customer_Info]]) -1))</f>
        <v>Maya White</v>
      </c>
      <c r="T351" s="8" t="str">
        <f>TRIM(MID(RawSalesTable[[#This Row],[Customer_Info]],FIND(",",RawSalesTable[[#This Row],[Customer_Info]])+1,FIND(",",RawSalesTable[[#This Row],[Customer_Info]],FIND(",",RawSalesTable[[#This Row],[Customer_Info]])+1)-FIND(",",RawSalesTable[[#This Row],[Customer_Info]])-1))</f>
        <v>Quebec City</v>
      </c>
      <c r="U351" s="8" t="str">
        <f>TRIM(RIGHT(RawSalesTable[[#This Row],[Customer_Info]], LEN(RawSalesTable[[#This Row],[Customer_Info]])-FIND(",",RawSalesTable[[#This Row],[Customer_Info]],FIND(",",RawSalesTable[[#This Row],[Customer_Info]])+1)))</f>
        <v>Corporate</v>
      </c>
      <c r="V351" s="8" t="str">
        <f>VLOOKUP(RawSalesTable[[#This Row],[Product_ID]],ProductsTable[],2,FALSE)</f>
        <v>Notebook</v>
      </c>
      <c r="W351" s="8" t="str">
        <f>VLOOKUP(RawSalesTable[[#This Row],[Product_ID]],ProductsTable[],3,FALSE)</f>
        <v>Office</v>
      </c>
      <c r="X351" s="8">
        <f>VLOOKUP(RawSalesTable[[#This Row],[Product_ID]],ProductsTable[],5,FALSE)</f>
        <v>176.13</v>
      </c>
      <c r="Y351" s="8">
        <f>RawSalesTable[[#This Row],[Quantity]]*RawSalesTable[[#This Row],[Unit_Price]]</f>
        <v>619.98</v>
      </c>
      <c r="Z351" s="8">
        <f>RawSalesTable[[#This Row],[Gross_Sales]]*RawSalesTable[[#This Row],[Discount_Pct]]</f>
        <v>30.999000000000002</v>
      </c>
      <c r="AA351" s="8">
        <f>RawSalesTable[[#This Row],[Gross_Sales]]-RawSalesTable[[#This Row],[Discount_Amount]]</f>
        <v>588.98099999999999</v>
      </c>
      <c r="AB351" s="8">
        <f>RawSalesTable[[#This Row],[Unit_Cost]]*RawSalesTable[[#This Row],[Quantity]]</f>
        <v>352.26</v>
      </c>
      <c r="AC351" s="8">
        <f>RawSalesTable[[#This Row],[Net_Sales]]-RawSalesTable[[#This Row],[Total_Cost]]</f>
        <v>236.721</v>
      </c>
      <c r="AD351" s="9">
        <f>RawSalesTable[[#This Row],[Profit]]/RawSalesTable[[#This Row],[Net_Sales]]</f>
        <v>0.40191619084486596</v>
      </c>
      <c r="AE351" s="8">
        <f>IF(RawSalesTable[[#This Row],[Return_Status]]="Yes",1,0)</f>
        <v>0</v>
      </c>
      <c r="AF351" s="8">
        <f>YEAR(RawSalesTable[[#This Row],[Order_Date]])</f>
        <v>2025</v>
      </c>
      <c r="AG351" s="8">
        <f>MONTH(RawSalesTable[[#This Row],[Order_Date]])</f>
        <v>5</v>
      </c>
      <c r="AH351" s="8" t="str">
        <f>TEXT(RawSalesTable[[#This Row],[Order_Date]],"mmmm")</f>
        <v>mai</v>
      </c>
      <c r="AI351" s="8" t="str">
        <f>IF(RawSalesTable[[#This Row],[Month_Number]]&lt;=3,"Q1",IF(RawSalesTable[[#This Row],[Month_Number]]&lt;=6,"Q2",IF(RawSalesTable[[#This Row],[Month_Number]]&lt;=9,"Q3","Q4")))</f>
        <v>Q2</v>
      </c>
      <c r="AJ351" s="13">
        <f>DATE(YEAR(RawSalesTable[[#This Row],[Order_Date]]),MONTH(RawSalesTable[[#This Row],[Order_Date]]),1)</f>
        <v>45778</v>
      </c>
      <c r="AK351" s="8" t="str">
        <f>VLOOKUP(RawSalesTable[[#This Row],[Customer_ID_clean]],CustomersTable[],4,FALSE)</f>
        <v>Quebec</v>
      </c>
    </row>
    <row r="352" spans="1:37">
      <c r="A352" t="s">
        <v>757</v>
      </c>
      <c r="B352" s="3">
        <v>45703</v>
      </c>
      <c r="C352" t="s">
        <v>758</v>
      </c>
      <c r="D352" t="s">
        <v>418</v>
      </c>
      <c r="E352" t="s">
        <v>759</v>
      </c>
      <c r="F352" t="s">
        <v>111</v>
      </c>
      <c r="G352" t="s">
        <v>96</v>
      </c>
      <c r="H352" t="s">
        <v>89</v>
      </c>
      <c r="I352">
        <v>1</v>
      </c>
      <c r="J352" s="2">
        <v>351.13</v>
      </c>
      <c r="K352" s="4">
        <v>0</v>
      </c>
      <c r="L352" t="s">
        <v>98</v>
      </c>
      <c r="M352">
        <v>8</v>
      </c>
      <c r="N352" t="s">
        <v>91</v>
      </c>
      <c r="O352" t="str">
        <f>SUBSTITUTE(PROPER(TRIM(RawSalesTable[[#This Row],[Channel_Raw]])), "Market Place", "Marketplace")</f>
        <v>Online</v>
      </c>
      <c r="P352" t="str">
        <f>TRIM(RawSalesTable[[#This Row],[Store_Raw]])</f>
        <v>Montreal Central</v>
      </c>
      <c r="Q352" t="str">
        <f>IF(TRIM(RawSalesTable[[#This Row],[Payment_Method_Raw]])="","Non renseigné",SUBSTITUTE(TRIM(RawSalesTable[[#This Row],[Payment_Method_Raw]]),"CC","Credit Card"))</f>
        <v>Debit Card</v>
      </c>
      <c r="R352" s="8" t="str">
        <f>UPPER(PROPER(RawSalesTable[[#This Row],[Customer_ID]]))</f>
        <v>C0034</v>
      </c>
      <c r="S352" s="8" t="str">
        <f>TRIM(LEFT(RawSalesTable[[#This Row],[Customer_Info]],FIND(",",RawSalesTable[[#This Row],[Customer_Info]]) -1))</f>
        <v>Noah Tremblay</v>
      </c>
      <c r="T352" s="8" t="str">
        <f>TRIM(MID(RawSalesTable[[#This Row],[Customer_Info]],FIND(",",RawSalesTable[[#This Row],[Customer_Info]])+1,FIND(",",RawSalesTable[[#This Row],[Customer_Info]],FIND(",",RawSalesTable[[#This Row],[Customer_Info]])+1)-FIND(",",RawSalesTable[[#This Row],[Customer_Info]])-1))</f>
        <v>Toronto</v>
      </c>
      <c r="U352" s="8" t="str">
        <f>TRIM(RIGHT(RawSalesTable[[#This Row],[Customer_Info]], LEN(RawSalesTable[[#This Row],[Customer_Info]])-FIND(",",RawSalesTable[[#This Row],[Customer_Info]],FIND(",",RawSalesTable[[#This Row],[Customer_Info]])+1)))</f>
        <v>Corporate</v>
      </c>
      <c r="V352" s="8" t="str">
        <f>VLOOKUP(RawSalesTable[[#This Row],[Product_ID]],ProductsTable[],2,FALSE)</f>
        <v>Foam Roller</v>
      </c>
      <c r="W352" s="8" t="str">
        <f>VLOOKUP(RawSalesTable[[#This Row],[Product_ID]],ProductsTable[],3,FALSE)</f>
        <v>Fitness</v>
      </c>
      <c r="X352" s="8">
        <f>VLOOKUP(RawSalesTable[[#This Row],[Product_ID]],ProductsTable[],5,FALSE)</f>
        <v>212.02</v>
      </c>
      <c r="Y352" s="8">
        <f>RawSalesTable[[#This Row],[Quantity]]*RawSalesTable[[#This Row],[Unit_Price]]</f>
        <v>351.13</v>
      </c>
      <c r="Z352" s="8">
        <f>RawSalesTable[[#This Row],[Gross_Sales]]*RawSalesTable[[#This Row],[Discount_Pct]]</f>
        <v>0</v>
      </c>
      <c r="AA352" s="8">
        <f>RawSalesTable[[#This Row],[Gross_Sales]]-RawSalesTable[[#This Row],[Discount_Amount]]</f>
        <v>351.13</v>
      </c>
      <c r="AB352" s="8">
        <f>RawSalesTable[[#This Row],[Unit_Cost]]*RawSalesTable[[#This Row],[Quantity]]</f>
        <v>212.02</v>
      </c>
      <c r="AC352" s="8">
        <f>RawSalesTable[[#This Row],[Net_Sales]]-RawSalesTable[[#This Row],[Total_Cost]]</f>
        <v>139.10999999999999</v>
      </c>
      <c r="AD352" s="9">
        <f>RawSalesTable[[#This Row],[Profit]]/RawSalesTable[[#This Row],[Net_Sales]]</f>
        <v>0.39617805371230025</v>
      </c>
      <c r="AE352" s="8">
        <f>IF(RawSalesTable[[#This Row],[Return_Status]]="Yes",1,0)</f>
        <v>0</v>
      </c>
      <c r="AF352" s="8">
        <f>YEAR(RawSalesTable[[#This Row],[Order_Date]])</f>
        <v>2025</v>
      </c>
      <c r="AG352" s="8">
        <f>MONTH(RawSalesTable[[#This Row],[Order_Date]])</f>
        <v>2</v>
      </c>
      <c r="AH352" s="8" t="str">
        <f>TEXT(RawSalesTable[[#This Row],[Order_Date]],"mmmm")</f>
        <v>février</v>
      </c>
      <c r="AI352" s="8" t="str">
        <f>IF(RawSalesTable[[#This Row],[Month_Number]]&lt;=3,"Q1",IF(RawSalesTable[[#This Row],[Month_Number]]&lt;=6,"Q2",IF(RawSalesTable[[#This Row],[Month_Number]]&lt;=9,"Q3","Q4")))</f>
        <v>Q1</v>
      </c>
      <c r="AJ352" s="13">
        <f>DATE(YEAR(RawSalesTable[[#This Row],[Order_Date]]),MONTH(RawSalesTable[[#This Row],[Order_Date]]),1)</f>
        <v>45689</v>
      </c>
      <c r="AK352" s="8" t="str">
        <f>VLOOKUP(RawSalesTable[[#This Row],[Customer_ID_clean]],CustomersTable[],4,FALSE)</f>
        <v>Ontario</v>
      </c>
    </row>
    <row r="353" spans="1:37">
      <c r="A353" t="s">
        <v>760</v>
      </c>
      <c r="B353" s="3">
        <v>45884</v>
      </c>
      <c r="C353" t="s">
        <v>637</v>
      </c>
      <c r="D353" t="s">
        <v>217</v>
      </c>
      <c r="E353" t="s">
        <v>638</v>
      </c>
      <c r="F353" t="s">
        <v>103</v>
      </c>
      <c r="G353" t="s">
        <v>96</v>
      </c>
      <c r="H353" t="s">
        <v>89</v>
      </c>
      <c r="I353">
        <v>5</v>
      </c>
      <c r="J353" s="2">
        <v>107.3</v>
      </c>
      <c r="K353" s="4">
        <v>0</v>
      </c>
      <c r="L353" t="s">
        <v>106</v>
      </c>
      <c r="M353">
        <v>6</v>
      </c>
      <c r="N353" t="s">
        <v>91</v>
      </c>
      <c r="O353" t="str">
        <f>SUBSTITUTE(PROPER(TRIM(RawSalesTable[[#This Row],[Channel_Raw]])), "Market Place", "Marketplace")</f>
        <v>Online</v>
      </c>
      <c r="P353" t="str">
        <f>TRIM(RawSalesTable[[#This Row],[Store_Raw]])</f>
        <v>Vancouver West</v>
      </c>
      <c r="Q353" t="str">
        <f>IF(TRIM(RawSalesTable[[#This Row],[Payment_Method_Raw]])="","Non renseigné",SUBSTITUTE(TRIM(RawSalesTable[[#This Row],[Payment_Method_Raw]]),"CC","Credit Card"))</f>
        <v>Credit Card</v>
      </c>
      <c r="R353" s="8" t="str">
        <f>UPPER(PROPER(RawSalesTable[[#This Row],[Customer_ID]]))</f>
        <v>C0024</v>
      </c>
      <c r="S353" s="8" t="str">
        <f>TRIM(LEFT(RawSalesTable[[#This Row],[Customer_Info]],FIND(",",RawSalesTable[[#This Row],[Customer_Info]]) -1))</f>
        <v>Ryan King</v>
      </c>
      <c r="T353" s="8" t="str">
        <f>TRIM(MID(RawSalesTable[[#This Row],[Customer_Info]],FIND(",",RawSalesTable[[#This Row],[Customer_Info]])+1,FIND(",",RawSalesTable[[#This Row],[Customer_Info]],FIND(",",RawSalesTable[[#This Row],[Customer_Info]])+1)-FIND(",",RawSalesTable[[#This Row],[Customer_Info]])-1))</f>
        <v>Mississauga</v>
      </c>
      <c r="U353" s="8" t="str">
        <f>TRIM(RIGHT(RawSalesTable[[#This Row],[Customer_Info]], LEN(RawSalesTable[[#This Row],[Customer_Info]])-FIND(",",RawSalesTable[[#This Row],[Customer_Info]],FIND(",",RawSalesTable[[#This Row],[Customer_Info]])+1)))</f>
        <v>Consumer</v>
      </c>
      <c r="V353" s="8" t="str">
        <f>VLOOKUP(RawSalesTable[[#This Row],[Product_ID]],ProductsTable[],2,FALSE)</f>
        <v>USB-C Hub</v>
      </c>
      <c r="W353" s="8" t="str">
        <f>VLOOKUP(RawSalesTable[[#This Row],[Product_ID]],ProductsTable[],3,FALSE)</f>
        <v>Electronics</v>
      </c>
      <c r="X353" s="8">
        <f>VLOOKUP(RawSalesTable[[#This Row],[Product_ID]],ProductsTable[],5,FALSE)</f>
        <v>72</v>
      </c>
      <c r="Y353" s="8">
        <f>RawSalesTable[[#This Row],[Quantity]]*RawSalesTable[[#This Row],[Unit_Price]]</f>
        <v>536.5</v>
      </c>
      <c r="Z353" s="8">
        <f>RawSalesTable[[#This Row],[Gross_Sales]]*RawSalesTable[[#This Row],[Discount_Pct]]</f>
        <v>0</v>
      </c>
      <c r="AA353" s="8">
        <f>RawSalesTable[[#This Row],[Gross_Sales]]-RawSalesTable[[#This Row],[Discount_Amount]]</f>
        <v>536.5</v>
      </c>
      <c r="AB353" s="8">
        <f>RawSalesTable[[#This Row],[Unit_Cost]]*RawSalesTable[[#This Row],[Quantity]]</f>
        <v>360</v>
      </c>
      <c r="AC353" s="8">
        <f>RawSalesTable[[#This Row],[Net_Sales]]-RawSalesTable[[#This Row],[Total_Cost]]</f>
        <v>176.5</v>
      </c>
      <c r="AD353" s="9">
        <f>RawSalesTable[[#This Row],[Profit]]/RawSalesTable[[#This Row],[Net_Sales]]</f>
        <v>0.32898415657036345</v>
      </c>
      <c r="AE353" s="8">
        <f>IF(RawSalesTable[[#This Row],[Return_Status]]="Yes",1,0)</f>
        <v>0</v>
      </c>
      <c r="AF353" s="8">
        <f>YEAR(RawSalesTable[[#This Row],[Order_Date]])</f>
        <v>2025</v>
      </c>
      <c r="AG353" s="8">
        <f>MONTH(RawSalesTable[[#This Row],[Order_Date]])</f>
        <v>8</v>
      </c>
      <c r="AH353" s="8" t="str">
        <f>TEXT(RawSalesTable[[#This Row],[Order_Date]],"mmmm")</f>
        <v>août</v>
      </c>
      <c r="AI353" s="8" t="str">
        <f>IF(RawSalesTable[[#This Row],[Month_Number]]&lt;=3,"Q1",IF(RawSalesTable[[#This Row],[Month_Number]]&lt;=6,"Q2",IF(RawSalesTable[[#This Row],[Month_Number]]&lt;=9,"Q3","Q4")))</f>
        <v>Q3</v>
      </c>
      <c r="AJ353" s="13">
        <f>DATE(YEAR(RawSalesTable[[#This Row],[Order_Date]]),MONTH(RawSalesTable[[#This Row],[Order_Date]]),1)</f>
        <v>45870</v>
      </c>
      <c r="AK353" s="8" t="str">
        <f>VLOOKUP(RawSalesTable[[#This Row],[Customer_ID_clean]],CustomersTable[],4,FALSE)</f>
        <v>Ontario</v>
      </c>
    </row>
    <row r="354" spans="1:37">
      <c r="A354" t="s">
        <v>761</v>
      </c>
      <c r="B354" s="3">
        <v>45943</v>
      </c>
      <c r="C354" t="s">
        <v>300</v>
      </c>
      <c r="D354" t="s">
        <v>346</v>
      </c>
      <c r="E354" t="s">
        <v>301</v>
      </c>
      <c r="F354" t="s">
        <v>103</v>
      </c>
      <c r="G354" t="s">
        <v>122</v>
      </c>
      <c r="H354" t="s">
        <v>89</v>
      </c>
      <c r="I354">
        <v>1</v>
      </c>
      <c r="J354" s="2">
        <v>236.69</v>
      </c>
      <c r="K354" s="4">
        <v>0.05</v>
      </c>
      <c r="L354" t="s">
        <v>98</v>
      </c>
      <c r="M354">
        <v>5</v>
      </c>
      <c r="N354" t="s">
        <v>91</v>
      </c>
      <c r="O354" t="str">
        <f>SUBSTITUTE(PROPER(TRIM(RawSalesTable[[#This Row],[Channel_Raw]])), "Market Place", "Marketplace")</f>
        <v>Online</v>
      </c>
      <c r="P354" t="str">
        <f>TRIM(RawSalesTable[[#This Row],[Store_Raw]])</f>
        <v>Vancouver West</v>
      </c>
      <c r="Q354" t="str">
        <f>IF(TRIM(RawSalesTable[[#This Row],[Payment_Method_Raw]])="","Non renseigné",SUBSTITUTE(TRIM(RawSalesTable[[#This Row],[Payment_Method_Raw]]),"CC","Credit Card"))</f>
        <v>Debit Card</v>
      </c>
      <c r="R354" s="8" t="str">
        <f>UPPER(PROPER(RawSalesTable[[#This Row],[Customer_ID]]))</f>
        <v>C0016</v>
      </c>
      <c r="S354" s="8" t="str">
        <f>TRIM(LEFT(RawSalesTable[[#This Row],[Customer_Info]],FIND(",",RawSalesTable[[#This Row],[Customer_Info]]) -1))</f>
        <v>Nora Singh</v>
      </c>
      <c r="T354" s="8" t="str">
        <f>TRIM(MID(RawSalesTable[[#This Row],[Customer_Info]],FIND(",",RawSalesTable[[#This Row],[Customer_Info]])+1,FIND(",",RawSalesTable[[#This Row],[Customer_Info]],FIND(",",RawSalesTable[[#This Row],[Customer_Info]])+1)-FIND(",",RawSalesTable[[#This Row],[Customer_Info]])-1))</f>
        <v>Calgary</v>
      </c>
      <c r="U354" s="8" t="str">
        <f>TRIM(RIGHT(RawSalesTable[[#This Row],[Customer_Info]], LEN(RawSalesTable[[#This Row],[Customer_Info]])-FIND(",",RawSalesTable[[#This Row],[Customer_Info]],FIND(",",RawSalesTable[[#This Row],[Customer_Info]])+1)))</f>
        <v>Consumer</v>
      </c>
      <c r="V354" s="8" t="str">
        <f>VLOOKUP(RawSalesTable[[#This Row],[Product_ID]],ProductsTable[],2,FALSE)</f>
        <v>Pull-up Bar</v>
      </c>
      <c r="W354" s="8" t="str">
        <f>VLOOKUP(RawSalesTable[[#This Row],[Product_ID]],ProductsTable[],3,FALSE)</f>
        <v>Fitness</v>
      </c>
      <c r="X354" s="8">
        <f>VLOOKUP(RawSalesTable[[#This Row],[Product_ID]],ProductsTable[],5,FALSE)</f>
        <v>125.4</v>
      </c>
      <c r="Y354" s="8">
        <f>RawSalesTable[[#This Row],[Quantity]]*RawSalesTable[[#This Row],[Unit_Price]]</f>
        <v>236.69</v>
      </c>
      <c r="Z354" s="8">
        <f>RawSalesTable[[#This Row],[Gross_Sales]]*RawSalesTable[[#This Row],[Discount_Pct]]</f>
        <v>11.8345</v>
      </c>
      <c r="AA354" s="8">
        <f>RawSalesTable[[#This Row],[Gross_Sales]]-RawSalesTable[[#This Row],[Discount_Amount]]</f>
        <v>224.85550000000001</v>
      </c>
      <c r="AB354" s="8">
        <f>RawSalesTable[[#This Row],[Unit_Cost]]*RawSalesTable[[#This Row],[Quantity]]</f>
        <v>125.4</v>
      </c>
      <c r="AC354" s="8">
        <f>RawSalesTable[[#This Row],[Net_Sales]]-RawSalesTable[[#This Row],[Total_Cost]]</f>
        <v>99.455500000000001</v>
      </c>
      <c r="AD354" s="9">
        <f>RawSalesTable[[#This Row],[Profit]]/RawSalesTable[[#This Row],[Net_Sales]]</f>
        <v>0.44230850479530187</v>
      </c>
      <c r="AE354" s="8">
        <f>IF(RawSalesTable[[#This Row],[Return_Status]]="Yes",1,0)</f>
        <v>0</v>
      </c>
      <c r="AF354" s="8">
        <f>YEAR(RawSalesTable[[#This Row],[Order_Date]])</f>
        <v>2025</v>
      </c>
      <c r="AG354" s="8">
        <f>MONTH(RawSalesTable[[#This Row],[Order_Date]])</f>
        <v>10</v>
      </c>
      <c r="AH354" s="8" t="str">
        <f>TEXT(RawSalesTable[[#This Row],[Order_Date]],"mmmm")</f>
        <v>octobre</v>
      </c>
      <c r="AI354" s="8" t="str">
        <f>IF(RawSalesTable[[#This Row],[Month_Number]]&lt;=3,"Q1",IF(RawSalesTable[[#This Row],[Month_Number]]&lt;=6,"Q2",IF(RawSalesTable[[#This Row],[Month_Number]]&lt;=9,"Q3","Q4")))</f>
        <v>Q4</v>
      </c>
      <c r="AJ354" s="13">
        <f>DATE(YEAR(RawSalesTable[[#This Row],[Order_Date]]),MONTH(RawSalesTable[[#This Row],[Order_Date]]),1)</f>
        <v>45931</v>
      </c>
      <c r="AK354" s="8" t="str">
        <f>VLOOKUP(RawSalesTable[[#This Row],[Customer_ID_clean]],CustomersTable[],4,FALSE)</f>
        <v>Alberta</v>
      </c>
    </row>
    <row r="355" spans="1:37">
      <c r="A355" t="s">
        <v>762</v>
      </c>
      <c r="B355" s="3">
        <v>45936</v>
      </c>
      <c r="C355" t="s">
        <v>293</v>
      </c>
      <c r="D355" t="s">
        <v>261</v>
      </c>
      <c r="E355" t="s">
        <v>394</v>
      </c>
      <c r="F355" t="s">
        <v>103</v>
      </c>
      <c r="G355" t="s">
        <v>104</v>
      </c>
      <c r="H355" t="s">
        <v>89</v>
      </c>
      <c r="I355">
        <v>2</v>
      </c>
      <c r="J355" s="2">
        <v>237.79</v>
      </c>
      <c r="K355" s="4">
        <v>0.1</v>
      </c>
      <c r="L355" t="s">
        <v>106</v>
      </c>
      <c r="M355">
        <v>7</v>
      </c>
      <c r="N355" t="s">
        <v>91</v>
      </c>
      <c r="O355" t="str">
        <f>SUBSTITUTE(PROPER(TRIM(RawSalesTable[[#This Row],[Channel_Raw]])), "Market Place", "Marketplace")</f>
        <v>Online</v>
      </c>
      <c r="P355" t="str">
        <f>TRIM(RawSalesTable[[#This Row],[Store_Raw]])</f>
        <v>Vancouver West</v>
      </c>
      <c r="Q355" t="str">
        <f>IF(TRIM(RawSalesTable[[#This Row],[Payment_Method_Raw]])="","Non renseigné",SUBSTITUTE(TRIM(RawSalesTable[[#This Row],[Payment_Method_Raw]]),"CC","Credit Card"))</f>
        <v>Credit Card</v>
      </c>
      <c r="R355" s="8" t="str">
        <f>UPPER(PROPER(RawSalesTable[[#This Row],[Customer_ID]]))</f>
        <v>C0007</v>
      </c>
      <c r="S355" s="8" t="str">
        <f>TRIM(LEFT(RawSalesTable[[#This Row],[Customer_Info]],FIND(",",RawSalesTable[[#This Row],[Customer_Info]]) -1))</f>
        <v>Lucas Wilson</v>
      </c>
      <c r="T355" s="8" t="str">
        <f>TRIM(MID(RawSalesTable[[#This Row],[Customer_Info]],FIND(",",RawSalesTable[[#This Row],[Customer_Info]])+1,FIND(",",RawSalesTable[[#This Row],[Customer_Info]],FIND(",",RawSalesTable[[#This Row],[Customer_Info]])+1)-FIND(",",RawSalesTable[[#This Row],[Customer_Info]])-1))</f>
        <v>Ottawa</v>
      </c>
      <c r="U355" s="8" t="str">
        <f>TRIM(RIGHT(RawSalesTable[[#This Row],[Customer_Info]], LEN(RawSalesTable[[#This Row],[Customer_Info]])-FIND(",",RawSalesTable[[#This Row],[Customer_Info]],FIND(",",RawSalesTable[[#This Row],[Customer_Info]])+1)))</f>
        <v>Consumer</v>
      </c>
      <c r="V355" s="8" t="str">
        <f>VLOOKUP(RawSalesTable[[#This Row],[Product_ID]],ProductsTable[],2,FALSE)</f>
        <v>Dumbbell Set</v>
      </c>
      <c r="W355" s="8" t="str">
        <f>VLOOKUP(RawSalesTable[[#This Row],[Product_ID]],ProductsTable[],3,FALSE)</f>
        <v>Fitness</v>
      </c>
      <c r="X355" s="8">
        <f>VLOOKUP(RawSalesTable[[#This Row],[Product_ID]],ProductsTable[],5,FALSE)</f>
        <v>131.72999999999999</v>
      </c>
      <c r="Y355" s="8">
        <f>RawSalesTable[[#This Row],[Quantity]]*RawSalesTable[[#This Row],[Unit_Price]]</f>
        <v>475.58</v>
      </c>
      <c r="Z355" s="8">
        <f>RawSalesTable[[#This Row],[Gross_Sales]]*RawSalesTable[[#This Row],[Discount_Pct]]</f>
        <v>47.558</v>
      </c>
      <c r="AA355" s="8">
        <f>RawSalesTable[[#This Row],[Gross_Sales]]-RawSalesTable[[#This Row],[Discount_Amount]]</f>
        <v>428.02199999999999</v>
      </c>
      <c r="AB355" s="8">
        <f>RawSalesTable[[#This Row],[Unit_Cost]]*RawSalesTable[[#This Row],[Quantity]]</f>
        <v>263.45999999999998</v>
      </c>
      <c r="AC355" s="8">
        <f>RawSalesTable[[#This Row],[Net_Sales]]-RawSalesTable[[#This Row],[Total_Cost]]</f>
        <v>164.56200000000001</v>
      </c>
      <c r="AD355" s="9">
        <f>RawSalesTable[[#This Row],[Profit]]/RawSalesTable[[#This Row],[Net_Sales]]</f>
        <v>0.38447089168313781</v>
      </c>
      <c r="AE355" s="8">
        <f>IF(RawSalesTable[[#This Row],[Return_Status]]="Yes",1,0)</f>
        <v>0</v>
      </c>
      <c r="AF355" s="8">
        <f>YEAR(RawSalesTable[[#This Row],[Order_Date]])</f>
        <v>2025</v>
      </c>
      <c r="AG355" s="8">
        <f>MONTH(RawSalesTable[[#This Row],[Order_Date]])</f>
        <v>10</v>
      </c>
      <c r="AH355" s="8" t="str">
        <f>TEXT(RawSalesTable[[#This Row],[Order_Date]],"mmmm")</f>
        <v>octobre</v>
      </c>
      <c r="AI355" s="8" t="str">
        <f>IF(RawSalesTable[[#This Row],[Month_Number]]&lt;=3,"Q1",IF(RawSalesTable[[#This Row],[Month_Number]]&lt;=6,"Q2",IF(RawSalesTable[[#This Row],[Month_Number]]&lt;=9,"Q3","Q4")))</f>
        <v>Q4</v>
      </c>
      <c r="AJ355" s="13">
        <f>DATE(YEAR(RawSalesTable[[#This Row],[Order_Date]]),MONTH(RawSalesTable[[#This Row],[Order_Date]]),1)</f>
        <v>45931</v>
      </c>
      <c r="AK355" s="8" t="str">
        <f>VLOOKUP(RawSalesTable[[#This Row],[Customer_ID_clean]],CustomersTable[],4,FALSE)</f>
        <v>Ontario</v>
      </c>
    </row>
    <row r="356" spans="1:37">
      <c r="A356" t="s">
        <v>763</v>
      </c>
      <c r="B356" s="3">
        <v>45782</v>
      </c>
      <c r="C356" t="s">
        <v>386</v>
      </c>
      <c r="D356" t="s">
        <v>252</v>
      </c>
      <c r="E356" t="s">
        <v>576</v>
      </c>
      <c r="F356" t="s">
        <v>145</v>
      </c>
      <c r="G356" t="s">
        <v>122</v>
      </c>
      <c r="H356" t="s">
        <v>97</v>
      </c>
      <c r="I356">
        <v>4</v>
      </c>
      <c r="J356" s="2">
        <v>253.99</v>
      </c>
      <c r="K356" s="4">
        <v>0</v>
      </c>
      <c r="L356" t="s">
        <v>253</v>
      </c>
      <c r="M356">
        <v>4</v>
      </c>
      <c r="N356" t="s">
        <v>91</v>
      </c>
      <c r="O356" t="str">
        <f>SUBSTITUTE(PROPER(TRIM(RawSalesTable[[#This Row],[Channel_Raw]])), "Market Place", "Marketplace")</f>
        <v>Retail Store</v>
      </c>
      <c r="P356" t="str">
        <f>TRIM(RawSalesTable[[#This Row],[Store_Raw]])</f>
        <v>Calgary North</v>
      </c>
      <c r="Q356" t="str">
        <f>IF(TRIM(RawSalesTable[[#This Row],[Payment_Method_Raw]])="","Non renseigné",SUBSTITUTE(TRIM(RawSalesTable[[#This Row],[Payment_Method_Raw]]),"CC","Credit Card"))</f>
        <v>Credit Card</v>
      </c>
      <c r="R356" s="8" t="str">
        <f>UPPER(PROPER(RawSalesTable[[#This Row],[Customer_ID]]))</f>
        <v>C0009</v>
      </c>
      <c r="S356" s="8" t="str">
        <f>TRIM(LEFT(RawSalesTable[[#This Row],[Customer_Info]],FIND(",",RawSalesTable[[#This Row],[Customer_Info]]) -1))</f>
        <v>Ethan Tremblay</v>
      </c>
      <c r="T356" s="8" t="str">
        <f>TRIM(MID(RawSalesTable[[#This Row],[Customer_Info]],FIND(",",RawSalesTable[[#This Row],[Customer_Info]])+1,FIND(",",RawSalesTable[[#This Row],[Customer_Info]],FIND(",",RawSalesTable[[#This Row],[Customer_Info]])+1)-FIND(",",RawSalesTable[[#This Row],[Customer_Info]])-1))</f>
        <v>Mississauga</v>
      </c>
      <c r="U356" s="8" t="str">
        <f>TRIM(RIGHT(RawSalesTable[[#This Row],[Customer_Info]], LEN(RawSalesTable[[#This Row],[Customer_Info]])-FIND(",",RawSalesTable[[#This Row],[Customer_Info]],FIND(",",RawSalesTable[[#This Row],[Customer_Info]])+1)))</f>
        <v>Corporate</v>
      </c>
      <c r="V356" s="8" t="str">
        <f>VLOOKUP(RawSalesTable[[#This Row],[Product_ID]],ProductsTable[],2,FALSE)</f>
        <v>Vacuum</v>
      </c>
      <c r="W356" s="8" t="str">
        <f>VLOOKUP(RawSalesTable[[#This Row],[Product_ID]],ProductsTable[],3,FALSE)</f>
        <v>Home</v>
      </c>
      <c r="X356" s="8">
        <f>VLOOKUP(RawSalesTable[[#This Row],[Product_ID]],ProductsTable[],5,FALSE)</f>
        <v>186.94</v>
      </c>
      <c r="Y356" s="8">
        <f>RawSalesTable[[#This Row],[Quantity]]*RawSalesTable[[#This Row],[Unit_Price]]</f>
        <v>1015.96</v>
      </c>
      <c r="Z356" s="8">
        <f>RawSalesTable[[#This Row],[Gross_Sales]]*RawSalesTable[[#This Row],[Discount_Pct]]</f>
        <v>0</v>
      </c>
      <c r="AA356" s="8">
        <f>RawSalesTable[[#This Row],[Gross_Sales]]-RawSalesTable[[#This Row],[Discount_Amount]]</f>
        <v>1015.96</v>
      </c>
      <c r="AB356" s="8">
        <f>RawSalesTable[[#This Row],[Unit_Cost]]*RawSalesTable[[#This Row],[Quantity]]</f>
        <v>747.76</v>
      </c>
      <c r="AC356" s="8">
        <f>RawSalesTable[[#This Row],[Net_Sales]]-RawSalesTable[[#This Row],[Total_Cost]]</f>
        <v>268.20000000000005</v>
      </c>
      <c r="AD356" s="9">
        <f>RawSalesTable[[#This Row],[Profit]]/RawSalesTable[[#This Row],[Net_Sales]]</f>
        <v>0.26398677113272179</v>
      </c>
      <c r="AE356" s="8">
        <f>IF(RawSalesTable[[#This Row],[Return_Status]]="Yes",1,0)</f>
        <v>0</v>
      </c>
      <c r="AF356" s="8">
        <f>YEAR(RawSalesTable[[#This Row],[Order_Date]])</f>
        <v>2025</v>
      </c>
      <c r="AG356" s="8">
        <f>MONTH(RawSalesTable[[#This Row],[Order_Date]])</f>
        <v>5</v>
      </c>
      <c r="AH356" s="8" t="str">
        <f>TEXT(RawSalesTable[[#This Row],[Order_Date]],"mmmm")</f>
        <v>mai</v>
      </c>
      <c r="AI356" s="8" t="str">
        <f>IF(RawSalesTable[[#This Row],[Month_Number]]&lt;=3,"Q1",IF(RawSalesTable[[#This Row],[Month_Number]]&lt;=6,"Q2",IF(RawSalesTable[[#This Row],[Month_Number]]&lt;=9,"Q3","Q4")))</f>
        <v>Q2</v>
      </c>
      <c r="AJ356" s="13">
        <f>DATE(YEAR(RawSalesTable[[#This Row],[Order_Date]]),MONTH(RawSalesTable[[#This Row],[Order_Date]]),1)</f>
        <v>45778</v>
      </c>
      <c r="AK356" s="8" t="str">
        <f>VLOOKUP(RawSalesTable[[#This Row],[Customer_ID_clean]],CustomersTable[],4,FALSE)</f>
        <v>Ontario</v>
      </c>
    </row>
    <row r="357" spans="1:37">
      <c r="A357" t="s">
        <v>764</v>
      </c>
      <c r="B357" s="3">
        <v>45836</v>
      </c>
      <c r="C357" t="s">
        <v>414</v>
      </c>
      <c r="D357" t="s">
        <v>125</v>
      </c>
      <c r="E357" t="s">
        <v>415</v>
      </c>
      <c r="F357" t="s">
        <v>103</v>
      </c>
      <c r="G357" t="s">
        <v>88</v>
      </c>
      <c r="H357" t="s">
        <v>89</v>
      </c>
      <c r="I357">
        <v>1</v>
      </c>
      <c r="J357" s="2">
        <v>59.27</v>
      </c>
      <c r="K357" s="4">
        <v>0.1</v>
      </c>
      <c r="L357" t="s">
        <v>106</v>
      </c>
      <c r="M357">
        <v>1</v>
      </c>
      <c r="N357" t="s">
        <v>91</v>
      </c>
      <c r="O357" t="str">
        <f>SUBSTITUTE(PROPER(TRIM(RawSalesTable[[#This Row],[Channel_Raw]])), "Market Place", "Marketplace")</f>
        <v>Online</v>
      </c>
      <c r="P357" t="str">
        <f>TRIM(RawSalesTable[[#This Row],[Store_Raw]])</f>
        <v>Vancouver West</v>
      </c>
      <c r="Q357" t="str">
        <f>IF(TRIM(RawSalesTable[[#This Row],[Payment_Method_Raw]])="","Non renseigné",SUBSTITUTE(TRIM(RawSalesTable[[#This Row],[Payment_Method_Raw]]),"CC","Credit Card"))</f>
        <v>Credit Card</v>
      </c>
      <c r="R357" s="8" t="str">
        <f>UPPER(PROPER(RawSalesTable[[#This Row],[Customer_ID]]))</f>
        <v>C0052</v>
      </c>
      <c r="S357" s="8" t="str">
        <f>TRIM(LEFT(RawSalesTable[[#This Row],[Customer_Info]],FIND(",",RawSalesTable[[#This Row],[Customer_Info]]) -1))</f>
        <v>Liam Bennett</v>
      </c>
      <c r="T357" s="8" t="str">
        <f>TRIM(MID(RawSalesTable[[#This Row],[Customer_Info]],FIND(",",RawSalesTable[[#This Row],[Customer_Info]])+1,FIND(",",RawSalesTable[[#This Row],[Customer_Info]],FIND(",",RawSalesTable[[#This Row],[Customer_Info]])+1)-FIND(",",RawSalesTable[[#This Row],[Customer_Info]])-1))</f>
        <v>Edmonton</v>
      </c>
      <c r="U357" s="8" t="str">
        <f>TRIM(RIGHT(RawSalesTable[[#This Row],[Customer_Info]], LEN(RawSalesTable[[#This Row],[Customer_Info]])-FIND(",",RawSalesTable[[#This Row],[Customer_Info]],FIND(",",RawSalesTable[[#This Row],[Customer_Info]])+1)))</f>
        <v>Corporate</v>
      </c>
      <c r="V357" s="8" t="str">
        <f>VLOOKUP(RawSalesTable[[#This Row],[Product_ID]],ProductsTable[],2,FALSE)</f>
        <v>Kettlebell</v>
      </c>
      <c r="W357" s="8" t="str">
        <f>VLOOKUP(RawSalesTable[[#This Row],[Product_ID]],ProductsTable[],3,FALSE)</f>
        <v>Fitness</v>
      </c>
      <c r="X357" s="8">
        <f>VLOOKUP(RawSalesTable[[#This Row],[Product_ID]],ProductsTable[],5,FALSE)</f>
        <v>25.97</v>
      </c>
      <c r="Y357" s="8">
        <f>RawSalesTable[[#This Row],[Quantity]]*RawSalesTable[[#This Row],[Unit_Price]]</f>
        <v>59.27</v>
      </c>
      <c r="Z357" s="8">
        <f>RawSalesTable[[#This Row],[Gross_Sales]]*RawSalesTable[[#This Row],[Discount_Pct]]</f>
        <v>5.9270000000000005</v>
      </c>
      <c r="AA357" s="8">
        <f>RawSalesTable[[#This Row],[Gross_Sales]]-RawSalesTable[[#This Row],[Discount_Amount]]</f>
        <v>53.343000000000004</v>
      </c>
      <c r="AB357" s="8">
        <f>RawSalesTable[[#This Row],[Unit_Cost]]*RawSalesTable[[#This Row],[Quantity]]</f>
        <v>25.97</v>
      </c>
      <c r="AC357" s="8">
        <f>RawSalesTable[[#This Row],[Net_Sales]]-RawSalesTable[[#This Row],[Total_Cost]]</f>
        <v>27.373000000000005</v>
      </c>
      <c r="AD357" s="9">
        <f>RawSalesTable[[#This Row],[Profit]]/RawSalesTable[[#This Row],[Net_Sales]]</f>
        <v>0.51315074142811623</v>
      </c>
      <c r="AE357" s="8">
        <f>IF(RawSalesTable[[#This Row],[Return_Status]]="Yes",1,0)</f>
        <v>0</v>
      </c>
      <c r="AF357" s="8">
        <f>YEAR(RawSalesTable[[#This Row],[Order_Date]])</f>
        <v>2025</v>
      </c>
      <c r="AG357" s="8">
        <f>MONTH(RawSalesTable[[#This Row],[Order_Date]])</f>
        <v>6</v>
      </c>
      <c r="AH357" s="8" t="str">
        <f>TEXT(RawSalesTable[[#This Row],[Order_Date]],"mmmm")</f>
        <v>juin</v>
      </c>
      <c r="AI357" s="8" t="str">
        <f>IF(RawSalesTable[[#This Row],[Month_Number]]&lt;=3,"Q1",IF(RawSalesTable[[#This Row],[Month_Number]]&lt;=6,"Q2",IF(RawSalesTable[[#This Row],[Month_Number]]&lt;=9,"Q3","Q4")))</f>
        <v>Q2</v>
      </c>
      <c r="AJ357" s="13">
        <f>DATE(YEAR(RawSalesTable[[#This Row],[Order_Date]]),MONTH(RawSalesTable[[#This Row],[Order_Date]]),1)</f>
        <v>45809</v>
      </c>
      <c r="AK357" s="8" t="str">
        <f>VLOOKUP(RawSalesTable[[#This Row],[Customer_ID_clean]],CustomersTable[],4,FALSE)</f>
        <v>Alberta</v>
      </c>
    </row>
    <row r="358" spans="1:37">
      <c r="A358" t="s">
        <v>765</v>
      </c>
      <c r="B358" s="3">
        <v>45896</v>
      </c>
      <c r="C358" t="s">
        <v>466</v>
      </c>
      <c r="D358" t="s">
        <v>244</v>
      </c>
      <c r="E358" t="s">
        <v>467</v>
      </c>
      <c r="F358" t="s">
        <v>145</v>
      </c>
      <c r="G358" t="s">
        <v>183</v>
      </c>
      <c r="H358" t="s">
        <v>89</v>
      </c>
      <c r="I358">
        <v>1</v>
      </c>
      <c r="J358" s="2">
        <v>244.01</v>
      </c>
      <c r="K358" s="4">
        <v>0.05</v>
      </c>
      <c r="L358" t="s">
        <v>106</v>
      </c>
      <c r="M358">
        <v>6</v>
      </c>
      <c r="N358" t="s">
        <v>147</v>
      </c>
      <c r="O358" t="str">
        <f>SUBSTITUTE(PROPER(TRIM(RawSalesTable[[#This Row],[Channel_Raw]])), "Market Place", "Marketplace")</f>
        <v>Online</v>
      </c>
      <c r="P358" t="str">
        <f>TRIM(RawSalesTable[[#This Row],[Store_Raw]])</f>
        <v>Calgary North</v>
      </c>
      <c r="Q358" t="str">
        <f>IF(TRIM(RawSalesTable[[#This Row],[Payment_Method_Raw]])="","Non renseigné",SUBSTITUTE(TRIM(RawSalesTable[[#This Row],[Payment_Method_Raw]]),"CC","Credit Card"))</f>
        <v>Credit Card</v>
      </c>
      <c r="R358" s="8" t="str">
        <f>UPPER(PROPER(RawSalesTable[[#This Row],[Customer_ID]]))</f>
        <v>C0096</v>
      </c>
      <c r="S358" s="8" t="str">
        <f>TRIM(LEFT(RawSalesTable[[#This Row],[Customer_Info]],FIND(",",RawSalesTable[[#This Row],[Customer_Info]]) -1))</f>
        <v>Ryan Roy</v>
      </c>
      <c r="T358" s="8" t="str">
        <f>TRIM(MID(RawSalesTable[[#This Row],[Customer_Info]],FIND(",",RawSalesTable[[#This Row],[Customer_Info]])+1,FIND(",",RawSalesTable[[#This Row],[Customer_Info]],FIND(",",RawSalesTable[[#This Row],[Customer_Info]])+1)-FIND(",",RawSalesTable[[#This Row],[Customer_Info]])-1))</f>
        <v>Laval</v>
      </c>
      <c r="U358" s="8" t="str">
        <f>TRIM(RIGHT(RawSalesTable[[#This Row],[Customer_Info]], LEN(RawSalesTable[[#This Row],[Customer_Info]])-FIND(",",RawSalesTable[[#This Row],[Customer_Info]],FIND(",",RawSalesTable[[#This Row],[Customer_Info]])+1)))</f>
        <v>Corporate</v>
      </c>
      <c r="V358" s="8" t="str">
        <f>VLOOKUP(RawSalesTable[[#This Row],[Product_ID]],ProductsTable[],2,FALSE)</f>
        <v>Portable SSD</v>
      </c>
      <c r="W358" s="8" t="str">
        <f>VLOOKUP(RawSalesTable[[#This Row],[Product_ID]],ProductsTable[],3,FALSE)</f>
        <v>Electronics</v>
      </c>
      <c r="X358" s="8">
        <f>VLOOKUP(RawSalesTable[[#This Row],[Product_ID]],ProductsTable[],5,FALSE)</f>
        <v>131.19</v>
      </c>
      <c r="Y358" s="8">
        <f>RawSalesTable[[#This Row],[Quantity]]*RawSalesTable[[#This Row],[Unit_Price]]</f>
        <v>244.01</v>
      </c>
      <c r="Z358" s="8">
        <f>RawSalesTable[[#This Row],[Gross_Sales]]*RawSalesTable[[#This Row],[Discount_Pct]]</f>
        <v>12.2005</v>
      </c>
      <c r="AA358" s="8">
        <f>RawSalesTable[[#This Row],[Gross_Sales]]-RawSalesTable[[#This Row],[Discount_Amount]]</f>
        <v>231.80949999999999</v>
      </c>
      <c r="AB358" s="8">
        <f>RawSalesTable[[#This Row],[Unit_Cost]]*RawSalesTable[[#This Row],[Quantity]]</f>
        <v>131.19</v>
      </c>
      <c r="AC358" s="8">
        <f>RawSalesTable[[#This Row],[Net_Sales]]-RawSalesTable[[#This Row],[Total_Cost]]</f>
        <v>100.61949999999999</v>
      </c>
      <c r="AD358" s="9">
        <f>RawSalesTable[[#This Row],[Profit]]/RawSalesTable[[#This Row],[Net_Sales]]</f>
        <v>0.4340611579767007</v>
      </c>
      <c r="AE358" s="8">
        <f>IF(RawSalesTable[[#This Row],[Return_Status]]="Yes",1,0)</f>
        <v>1</v>
      </c>
      <c r="AF358" s="8">
        <f>YEAR(RawSalesTable[[#This Row],[Order_Date]])</f>
        <v>2025</v>
      </c>
      <c r="AG358" s="8">
        <f>MONTH(RawSalesTable[[#This Row],[Order_Date]])</f>
        <v>8</v>
      </c>
      <c r="AH358" s="8" t="str">
        <f>TEXT(RawSalesTable[[#This Row],[Order_Date]],"mmmm")</f>
        <v>août</v>
      </c>
      <c r="AI358" s="8" t="str">
        <f>IF(RawSalesTable[[#This Row],[Month_Number]]&lt;=3,"Q1",IF(RawSalesTable[[#This Row],[Month_Number]]&lt;=6,"Q2",IF(RawSalesTable[[#This Row],[Month_Number]]&lt;=9,"Q3","Q4")))</f>
        <v>Q3</v>
      </c>
      <c r="AJ358" s="13">
        <f>DATE(YEAR(RawSalesTable[[#This Row],[Order_Date]]),MONTH(RawSalesTable[[#This Row],[Order_Date]]),1)</f>
        <v>45870</v>
      </c>
      <c r="AK358" s="8" t="str">
        <f>VLOOKUP(RawSalesTable[[#This Row],[Customer_ID_clean]],CustomersTable[],4,FALSE)</f>
        <v>Quebec</v>
      </c>
    </row>
    <row r="359" spans="1:37">
      <c r="A359" t="s">
        <v>766</v>
      </c>
      <c r="B359" s="3">
        <v>45777</v>
      </c>
      <c r="C359" t="s">
        <v>706</v>
      </c>
      <c r="D359" t="s">
        <v>261</v>
      </c>
      <c r="E359" t="s">
        <v>707</v>
      </c>
      <c r="F359" t="s">
        <v>145</v>
      </c>
      <c r="G359" t="s">
        <v>130</v>
      </c>
      <c r="H359" t="s">
        <v>246</v>
      </c>
      <c r="I359">
        <v>3</v>
      </c>
      <c r="J359" s="2">
        <v>255.82</v>
      </c>
      <c r="K359" s="4">
        <v>0</v>
      </c>
      <c r="L359" t="s">
        <v>90</v>
      </c>
      <c r="M359">
        <v>4</v>
      </c>
      <c r="N359" t="s">
        <v>91</v>
      </c>
      <c r="O359" t="str">
        <f>SUBSTITUTE(PROPER(TRIM(RawSalesTable[[#This Row],[Channel_Raw]])), "Market Place", "Marketplace")</f>
        <v>Retail Store</v>
      </c>
      <c r="P359" t="str">
        <f>TRIM(RawSalesTable[[#This Row],[Store_Raw]])</f>
        <v>Calgary North</v>
      </c>
      <c r="Q359" t="str">
        <f>IF(TRIM(RawSalesTable[[#This Row],[Payment_Method_Raw]])="","Non renseigné",SUBSTITUTE(TRIM(RawSalesTable[[#This Row],[Payment_Method_Raw]]),"CC","Credit Card"))</f>
        <v>PayPal</v>
      </c>
      <c r="R359" s="8" t="str">
        <f>UPPER(PROPER(RawSalesTable[[#This Row],[Customer_ID]]))</f>
        <v>C0006</v>
      </c>
      <c r="S359" s="8" t="str">
        <f>TRIM(LEFT(RawSalesTable[[#This Row],[Customer_Info]],FIND(",",RawSalesTable[[#This Row],[Customer_Info]]) -1))</f>
        <v>Nora Wilson</v>
      </c>
      <c r="T359" s="8" t="str">
        <f>TRIM(MID(RawSalesTable[[#This Row],[Customer_Info]],FIND(",",RawSalesTable[[#This Row],[Customer_Info]])+1,FIND(",",RawSalesTable[[#This Row],[Customer_Info]],FIND(",",RawSalesTable[[#This Row],[Customer_Info]])+1)-FIND(",",RawSalesTable[[#This Row],[Customer_Info]])-1))</f>
        <v>Laval</v>
      </c>
      <c r="U359" s="8" t="str">
        <f>TRIM(RIGHT(RawSalesTable[[#This Row],[Customer_Info]], LEN(RawSalesTable[[#This Row],[Customer_Info]])-FIND(",",RawSalesTable[[#This Row],[Customer_Info]],FIND(",",RawSalesTable[[#This Row],[Customer_Info]])+1)))</f>
        <v>Consumer</v>
      </c>
      <c r="V359" s="8" t="str">
        <f>VLOOKUP(RawSalesTable[[#This Row],[Product_ID]],ProductsTable[],2,FALSE)</f>
        <v>Dumbbell Set</v>
      </c>
      <c r="W359" s="8" t="str">
        <f>VLOOKUP(RawSalesTable[[#This Row],[Product_ID]],ProductsTable[],3,FALSE)</f>
        <v>Fitness</v>
      </c>
      <c r="X359" s="8">
        <f>VLOOKUP(RawSalesTable[[#This Row],[Product_ID]],ProductsTable[],5,FALSE)</f>
        <v>131.72999999999999</v>
      </c>
      <c r="Y359" s="8">
        <f>RawSalesTable[[#This Row],[Quantity]]*RawSalesTable[[#This Row],[Unit_Price]]</f>
        <v>767.46</v>
      </c>
      <c r="Z359" s="8">
        <f>RawSalesTable[[#This Row],[Gross_Sales]]*RawSalesTable[[#This Row],[Discount_Pct]]</f>
        <v>0</v>
      </c>
      <c r="AA359" s="8">
        <f>RawSalesTable[[#This Row],[Gross_Sales]]-RawSalesTable[[#This Row],[Discount_Amount]]</f>
        <v>767.46</v>
      </c>
      <c r="AB359" s="8">
        <f>RawSalesTable[[#This Row],[Unit_Cost]]*RawSalesTable[[#This Row],[Quantity]]</f>
        <v>395.18999999999994</v>
      </c>
      <c r="AC359" s="8">
        <f>RawSalesTable[[#This Row],[Net_Sales]]-RawSalesTable[[#This Row],[Total_Cost]]</f>
        <v>372.2700000000001</v>
      </c>
      <c r="AD359" s="9">
        <f>RawSalesTable[[#This Row],[Profit]]/RawSalesTable[[#This Row],[Net_Sales]]</f>
        <v>0.48506762567430234</v>
      </c>
      <c r="AE359" s="8">
        <f>IF(RawSalesTable[[#This Row],[Return_Status]]="Yes",1,0)</f>
        <v>0</v>
      </c>
      <c r="AF359" s="8">
        <f>YEAR(RawSalesTable[[#This Row],[Order_Date]])</f>
        <v>2025</v>
      </c>
      <c r="AG359" s="8">
        <f>MONTH(RawSalesTable[[#This Row],[Order_Date]])</f>
        <v>4</v>
      </c>
      <c r="AH359" s="8" t="str">
        <f>TEXT(RawSalesTable[[#This Row],[Order_Date]],"mmmm")</f>
        <v>avril</v>
      </c>
      <c r="AI359" s="8" t="str">
        <f>IF(RawSalesTable[[#This Row],[Month_Number]]&lt;=3,"Q1",IF(RawSalesTable[[#This Row],[Month_Number]]&lt;=6,"Q2",IF(RawSalesTable[[#This Row],[Month_Number]]&lt;=9,"Q3","Q4")))</f>
        <v>Q2</v>
      </c>
      <c r="AJ359" s="13">
        <f>DATE(YEAR(RawSalesTable[[#This Row],[Order_Date]]),MONTH(RawSalesTable[[#This Row],[Order_Date]]),1)</f>
        <v>45748</v>
      </c>
      <c r="AK359" s="8" t="str">
        <f>VLOOKUP(RawSalesTable[[#This Row],[Customer_ID_clean]],CustomersTable[],4,FALSE)</f>
        <v>Quebec</v>
      </c>
    </row>
    <row r="360" spans="1:37">
      <c r="A360" t="s">
        <v>767</v>
      </c>
      <c r="B360" s="3">
        <v>45878</v>
      </c>
      <c r="C360" t="s">
        <v>197</v>
      </c>
      <c r="D360" t="s">
        <v>136</v>
      </c>
      <c r="E360" t="s">
        <v>768</v>
      </c>
      <c r="F360" t="s">
        <v>116</v>
      </c>
      <c r="G360" t="s">
        <v>104</v>
      </c>
      <c r="H360" t="s">
        <v>105</v>
      </c>
      <c r="I360">
        <v>2</v>
      </c>
      <c r="J360" s="2">
        <v>164.5</v>
      </c>
      <c r="K360" s="4">
        <v>0</v>
      </c>
      <c r="L360" t="s">
        <v>90</v>
      </c>
      <c r="M360">
        <v>2</v>
      </c>
      <c r="N360" t="s">
        <v>91</v>
      </c>
      <c r="O360" t="str">
        <f>SUBSTITUTE(PROPER(TRIM(RawSalesTable[[#This Row],[Channel_Raw]])), "Market Place", "Marketplace")</f>
        <v>Marketplace</v>
      </c>
      <c r="P360" t="str">
        <f>TRIM(RawSalesTable[[#This Row],[Store_Raw]])</f>
        <v>Toronto Downtown</v>
      </c>
      <c r="Q360" t="str">
        <f>IF(TRIM(RawSalesTable[[#This Row],[Payment_Method_Raw]])="","Non renseigné",SUBSTITUTE(TRIM(RawSalesTable[[#This Row],[Payment_Method_Raw]]),"CC","Credit Card"))</f>
        <v>PayPal</v>
      </c>
      <c r="R360" s="8" t="str">
        <f>UPPER(PROPER(RawSalesTable[[#This Row],[Customer_ID]]))</f>
        <v>C0091</v>
      </c>
      <c r="S360" s="8" t="str">
        <f>TRIM(LEFT(RawSalesTable[[#This Row],[Customer_Info]],FIND(",",RawSalesTable[[#This Row],[Customer_Info]]) -1))</f>
        <v>Leo Taylor</v>
      </c>
      <c r="T360" s="8" t="str">
        <f>TRIM(MID(RawSalesTable[[#This Row],[Customer_Info]],FIND(",",RawSalesTable[[#This Row],[Customer_Info]])+1,FIND(",",RawSalesTable[[#This Row],[Customer_Info]],FIND(",",RawSalesTable[[#This Row],[Customer_Info]])+1)-FIND(",",RawSalesTable[[#This Row],[Customer_Info]])-1))</f>
        <v>Victoria</v>
      </c>
      <c r="U360" s="8" t="str">
        <f>TRIM(RIGHT(RawSalesTable[[#This Row],[Customer_Info]], LEN(RawSalesTable[[#This Row],[Customer_Info]])-FIND(",",RawSalesTable[[#This Row],[Customer_Info]],FIND(",",RawSalesTable[[#This Row],[Customer_Info]])+1)))</f>
        <v>Small Business</v>
      </c>
      <c r="V360" s="8" t="str">
        <f>VLOOKUP(RawSalesTable[[#This Row],[Product_ID]],ProductsTable[],2,FALSE)</f>
        <v>Mouse</v>
      </c>
      <c r="W360" s="8" t="str">
        <f>VLOOKUP(RawSalesTable[[#This Row],[Product_ID]],ProductsTable[],3,FALSE)</f>
        <v>Electronics</v>
      </c>
      <c r="X360" s="8">
        <f>VLOOKUP(RawSalesTable[[#This Row],[Product_ID]],ProductsTable[],5,FALSE)</f>
        <v>106.4</v>
      </c>
      <c r="Y360" s="8">
        <f>RawSalesTable[[#This Row],[Quantity]]*RawSalesTable[[#This Row],[Unit_Price]]</f>
        <v>329</v>
      </c>
      <c r="Z360" s="8">
        <f>RawSalesTable[[#This Row],[Gross_Sales]]*RawSalesTable[[#This Row],[Discount_Pct]]</f>
        <v>0</v>
      </c>
      <c r="AA360" s="8">
        <f>RawSalesTable[[#This Row],[Gross_Sales]]-RawSalesTable[[#This Row],[Discount_Amount]]</f>
        <v>329</v>
      </c>
      <c r="AB360" s="8">
        <f>RawSalesTable[[#This Row],[Unit_Cost]]*RawSalesTable[[#This Row],[Quantity]]</f>
        <v>212.8</v>
      </c>
      <c r="AC360" s="8">
        <f>RawSalesTable[[#This Row],[Net_Sales]]-RawSalesTable[[#This Row],[Total_Cost]]</f>
        <v>116.19999999999999</v>
      </c>
      <c r="AD360" s="9">
        <f>RawSalesTable[[#This Row],[Profit]]/RawSalesTable[[#This Row],[Net_Sales]]</f>
        <v>0.35319148936170208</v>
      </c>
      <c r="AE360" s="8">
        <f>IF(RawSalesTable[[#This Row],[Return_Status]]="Yes",1,0)</f>
        <v>0</v>
      </c>
      <c r="AF360" s="8">
        <f>YEAR(RawSalesTable[[#This Row],[Order_Date]])</f>
        <v>2025</v>
      </c>
      <c r="AG360" s="8">
        <f>MONTH(RawSalesTable[[#This Row],[Order_Date]])</f>
        <v>8</v>
      </c>
      <c r="AH360" s="8" t="str">
        <f>TEXT(RawSalesTable[[#This Row],[Order_Date]],"mmmm")</f>
        <v>août</v>
      </c>
      <c r="AI360" s="8" t="str">
        <f>IF(RawSalesTable[[#This Row],[Month_Number]]&lt;=3,"Q1",IF(RawSalesTable[[#This Row],[Month_Number]]&lt;=6,"Q2",IF(RawSalesTable[[#This Row],[Month_Number]]&lt;=9,"Q3","Q4")))</f>
        <v>Q3</v>
      </c>
      <c r="AJ360" s="13">
        <f>DATE(YEAR(RawSalesTable[[#This Row],[Order_Date]]),MONTH(RawSalesTable[[#This Row],[Order_Date]]),1)</f>
        <v>45870</v>
      </c>
      <c r="AK360" s="8" t="str">
        <f>VLOOKUP(RawSalesTable[[#This Row],[Customer_ID_clean]],CustomersTable[],4,FALSE)</f>
        <v>British Columbia</v>
      </c>
    </row>
    <row r="361" spans="1:37">
      <c r="A361" t="s">
        <v>769</v>
      </c>
      <c r="B361" s="3">
        <v>45666</v>
      </c>
      <c r="C361" t="s">
        <v>100</v>
      </c>
      <c r="D361" t="s">
        <v>323</v>
      </c>
      <c r="E361" t="s">
        <v>102</v>
      </c>
      <c r="F361" t="s">
        <v>111</v>
      </c>
      <c r="G361" t="s">
        <v>117</v>
      </c>
      <c r="H361" t="s">
        <v>97</v>
      </c>
      <c r="I361">
        <v>1</v>
      </c>
      <c r="J361" s="2">
        <v>339.34</v>
      </c>
      <c r="K361" s="4">
        <v>0.05</v>
      </c>
      <c r="L361" t="s">
        <v>106</v>
      </c>
      <c r="M361">
        <v>0</v>
      </c>
      <c r="N361" t="s">
        <v>91</v>
      </c>
      <c r="O361" t="str">
        <f>SUBSTITUTE(PROPER(TRIM(RawSalesTable[[#This Row],[Channel_Raw]])), "Market Place", "Marketplace")</f>
        <v>Retail Store</v>
      </c>
      <c r="P361" t="str">
        <f>TRIM(RawSalesTable[[#This Row],[Store_Raw]])</f>
        <v>Montreal Central</v>
      </c>
      <c r="Q361" t="str">
        <f>IF(TRIM(RawSalesTable[[#This Row],[Payment_Method_Raw]])="","Non renseigné",SUBSTITUTE(TRIM(RawSalesTable[[#This Row],[Payment_Method_Raw]]),"CC","Credit Card"))</f>
        <v>Credit Card</v>
      </c>
      <c r="R361" s="8" t="str">
        <f>UPPER(PROPER(RawSalesTable[[#This Row],[Customer_ID]]))</f>
        <v>C0003</v>
      </c>
      <c r="S361" s="8" t="str">
        <f>TRIM(LEFT(RawSalesTable[[#This Row],[Customer_Info]],FIND(",",RawSalesTable[[#This Row],[Customer_Info]]) -1))</f>
        <v>Amelia Young</v>
      </c>
      <c r="T361" s="8" t="str">
        <f>TRIM(MID(RawSalesTable[[#This Row],[Customer_Info]],FIND(",",RawSalesTable[[#This Row],[Customer_Info]])+1,FIND(",",RawSalesTable[[#This Row],[Customer_Info]],FIND(",",RawSalesTable[[#This Row],[Customer_Info]])+1)-FIND(",",RawSalesTable[[#This Row],[Customer_Info]])-1))</f>
        <v>Ottawa</v>
      </c>
      <c r="U361" s="8" t="str">
        <f>TRIM(RIGHT(RawSalesTable[[#This Row],[Customer_Info]], LEN(RawSalesTable[[#This Row],[Customer_Info]])-FIND(",",RawSalesTable[[#This Row],[Customer_Info]],FIND(",",RawSalesTable[[#This Row],[Customer_Info]])+1)))</f>
        <v>Corporate</v>
      </c>
      <c r="V361" s="8" t="str">
        <f>VLOOKUP(RawSalesTable[[#This Row],[Product_ID]],ProductsTable[],2,FALSE)</f>
        <v>Toaster</v>
      </c>
      <c r="W361" s="8" t="str">
        <f>VLOOKUP(RawSalesTable[[#This Row],[Product_ID]],ProductsTable[],3,FALSE)</f>
        <v>Home</v>
      </c>
      <c r="X361" s="8">
        <f>VLOOKUP(RawSalesTable[[#This Row],[Product_ID]],ProductsTable[],5,FALSE)</f>
        <v>152.88</v>
      </c>
      <c r="Y361" s="8">
        <f>RawSalesTable[[#This Row],[Quantity]]*RawSalesTable[[#This Row],[Unit_Price]]</f>
        <v>339.34</v>
      </c>
      <c r="Z361" s="8">
        <f>RawSalesTable[[#This Row],[Gross_Sales]]*RawSalesTable[[#This Row],[Discount_Pct]]</f>
        <v>16.966999999999999</v>
      </c>
      <c r="AA361" s="8">
        <f>RawSalesTable[[#This Row],[Gross_Sales]]-RawSalesTable[[#This Row],[Discount_Amount]]</f>
        <v>322.37299999999999</v>
      </c>
      <c r="AB361" s="8">
        <f>RawSalesTable[[#This Row],[Unit_Cost]]*RawSalesTable[[#This Row],[Quantity]]</f>
        <v>152.88</v>
      </c>
      <c r="AC361" s="8">
        <f>RawSalesTable[[#This Row],[Net_Sales]]-RawSalesTable[[#This Row],[Total_Cost]]</f>
        <v>169.49299999999999</v>
      </c>
      <c r="AD361" s="9">
        <f>RawSalesTable[[#This Row],[Profit]]/RawSalesTable[[#This Row],[Net_Sales]]</f>
        <v>0.52576673604799407</v>
      </c>
      <c r="AE361" s="8">
        <f>IF(RawSalesTable[[#This Row],[Return_Status]]="Yes",1,0)</f>
        <v>0</v>
      </c>
      <c r="AF361" s="8">
        <f>YEAR(RawSalesTable[[#This Row],[Order_Date]])</f>
        <v>2025</v>
      </c>
      <c r="AG361" s="8">
        <f>MONTH(RawSalesTable[[#This Row],[Order_Date]])</f>
        <v>1</v>
      </c>
      <c r="AH361" s="8" t="str">
        <f>TEXT(RawSalesTable[[#This Row],[Order_Date]],"mmmm")</f>
        <v>janvier</v>
      </c>
      <c r="AI361" s="8" t="str">
        <f>IF(RawSalesTable[[#This Row],[Month_Number]]&lt;=3,"Q1",IF(RawSalesTable[[#This Row],[Month_Number]]&lt;=6,"Q2",IF(RawSalesTable[[#This Row],[Month_Number]]&lt;=9,"Q3","Q4")))</f>
        <v>Q1</v>
      </c>
      <c r="AJ361" s="13">
        <f>DATE(YEAR(RawSalesTable[[#This Row],[Order_Date]]),MONTH(RawSalesTable[[#This Row],[Order_Date]]),1)</f>
        <v>45658</v>
      </c>
      <c r="AK361" s="8" t="str">
        <f>VLOOKUP(RawSalesTable[[#This Row],[Customer_ID_clean]],CustomersTable[],4,FALSE)</f>
        <v>Ontario</v>
      </c>
    </row>
    <row r="362" spans="1:37">
      <c r="A362" t="s">
        <v>770</v>
      </c>
      <c r="B362" s="3">
        <v>46016</v>
      </c>
      <c r="C362" t="s">
        <v>349</v>
      </c>
      <c r="D362" t="s">
        <v>194</v>
      </c>
      <c r="E362" t="s">
        <v>350</v>
      </c>
      <c r="F362" t="s">
        <v>87</v>
      </c>
      <c r="G362" t="s">
        <v>130</v>
      </c>
      <c r="H362" t="s">
        <v>97</v>
      </c>
      <c r="I362">
        <v>2</v>
      </c>
      <c r="J362" s="2">
        <v>191.38</v>
      </c>
      <c r="K362" s="4">
        <v>0.15</v>
      </c>
      <c r="L362" t="s">
        <v>90</v>
      </c>
      <c r="M362">
        <v>2</v>
      </c>
      <c r="N362" t="s">
        <v>91</v>
      </c>
      <c r="O362" t="str">
        <f>SUBSTITUTE(PROPER(TRIM(RawSalesTable[[#This Row],[Channel_Raw]])), "Market Place", "Marketplace")</f>
        <v>Retail Store</v>
      </c>
      <c r="P362" t="str">
        <f>TRIM(RawSalesTable[[#This Row],[Store_Raw]])</f>
        <v>Online Fulfillment</v>
      </c>
      <c r="Q362" t="str">
        <f>IF(TRIM(RawSalesTable[[#This Row],[Payment_Method_Raw]])="","Non renseigné",SUBSTITUTE(TRIM(RawSalesTable[[#This Row],[Payment_Method_Raw]]),"CC","Credit Card"))</f>
        <v>PayPal</v>
      </c>
      <c r="R362" s="8" t="str">
        <f>UPPER(PROPER(RawSalesTable[[#This Row],[Customer_ID]]))</f>
        <v>C0088</v>
      </c>
      <c r="S362" s="8" t="str">
        <f>TRIM(LEFT(RawSalesTable[[#This Row],[Customer_Info]],FIND(",",RawSalesTable[[#This Row],[Customer_Info]]) -1))</f>
        <v>Olivia Bennett</v>
      </c>
      <c r="T362" s="8" t="str">
        <f>TRIM(MID(RawSalesTable[[#This Row],[Customer_Info]],FIND(",",RawSalesTable[[#This Row],[Customer_Info]])+1,FIND(",",RawSalesTable[[#This Row],[Customer_Info]],FIND(",",RawSalesTable[[#This Row],[Customer_Info]])+1)-FIND(",",RawSalesTable[[#This Row],[Customer_Info]])-1))</f>
        <v>Vancouver</v>
      </c>
      <c r="U362" s="8" t="str">
        <f>TRIM(RIGHT(RawSalesTable[[#This Row],[Customer_Info]], LEN(RawSalesTable[[#This Row],[Customer_Info]])-FIND(",",RawSalesTable[[#This Row],[Customer_Info]],FIND(",",RawSalesTable[[#This Row],[Customer_Info]])+1)))</f>
        <v>Small Business</v>
      </c>
      <c r="V362" s="8" t="str">
        <f>VLOOKUP(RawSalesTable[[#This Row],[Product_ID]],ProductsTable[],2,FALSE)</f>
        <v>Jump Rope</v>
      </c>
      <c r="W362" s="8" t="str">
        <f>VLOOKUP(RawSalesTable[[#This Row],[Product_ID]],ProductsTable[],3,FALSE)</f>
        <v>Fitness</v>
      </c>
      <c r="X362" s="8">
        <f>VLOOKUP(RawSalesTable[[#This Row],[Product_ID]],ProductsTable[],5,FALSE)</f>
        <v>101</v>
      </c>
      <c r="Y362" s="8">
        <f>RawSalesTable[[#This Row],[Quantity]]*RawSalesTable[[#This Row],[Unit_Price]]</f>
        <v>382.76</v>
      </c>
      <c r="Z362" s="8">
        <f>RawSalesTable[[#This Row],[Gross_Sales]]*RawSalesTable[[#This Row],[Discount_Pct]]</f>
        <v>57.413999999999994</v>
      </c>
      <c r="AA362" s="8">
        <f>RawSalesTable[[#This Row],[Gross_Sales]]-RawSalesTable[[#This Row],[Discount_Amount]]</f>
        <v>325.346</v>
      </c>
      <c r="AB362" s="8">
        <f>RawSalesTable[[#This Row],[Unit_Cost]]*RawSalesTable[[#This Row],[Quantity]]</f>
        <v>202</v>
      </c>
      <c r="AC362" s="8">
        <f>RawSalesTable[[#This Row],[Net_Sales]]-RawSalesTable[[#This Row],[Total_Cost]]</f>
        <v>123.346</v>
      </c>
      <c r="AD362" s="9">
        <f>RawSalesTable[[#This Row],[Profit]]/RawSalesTable[[#This Row],[Net_Sales]]</f>
        <v>0.3791225341636289</v>
      </c>
      <c r="AE362" s="8">
        <f>IF(RawSalesTable[[#This Row],[Return_Status]]="Yes",1,0)</f>
        <v>0</v>
      </c>
      <c r="AF362" s="8">
        <f>YEAR(RawSalesTable[[#This Row],[Order_Date]])</f>
        <v>2025</v>
      </c>
      <c r="AG362" s="8">
        <f>MONTH(RawSalesTable[[#This Row],[Order_Date]])</f>
        <v>12</v>
      </c>
      <c r="AH362" s="8" t="str">
        <f>TEXT(RawSalesTable[[#This Row],[Order_Date]],"mmmm")</f>
        <v>décembre</v>
      </c>
      <c r="AI362" s="8" t="str">
        <f>IF(RawSalesTable[[#This Row],[Month_Number]]&lt;=3,"Q1",IF(RawSalesTable[[#This Row],[Month_Number]]&lt;=6,"Q2",IF(RawSalesTable[[#This Row],[Month_Number]]&lt;=9,"Q3","Q4")))</f>
        <v>Q4</v>
      </c>
      <c r="AJ362" s="13">
        <f>DATE(YEAR(RawSalesTable[[#This Row],[Order_Date]]),MONTH(RawSalesTable[[#This Row],[Order_Date]]),1)</f>
        <v>45992</v>
      </c>
      <c r="AK362" s="8" t="str">
        <f>VLOOKUP(RawSalesTable[[#This Row],[Customer_ID_clean]],CustomersTable[],4,FALSE)</f>
        <v>British Columbia</v>
      </c>
    </row>
    <row r="363" spans="1:37">
      <c r="A363" t="s">
        <v>771</v>
      </c>
      <c r="B363" s="3">
        <v>45771</v>
      </c>
      <c r="C363" t="s">
        <v>402</v>
      </c>
      <c r="D363" t="s">
        <v>252</v>
      </c>
      <c r="E363" t="s">
        <v>403</v>
      </c>
      <c r="F363" t="s">
        <v>116</v>
      </c>
      <c r="G363" t="s">
        <v>104</v>
      </c>
      <c r="H363" t="s">
        <v>89</v>
      </c>
      <c r="I363">
        <v>2</v>
      </c>
      <c r="J363" s="2">
        <v>283.27999999999997</v>
      </c>
      <c r="K363" s="4">
        <v>0.1</v>
      </c>
      <c r="L363" t="s">
        <v>253</v>
      </c>
      <c r="M363">
        <v>4</v>
      </c>
      <c r="N363" t="s">
        <v>147</v>
      </c>
      <c r="O363" t="str">
        <f>SUBSTITUTE(PROPER(TRIM(RawSalesTable[[#This Row],[Channel_Raw]])), "Market Place", "Marketplace")</f>
        <v>Online</v>
      </c>
      <c r="P363" t="str">
        <f>TRIM(RawSalesTable[[#This Row],[Store_Raw]])</f>
        <v>Toronto Downtown</v>
      </c>
      <c r="Q363" t="str">
        <f>IF(TRIM(RawSalesTable[[#This Row],[Payment_Method_Raw]])="","Non renseigné",SUBSTITUTE(TRIM(RawSalesTable[[#This Row],[Payment_Method_Raw]]),"CC","Credit Card"))</f>
        <v>Credit Card</v>
      </c>
      <c r="R363" s="8" t="str">
        <f>UPPER(PROPER(RawSalesTable[[#This Row],[Customer_ID]]))</f>
        <v>C0010</v>
      </c>
      <c r="S363" s="8" t="str">
        <f>TRIM(LEFT(RawSalesTable[[#This Row],[Customer_Info]],FIND(",",RawSalesTable[[#This Row],[Customer_Info]]) -1))</f>
        <v>Ethan Martin</v>
      </c>
      <c r="T363" s="8" t="str">
        <f>TRIM(MID(RawSalesTable[[#This Row],[Customer_Info]],FIND(",",RawSalesTable[[#This Row],[Customer_Info]])+1,FIND(",",RawSalesTable[[#This Row],[Customer_Info]],FIND(",",RawSalesTable[[#This Row],[Customer_Info]])+1)-FIND(",",RawSalesTable[[#This Row],[Customer_Info]])-1))</f>
        <v>Victoria</v>
      </c>
      <c r="U363" s="8" t="str">
        <f>TRIM(RIGHT(RawSalesTable[[#This Row],[Customer_Info]], LEN(RawSalesTable[[#This Row],[Customer_Info]])-FIND(",",RawSalesTable[[#This Row],[Customer_Info]],FIND(",",RawSalesTable[[#This Row],[Customer_Info]])+1)))</f>
        <v>Corporate</v>
      </c>
      <c r="V363" s="8" t="str">
        <f>VLOOKUP(RawSalesTable[[#This Row],[Product_ID]],ProductsTable[],2,FALSE)</f>
        <v>Vacuum</v>
      </c>
      <c r="W363" s="8" t="str">
        <f>VLOOKUP(RawSalesTable[[#This Row],[Product_ID]],ProductsTable[],3,FALSE)</f>
        <v>Home</v>
      </c>
      <c r="X363" s="8">
        <f>VLOOKUP(RawSalesTable[[#This Row],[Product_ID]],ProductsTable[],5,FALSE)</f>
        <v>186.94</v>
      </c>
      <c r="Y363" s="8">
        <f>RawSalesTable[[#This Row],[Quantity]]*RawSalesTable[[#This Row],[Unit_Price]]</f>
        <v>566.55999999999995</v>
      </c>
      <c r="Z363" s="8">
        <f>RawSalesTable[[#This Row],[Gross_Sales]]*RawSalesTable[[#This Row],[Discount_Pct]]</f>
        <v>56.655999999999999</v>
      </c>
      <c r="AA363" s="8">
        <f>RawSalesTable[[#This Row],[Gross_Sales]]-RawSalesTable[[#This Row],[Discount_Amount]]</f>
        <v>509.90399999999994</v>
      </c>
      <c r="AB363" s="8">
        <f>RawSalesTable[[#This Row],[Unit_Cost]]*RawSalesTable[[#This Row],[Quantity]]</f>
        <v>373.88</v>
      </c>
      <c r="AC363" s="8">
        <f>RawSalesTable[[#This Row],[Net_Sales]]-RawSalesTable[[#This Row],[Total_Cost]]</f>
        <v>136.02399999999994</v>
      </c>
      <c r="AD363" s="9">
        <f>RawSalesTable[[#This Row],[Profit]]/RawSalesTable[[#This Row],[Net_Sales]]</f>
        <v>0.26676393987887909</v>
      </c>
      <c r="AE363" s="8">
        <f>IF(RawSalesTable[[#This Row],[Return_Status]]="Yes",1,0)</f>
        <v>1</v>
      </c>
      <c r="AF363" s="8">
        <f>YEAR(RawSalesTable[[#This Row],[Order_Date]])</f>
        <v>2025</v>
      </c>
      <c r="AG363" s="8">
        <f>MONTH(RawSalesTable[[#This Row],[Order_Date]])</f>
        <v>4</v>
      </c>
      <c r="AH363" s="8" t="str">
        <f>TEXT(RawSalesTable[[#This Row],[Order_Date]],"mmmm")</f>
        <v>avril</v>
      </c>
      <c r="AI363" s="8" t="str">
        <f>IF(RawSalesTable[[#This Row],[Month_Number]]&lt;=3,"Q1",IF(RawSalesTable[[#This Row],[Month_Number]]&lt;=6,"Q2",IF(RawSalesTable[[#This Row],[Month_Number]]&lt;=9,"Q3","Q4")))</f>
        <v>Q2</v>
      </c>
      <c r="AJ363" s="13">
        <f>DATE(YEAR(RawSalesTable[[#This Row],[Order_Date]]),MONTH(RawSalesTable[[#This Row],[Order_Date]]),1)</f>
        <v>45748</v>
      </c>
      <c r="AK363" s="8" t="str">
        <f>VLOOKUP(RawSalesTable[[#This Row],[Customer_ID_clean]],CustomersTable[],4,FALSE)</f>
        <v>British Columbia</v>
      </c>
    </row>
    <row r="364" spans="1:37">
      <c r="A364" t="s">
        <v>772</v>
      </c>
      <c r="B364" s="3">
        <v>46021</v>
      </c>
      <c r="C364" t="s">
        <v>480</v>
      </c>
      <c r="D364" t="s">
        <v>149</v>
      </c>
      <c r="E364" t="s">
        <v>773</v>
      </c>
      <c r="F364" t="s">
        <v>145</v>
      </c>
      <c r="G364" t="s">
        <v>104</v>
      </c>
      <c r="H364" t="s">
        <v>97</v>
      </c>
      <c r="I364">
        <v>3</v>
      </c>
      <c r="J364" s="2">
        <v>79.77</v>
      </c>
      <c r="K364" s="4">
        <v>0</v>
      </c>
      <c r="L364" t="s">
        <v>98</v>
      </c>
      <c r="M364">
        <v>3</v>
      </c>
      <c r="N364" t="s">
        <v>91</v>
      </c>
      <c r="O364" t="str">
        <f>SUBSTITUTE(PROPER(TRIM(RawSalesTable[[#This Row],[Channel_Raw]])), "Market Place", "Marketplace")</f>
        <v>Retail Store</v>
      </c>
      <c r="P364" t="str">
        <f>TRIM(RawSalesTable[[#This Row],[Store_Raw]])</f>
        <v>Calgary North</v>
      </c>
      <c r="Q364" t="str">
        <f>IF(TRIM(RawSalesTable[[#This Row],[Payment_Method_Raw]])="","Non renseigné",SUBSTITUTE(TRIM(RawSalesTable[[#This Row],[Payment_Method_Raw]]),"CC","Credit Card"))</f>
        <v>Debit Card</v>
      </c>
      <c r="R364" s="8" t="str">
        <f>UPPER(PROPER(RawSalesTable[[#This Row],[Customer_ID]]))</f>
        <v>C0053</v>
      </c>
      <c r="S364" s="8" t="str">
        <f>TRIM(LEFT(RawSalesTable[[#This Row],[Customer_Info]],FIND(",",RawSalesTable[[#This Row],[Customer_Info]]) -1))</f>
        <v>Ryan Lee</v>
      </c>
      <c r="T364" s="8" t="str">
        <f>TRIM(MID(RawSalesTable[[#This Row],[Customer_Info]],FIND(",",RawSalesTable[[#This Row],[Customer_Info]])+1,FIND(",",RawSalesTable[[#This Row],[Customer_Info]],FIND(",",RawSalesTable[[#This Row],[Customer_Info]])+1)-FIND(",",RawSalesTable[[#This Row],[Customer_Info]])-1))</f>
        <v>Laval</v>
      </c>
      <c r="U364" s="8" t="str">
        <f>TRIM(RIGHT(RawSalesTable[[#This Row],[Customer_Info]], LEN(RawSalesTable[[#This Row],[Customer_Info]])-FIND(",",RawSalesTable[[#This Row],[Customer_Info]],FIND(",",RawSalesTable[[#This Row],[Customer_Info]])+1)))</f>
        <v>Consumer</v>
      </c>
      <c r="V364" s="8" t="str">
        <f>VLOOKUP(RawSalesTable[[#This Row],[Product_ID]],ProductsTable[],2,FALSE)</f>
        <v>Office Chair</v>
      </c>
      <c r="W364" s="8" t="str">
        <f>VLOOKUP(RawSalesTable[[#This Row],[Product_ID]],ProductsTable[],3,FALSE)</f>
        <v>Office</v>
      </c>
      <c r="X364" s="8">
        <f>VLOOKUP(RawSalesTable[[#This Row],[Product_ID]],ProductsTable[],5,FALSE)</f>
        <v>39.26</v>
      </c>
      <c r="Y364" s="8">
        <f>RawSalesTable[[#This Row],[Quantity]]*RawSalesTable[[#This Row],[Unit_Price]]</f>
        <v>239.31</v>
      </c>
      <c r="Z364" s="8">
        <f>RawSalesTable[[#This Row],[Gross_Sales]]*RawSalesTable[[#This Row],[Discount_Pct]]</f>
        <v>0</v>
      </c>
      <c r="AA364" s="8">
        <f>RawSalesTable[[#This Row],[Gross_Sales]]-RawSalesTable[[#This Row],[Discount_Amount]]</f>
        <v>239.31</v>
      </c>
      <c r="AB364" s="8">
        <f>RawSalesTable[[#This Row],[Unit_Cost]]*RawSalesTable[[#This Row],[Quantity]]</f>
        <v>117.78</v>
      </c>
      <c r="AC364" s="8">
        <f>RawSalesTable[[#This Row],[Net_Sales]]-RawSalesTable[[#This Row],[Total_Cost]]</f>
        <v>121.53</v>
      </c>
      <c r="AD364" s="9">
        <f>RawSalesTable[[#This Row],[Profit]]/RawSalesTable[[#This Row],[Net_Sales]]</f>
        <v>0.50783502569888428</v>
      </c>
      <c r="AE364" s="8">
        <f>IF(RawSalesTable[[#This Row],[Return_Status]]="Yes",1,0)</f>
        <v>0</v>
      </c>
      <c r="AF364" s="8">
        <f>YEAR(RawSalesTable[[#This Row],[Order_Date]])</f>
        <v>2025</v>
      </c>
      <c r="AG364" s="8">
        <f>MONTH(RawSalesTable[[#This Row],[Order_Date]])</f>
        <v>12</v>
      </c>
      <c r="AH364" s="8" t="str">
        <f>TEXT(RawSalesTable[[#This Row],[Order_Date]],"mmmm")</f>
        <v>décembre</v>
      </c>
      <c r="AI364" s="8" t="str">
        <f>IF(RawSalesTable[[#This Row],[Month_Number]]&lt;=3,"Q1",IF(RawSalesTable[[#This Row],[Month_Number]]&lt;=6,"Q2",IF(RawSalesTable[[#This Row],[Month_Number]]&lt;=9,"Q3","Q4")))</f>
        <v>Q4</v>
      </c>
      <c r="AJ364" s="13">
        <f>DATE(YEAR(RawSalesTable[[#This Row],[Order_Date]]),MONTH(RawSalesTable[[#This Row],[Order_Date]]),1)</f>
        <v>45992</v>
      </c>
      <c r="AK364" s="8" t="str">
        <f>VLOOKUP(RawSalesTable[[#This Row],[Customer_ID_clean]],CustomersTable[],4,FALSE)</f>
        <v>Quebec</v>
      </c>
    </row>
    <row r="365" spans="1:37">
      <c r="A365" t="s">
        <v>774</v>
      </c>
      <c r="B365" s="3">
        <v>45879</v>
      </c>
      <c r="C365" t="s">
        <v>93</v>
      </c>
      <c r="D365" t="s">
        <v>94</v>
      </c>
      <c r="E365" t="s">
        <v>95</v>
      </c>
      <c r="F365" t="s">
        <v>87</v>
      </c>
      <c r="G365" t="s">
        <v>96</v>
      </c>
      <c r="H365" t="s">
        <v>97</v>
      </c>
      <c r="I365">
        <v>1</v>
      </c>
      <c r="J365" s="2">
        <v>307.58999999999997</v>
      </c>
      <c r="K365" s="4">
        <v>0.2</v>
      </c>
      <c r="L365" t="s">
        <v>106</v>
      </c>
      <c r="M365">
        <v>4</v>
      </c>
      <c r="N365" t="s">
        <v>91</v>
      </c>
      <c r="O365" t="str">
        <f>SUBSTITUTE(PROPER(TRIM(RawSalesTable[[#This Row],[Channel_Raw]])), "Market Place", "Marketplace")</f>
        <v>Retail Store</v>
      </c>
      <c r="P365" t="str">
        <f>TRIM(RawSalesTable[[#This Row],[Store_Raw]])</f>
        <v>Online Fulfillment</v>
      </c>
      <c r="Q365" t="str">
        <f>IF(TRIM(RawSalesTable[[#This Row],[Payment_Method_Raw]])="","Non renseigné",SUBSTITUTE(TRIM(RawSalesTable[[#This Row],[Payment_Method_Raw]]),"CC","Credit Card"))</f>
        <v>Credit Card</v>
      </c>
      <c r="R365" s="8" t="str">
        <f>UPPER(PROPER(RawSalesTable[[#This Row],[Customer_ID]]))</f>
        <v>C0084</v>
      </c>
      <c r="S365" s="8" t="str">
        <f>TRIM(LEFT(RawSalesTable[[#This Row],[Customer_Info]],FIND(",",RawSalesTable[[#This Row],[Customer_Info]]) -1))</f>
        <v>Ryan Clark</v>
      </c>
      <c r="T365" s="8" t="str">
        <f>TRIM(MID(RawSalesTable[[#This Row],[Customer_Info]],FIND(",",RawSalesTable[[#This Row],[Customer_Info]])+1,FIND(",",RawSalesTable[[#This Row],[Customer_Info]],FIND(",",RawSalesTable[[#This Row],[Customer_Info]])+1)-FIND(",",RawSalesTable[[#This Row],[Customer_Info]])-1))</f>
        <v>Montreal</v>
      </c>
      <c r="U365" s="8" t="str">
        <f>TRIM(RIGHT(RawSalesTable[[#This Row],[Customer_Info]], LEN(RawSalesTable[[#This Row],[Customer_Info]])-FIND(",",RawSalesTable[[#This Row],[Customer_Info]],FIND(",",RawSalesTable[[#This Row],[Customer_Info]])+1)))</f>
        <v>Corporate</v>
      </c>
      <c r="V365" s="8" t="str">
        <f>VLOOKUP(RawSalesTable[[#This Row],[Product_ID]],ProductsTable[],2,FALSE)</f>
        <v>Backpack</v>
      </c>
      <c r="W365" s="8" t="str">
        <f>VLOOKUP(RawSalesTable[[#This Row],[Product_ID]],ProductsTable[],3,FALSE)</f>
        <v>Accessories</v>
      </c>
      <c r="X365" s="8">
        <f>VLOOKUP(RawSalesTable[[#This Row],[Product_ID]],ProductsTable[],5,FALSE)</f>
        <v>152.55000000000001</v>
      </c>
      <c r="Y365" s="8">
        <f>RawSalesTable[[#This Row],[Quantity]]*RawSalesTable[[#This Row],[Unit_Price]]</f>
        <v>307.58999999999997</v>
      </c>
      <c r="Z365" s="8">
        <f>RawSalesTable[[#This Row],[Gross_Sales]]*RawSalesTable[[#This Row],[Discount_Pct]]</f>
        <v>61.518000000000001</v>
      </c>
      <c r="AA365" s="8">
        <f>RawSalesTable[[#This Row],[Gross_Sales]]-RawSalesTable[[#This Row],[Discount_Amount]]</f>
        <v>246.07199999999997</v>
      </c>
      <c r="AB365" s="8">
        <f>RawSalesTable[[#This Row],[Unit_Cost]]*RawSalesTable[[#This Row],[Quantity]]</f>
        <v>152.55000000000001</v>
      </c>
      <c r="AC365" s="8">
        <f>RawSalesTable[[#This Row],[Net_Sales]]-RawSalesTable[[#This Row],[Total_Cost]]</f>
        <v>93.521999999999963</v>
      </c>
      <c r="AD365" s="9">
        <f>RawSalesTable[[#This Row],[Profit]]/RawSalesTable[[#This Row],[Net_Sales]]</f>
        <v>0.38005949478201489</v>
      </c>
      <c r="AE365" s="8">
        <f>IF(RawSalesTable[[#This Row],[Return_Status]]="Yes",1,0)</f>
        <v>0</v>
      </c>
      <c r="AF365" s="8">
        <f>YEAR(RawSalesTable[[#This Row],[Order_Date]])</f>
        <v>2025</v>
      </c>
      <c r="AG365" s="8">
        <f>MONTH(RawSalesTable[[#This Row],[Order_Date]])</f>
        <v>8</v>
      </c>
      <c r="AH365" s="8" t="str">
        <f>TEXT(RawSalesTable[[#This Row],[Order_Date]],"mmmm")</f>
        <v>août</v>
      </c>
      <c r="AI365" s="8" t="str">
        <f>IF(RawSalesTable[[#This Row],[Month_Number]]&lt;=3,"Q1",IF(RawSalesTable[[#This Row],[Month_Number]]&lt;=6,"Q2",IF(RawSalesTable[[#This Row],[Month_Number]]&lt;=9,"Q3","Q4")))</f>
        <v>Q3</v>
      </c>
      <c r="AJ365" s="13">
        <f>DATE(YEAR(RawSalesTable[[#This Row],[Order_Date]]),MONTH(RawSalesTable[[#This Row],[Order_Date]]),1)</f>
        <v>45870</v>
      </c>
      <c r="AK365" s="8" t="str">
        <f>VLOOKUP(RawSalesTable[[#This Row],[Customer_ID_clean]],CustomersTable[],4,FALSE)</f>
        <v>Quebec</v>
      </c>
    </row>
    <row r="366" spans="1:37">
      <c r="A366" t="s">
        <v>775</v>
      </c>
      <c r="B366" s="3">
        <v>45878</v>
      </c>
      <c r="C366" t="s">
        <v>466</v>
      </c>
      <c r="D366" t="s">
        <v>139</v>
      </c>
      <c r="E366" t="s">
        <v>467</v>
      </c>
      <c r="F366" t="s">
        <v>111</v>
      </c>
      <c r="G366" t="s">
        <v>104</v>
      </c>
      <c r="H366" t="s">
        <v>89</v>
      </c>
      <c r="I366">
        <v>2</v>
      </c>
      <c r="J366" s="2">
        <v>85.44</v>
      </c>
      <c r="K366" s="4">
        <v>0.1</v>
      </c>
      <c r="L366" t="s">
        <v>106</v>
      </c>
      <c r="M366">
        <v>7</v>
      </c>
      <c r="N366" t="s">
        <v>147</v>
      </c>
      <c r="O366" t="str">
        <f>SUBSTITUTE(PROPER(TRIM(RawSalesTable[[#This Row],[Channel_Raw]])), "Market Place", "Marketplace")</f>
        <v>Online</v>
      </c>
      <c r="P366" t="str">
        <f>TRIM(RawSalesTable[[#This Row],[Store_Raw]])</f>
        <v>Montreal Central</v>
      </c>
      <c r="Q366" t="str">
        <f>IF(TRIM(RawSalesTable[[#This Row],[Payment_Method_Raw]])="","Non renseigné",SUBSTITUTE(TRIM(RawSalesTable[[#This Row],[Payment_Method_Raw]]),"CC","Credit Card"))</f>
        <v>Credit Card</v>
      </c>
      <c r="R366" s="8" t="str">
        <f>UPPER(PROPER(RawSalesTable[[#This Row],[Customer_ID]]))</f>
        <v>C0096</v>
      </c>
      <c r="S366" s="8" t="str">
        <f>TRIM(LEFT(RawSalesTable[[#This Row],[Customer_Info]],FIND(",",RawSalesTable[[#This Row],[Customer_Info]]) -1))</f>
        <v>Ryan Roy</v>
      </c>
      <c r="T366" s="8" t="str">
        <f>TRIM(MID(RawSalesTable[[#This Row],[Customer_Info]],FIND(",",RawSalesTable[[#This Row],[Customer_Info]])+1,FIND(",",RawSalesTable[[#This Row],[Customer_Info]],FIND(",",RawSalesTable[[#This Row],[Customer_Info]])+1)-FIND(",",RawSalesTable[[#This Row],[Customer_Info]])-1))</f>
        <v>Laval</v>
      </c>
      <c r="U366" s="8" t="str">
        <f>TRIM(RIGHT(RawSalesTable[[#This Row],[Customer_Info]], LEN(RawSalesTable[[#This Row],[Customer_Info]])-FIND(",",RawSalesTable[[#This Row],[Customer_Info]],FIND(",",RawSalesTable[[#This Row],[Customer_Info]])+1)))</f>
        <v>Corporate</v>
      </c>
      <c r="V366" s="8" t="str">
        <f>VLOOKUP(RawSalesTable[[#This Row],[Product_ID]],ProductsTable[],2,FALSE)</f>
        <v>Standing Desk</v>
      </c>
      <c r="W366" s="8" t="str">
        <f>VLOOKUP(RawSalesTable[[#This Row],[Product_ID]],ProductsTable[],3,FALSE)</f>
        <v>Office</v>
      </c>
      <c r="X366" s="8">
        <f>VLOOKUP(RawSalesTable[[#This Row],[Product_ID]],ProductsTable[],5,FALSE)</f>
        <v>45.17</v>
      </c>
      <c r="Y366" s="8">
        <f>RawSalesTable[[#This Row],[Quantity]]*RawSalesTable[[#This Row],[Unit_Price]]</f>
        <v>170.88</v>
      </c>
      <c r="Z366" s="8">
        <f>RawSalesTable[[#This Row],[Gross_Sales]]*RawSalesTable[[#This Row],[Discount_Pct]]</f>
        <v>17.088000000000001</v>
      </c>
      <c r="AA366" s="8">
        <f>RawSalesTable[[#This Row],[Gross_Sales]]-RawSalesTable[[#This Row],[Discount_Amount]]</f>
        <v>153.792</v>
      </c>
      <c r="AB366" s="8">
        <f>RawSalesTable[[#This Row],[Unit_Cost]]*RawSalesTable[[#This Row],[Quantity]]</f>
        <v>90.34</v>
      </c>
      <c r="AC366" s="8">
        <f>RawSalesTable[[#This Row],[Net_Sales]]-RawSalesTable[[#This Row],[Total_Cost]]</f>
        <v>63.451999999999998</v>
      </c>
      <c r="AD366" s="9">
        <f>RawSalesTable[[#This Row],[Profit]]/RawSalesTable[[#This Row],[Net_Sales]]</f>
        <v>0.41258322929671243</v>
      </c>
      <c r="AE366" s="8">
        <f>IF(RawSalesTable[[#This Row],[Return_Status]]="Yes",1,0)</f>
        <v>1</v>
      </c>
      <c r="AF366" s="8">
        <f>YEAR(RawSalesTable[[#This Row],[Order_Date]])</f>
        <v>2025</v>
      </c>
      <c r="AG366" s="8">
        <f>MONTH(RawSalesTable[[#This Row],[Order_Date]])</f>
        <v>8</v>
      </c>
      <c r="AH366" s="8" t="str">
        <f>TEXT(RawSalesTable[[#This Row],[Order_Date]],"mmmm")</f>
        <v>août</v>
      </c>
      <c r="AI366" s="8" t="str">
        <f>IF(RawSalesTable[[#This Row],[Month_Number]]&lt;=3,"Q1",IF(RawSalesTable[[#This Row],[Month_Number]]&lt;=6,"Q2",IF(RawSalesTable[[#This Row],[Month_Number]]&lt;=9,"Q3","Q4")))</f>
        <v>Q3</v>
      </c>
      <c r="AJ366" s="13">
        <f>DATE(YEAR(RawSalesTable[[#This Row],[Order_Date]]),MONTH(RawSalesTable[[#This Row],[Order_Date]]),1)</f>
        <v>45870</v>
      </c>
      <c r="AK366" s="8" t="str">
        <f>VLOOKUP(RawSalesTable[[#This Row],[Customer_ID_clean]],CustomersTable[],4,FALSE)</f>
        <v>Quebec</v>
      </c>
    </row>
    <row r="367" spans="1:37">
      <c r="A367" t="s">
        <v>776</v>
      </c>
      <c r="B367" s="3">
        <v>45825</v>
      </c>
      <c r="C367" t="s">
        <v>356</v>
      </c>
      <c r="D367" t="s">
        <v>181</v>
      </c>
      <c r="E367" t="s">
        <v>357</v>
      </c>
      <c r="F367" t="s">
        <v>116</v>
      </c>
      <c r="G367" t="s">
        <v>117</v>
      </c>
      <c r="H367" t="s">
        <v>89</v>
      </c>
      <c r="I367">
        <v>2</v>
      </c>
      <c r="J367" s="2">
        <v>364.57</v>
      </c>
      <c r="K367" s="4">
        <v>0.15</v>
      </c>
      <c r="M367">
        <v>1</v>
      </c>
      <c r="N367" t="s">
        <v>91</v>
      </c>
      <c r="O367" t="str">
        <f>SUBSTITUTE(PROPER(TRIM(RawSalesTable[[#This Row],[Channel_Raw]])), "Market Place", "Marketplace")</f>
        <v>Online</v>
      </c>
      <c r="P367" t="str">
        <f>TRIM(RawSalesTable[[#This Row],[Store_Raw]])</f>
        <v>Toronto Downtown</v>
      </c>
      <c r="Q367" t="str">
        <f>IF(TRIM(RawSalesTable[[#This Row],[Payment_Method_Raw]])="","Non renseigné",SUBSTITUTE(TRIM(RawSalesTable[[#This Row],[Payment_Method_Raw]]),"CC","Credit Card"))</f>
        <v>Non renseigné</v>
      </c>
      <c r="R367" s="8" t="str">
        <f>UPPER(PROPER(RawSalesTable[[#This Row],[Customer_ID]]))</f>
        <v>C0008</v>
      </c>
      <c r="S367" s="8" t="str">
        <f>TRIM(LEFT(RawSalesTable[[#This Row],[Customer_Info]],FIND(",",RawSalesTable[[#This Row],[Customer_Info]]) -1))</f>
        <v>Mia Wilson</v>
      </c>
      <c r="T367" s="8" t="str">
        <f>TRIM(MID(RawSalesTable[[#This Row],[Customer_Info]],FIND(",",RawSalesTable[[#This Row],[Customer_Info]])+1,FIND(",",RawSalesTable[[#This Row],[Customer_Info]],FIND(",",RawSalesTable[[#This Row],[Customer_Info]])+1)-FIND(",",RawSalesTable[[#This Row],[Customer_Info]])-1))</f>
        <v>Calgary</v>
      </c>
      <c r="U367" s="8" t="str">
        <f>TRIM(RIGHT(RawSalesTable[[#This Row],[Customer_Info]], LEN(RawSalesTable[[#This Row],[Customer_Info]])-FIND(",",RawSalesTable[[#This Row],[Customer_Info]],FIND(",",RawSalesTable[[#This Row],[Customer_Info]])+1)))</f>
        <v>Consumer</v>
      </c>
      <c r="V367" s="8" t="str">
        <f>VLOOKUP(RawSalesTable[[#This Row],[Product_ID]],ProductsTable[],2,FALSE)</f>
        <v>Monitor</v>
      </c>
      <c r="W367" s="8" t="str">
        <f>VLOOKUP(RawSalesTable[[#This Row],[Product_ID]],ProductsTable[],3,FALSE)</f>
        <v>Electronics</v>
      </c>
      <c r="X367" s="8">
        <f>VLOOKUP(RawSalesTable[[#This Row],[Product_ID]],ProductsTable[],5,FALSE)</f>
        <v>224.47</v>
      </c>
      <c r="Y367" s="8">
        <f>RawSalesTable[[#This Row],[Quantity]]*RawSalesTable[[#This Row],[Unit_Price]]</f>
        <v>729.14</v>
      </c>
      <c r="Z367" s="8">
        <f>RawSalesTable[[#This Row],[Gross_Sales]]*RawSalesTable[[#This Row],[Discount_Pct]]</f>
        <v>109.371</v>
      </c>
      <c r="AA367" s="8">
        <f>RawSalesTable[[#This Row],[Gross_Sales]]-RawSalesTable[[#This Row],[Discount_Amount]]</f>
        <v>619.76900000000001</v>
      </c>
      <c r="AB367" s="8">
        <f>RawSalesTable[[#This Row],[Unit_Cost]]*RawSalesTable[[#This Row],[Quantity]]</f>
        <v>448.94</v>
      </c>
      <c r="AC367" s="8">
        <f>RawSalesTable[[#This Row],[Net_Sales]]-RawSalesTable[[#This Row],[Total_Cost]]</f>
        <v>170.82900000000001</v>
      </c>
      <c r="AD367" s="9">
        <f>RawSalesTable[[#This Row],[Profit]]/RawSalesTable[[#This Row],[Net_Sales]]</f>
        <v>0.27563334080923702</v>
      </c>
      <c r="AE367" s="8">
        <f>IF(RawSalesTable[[#This Row],[Return_Status]]="Yes",1,0)</f>
        <v>0</v>
      </c>
      <c r="AF367" s="8">
        <f>YEAR(RawSalesTable[[#This Row],[Order_Date]])</f>
        <v>2025</v>
      </c>
      <c r="AG367" s="8">
        <f>MONTH(RawSalesTable[[#This Row],[Order_Date]])</f>
        <v>6</v>
      </c>
      <c r="AH367" s="8" t="str">
        <f>TEXT(RawSalesTable[[#This Row],[Order_Date]],"mmmm")</f>
        <v>juin</v>
      </c>
      <c r="AI367" s="8" t="str">
        <f>IF(RawSalesTable[[#This Row],[Month_Number]]&lt;=3,"Q1",IF(RawSalesTable[[#This Row],[Month_Number]]&lt;=6,"Q2",IF(RawSalesTable[[#This Row],[Month_Number]]&lt;=9,"Q3","Q4")))</f>
        <v>Q2</v>
      </c>
      <c r="AJ367" s="13">
        <f>DATE(YEAR(RawSalesTable[[#This Row],[Order_Date]]),MONTH(RawSalesTable[[#This Row],[Order_Date]]),1)</f>
        <v>45809</v>
      </c>
      <c r="AK367" s="8" t="str">
        <f>VLOOKUP(RawSalesTable[[#This Row],[Customer_ID_clean]],CustomersTable[],4,FALSE)</f>
        <v>Alberta</v>
      </c>
    </row>
    <row r="368" spans="1:37">
      <c r="A368" t="s">
        <v>777</v>
      </c>
      <c r="B368" s="3">
        <v>45756</v>
      </c>
      <c r="C368" t="s">
        <v>197</v>
      </c>
      <c r="D368" t="s">
        <v>221</v>
      </c>
      <c r="E368" t="s">
        <v>198</v>
      </c>
      <c r="F368" t="s">
        <v>116</v>
      </c>
      <c r="G368" t="s">
        <v>104</v>
      </c>
      <c r="H368" t="s">
        <v>89</v>
      </c>
      <c r="I368">
        <v>1</v>
      </c>
      <c r="J368" s="2">
        <v>31.76</v>
      </c>
      <c r="K368" s="4">
        <v>0.05</v>
      </c>
      <c r="L368" t="s">
        <v>106</v>
      </c>
      <c r="M368">
        <v>7</v>
      </c>
      <c r="N368" t="s">
        <v>91</v>
      </c>
      <c r="O368" t="str">
        <f>SUBSTITUTE(PROPER(TRIM(RawSalesTable[[#This Row],[Channel_Raw]])), "Market Place", "Marketplace")</f>
        <v>Online</v>
      </c>
      <c r="P368" t="str">
        <f>TRIM(RawSalesTable[[#This Row],[Store_Raw]])</f>
        <v>Toronto Downtown</v>
      </c>
      <c r="Q368" t="str">
        <f>IF(TRIM(RawSalesTable[[#This Row],[Payment_Method_Raw]])="","Non renseigné",SUBSTITUTE(TRIM(RawSalesTable[[#This Row],[Payment_Method_Raw]]),"CC","Credit Card"))</f>
        <v>Credit Card</v>
      </c>
      <c r="R368" s="8" t="str">
        <f>UPPER(PROPER(RawSalesTable[[#This Row],[Customer_ID]]))</f>
        <v>C0091</v>
      </c>
      <c r="S368" s="8" t="str">
        <f>TRIM(LEFT(RawSalesTable[[#This Row],[Customer_Info]],FIND(",",RawSalesTable[[#This Row],[Customer_Info]]) -1))</f>
        <v>Leo Taylor</v>
      </c>
      <c r="T368" s="8" t="str">
        <f>TRIM(MID(RawSalesTable[[#This Row],[Customer_Info]],FIND(",",RawSalesTable[[#This Row],[Customer_Info]])+1,FIND(",",RawSalesTable[[#This Row],[Customer_Info]],FIND(",",RawSalesTable[[#This Row],[Customer_Info]])+1)-FIND(",",RawSalesTable[[#This Row],[Customer_Info]])-1))</f>
        <v>Victoria</v>
      </c>
      <c r="U368" s="8" t="str">
        <f>TRIM(RIGHT(RawSalesTable[[#This Row],[Customer_Info]], LEN(RawSalesTable[[#This Row],[Customer_Info]])-FIND(",",RawSalesTable[[#This Row],[Customer_Info]],FIND(",",RawSalesTable[[#This Row],[Customer_Info]])+1)))</f>
        <v>Small Business</v>
      </c>
      <c r="V368" s="8" t="str">
        <f>VLOOKUP(RawSalesTable[[#This Row],[Product_ID]],ProductsTable[],2,FALSE)</f>
        <v>Air Fryer</v>
      </c>
      <c r="W368" s="8" t="str">
        <f>VLOOKUP(RawSalesTable[[#This Row],[Product_ID]],ProductsTable[],3,FALSE)</f>
        <v>Home</v>
      </c>
      <c r="X368" s="8">
        <f>VLOOKUP(RawSalesTable[[#This Row],[Product_ID]],ProductsTable[],5,FALSE)</f>
        <v>14.58</v>
      </c>
      <c r="Y368" s="8">
        <f>RawSalesTable[[#This Row],[Quantity]]*RawSalesTable[[#This Row],[Unit_Price]]</f>
        <v>31.76</v>
      </c>
      <c r="Z368" s="8">
        <f>RawSalesTable[[#This Row],[Gross_Sales]]*RawSalesTable[[#This Row],[Discount_Pct]]</f>
        <v>1.5880000000000001</v>
      </c>
      <c r="AA368" s="8">
        <f>RawSalesTable[[#This Row],[Gross_Sales]]-RawSalesTable[[#This Row],[Discount_Amount]]</f>
        <v>30.172000000000001</v>
      </c>
      <c r="AB368" s="8">
        <f>RawSalesTable[[#This Row],[Unit_Cost]]*RawSalesTable[[#This Row],[Quantity]]</f>
        <v>14.58</v>
      </c>
      <c r="AC368" s="8">
        <f>RawSalesTable[[#This Row],[Net_Sales]]-RawSalesTable[[#This Row],[Total_Cost]]</f>
        <v>15.592000000000001</v>
      </c>
      <c r="AD368" s="9">
        <f>RawSalesTable[[#This Row],[Profit]]/RawSalesTable[[#This Row],[Net_Sales]]</f>
        <v>0.51677051570992971</v>
      </c>
      <c r="AE368" s="8">
        <f>IF(RawSalesTable[[#This Row],[Return_Status]]="Yes",1,0)</f>
        <v>0</v>
      </c>
      <c r="AF368" s="8">
        <f>YEAR(RawSalesTable[[#This Row],[Order_Date]])</f>
        <v>2025</v>
      </c>
      <c r="AG368" s="8">
        <f>MONTH(RawSalesTable[[#This Row],[Order_Date]])</f>
        <v>4</v>
      </c>
      <c r="AH368" s="8" t="str">
        <f>TEXT(RawSalesTable[[#This Row],[Order_Date]],"mmmm")</f>
        <v>avril</v>
      </c>
      <c r="AI368" s="8" t="str">
        <f>IF(RawSalesTable[[#This Row],[Month_Number]]&lt;=3,"Q1",IF(RawSalesTable[[#This Row],[Month_Number]]&lt;=6,"Q2",IF(RawSalesTable[[#This Row],[Month_Number]]&lt;=9,"Q3","Q4")))</f>
        <v>Q2</v>
      </c>
      <c r="AJ368" s="13">
        <f>DATE(YEAR(RawSalesTable[[#This Row],[Order_Date]]),MONTH(RawSalesTable[[#This Row],[Order_Date]]),1)</f>
        <v>45748</v>
      </c>
      <c r="AK368" s="8" t="str">
        <f>VLOOKUP(RawSalesTable[[#This Row],[Customer_ID_clean]],CustomersTable[],4,FALSE)</f>
        <v>British Columbia</v>
      </c>
    </row>
    <row r="369" spans="1:37">
      <c r="A369" t="s">
        <v>778</v>
      </c>
      <c r="B369" s="3">
        <v>45702</v>
      </c>
      <c r="C369" t="s">
        <v>296</v>
      </c>
      <c r="D369" t="s">
        <v>418</v>
      </c>
      <c r="E369" t="s">
        <v>297</v>
      </c>
      <c r="F369" t="s">
        <v>103</v>
      </c>
      <c r="G369" t="s">
        <v>96</v>
      </c>
      <c r="H369" t="s">
        <v>97</v>
      </c>
      <c r="I369">
        <v>4</v>
      </c>
      <c r="J369" s="2">
        <v>366.27</v>
      </c>
      <c r="K369" s="4">
        <v>0</v>
      </c>
      <c r="L369" t="s">
        <v>369</v>
      </c>
      <c r="M369">
        <v>0</v>
      </c>
      <c r="N369" t="s">
        <v>91</v>
      </c>
      <c r="O369" t="str">
        <f>SUBSTITUTE(PROPER(TRIM(RawSalesTable[[#This Row],[Channel_Raw]])), "Market Place", "Marketplace")</f>
        <v>Retail Store</v>
      </c>
      <c r="P369" t="str">
        <f>TRIM(RawSalesTable[[#This Row],[Store_Raw]])</f>
        <v>Vancouver West</v>
      </c>
      <c r="Q369" t="str">
        <f>IF(TRIM(RawSalesTable[[#This Row],[Payment_Method_Raw]])="","Non renseigné",SUBSTITUTE(TRIM(RawSalesTable[[#This Row],[Payment_Method_Raw]]),"CC","Credit Card"))</f>
        <v>Paypal</v>
      </c>
      <c r="R369" s="8" t="str">
        <f>UPPER(PROPER(RawSalesTable[[#This Row],[Customer_ID]]))</f>
        <v>C0040</v>
      </c>
      <c r="S369" s="8" t="str">
        <f>TRIM(LEFT(RawSalesTable[[#This Row],[Customer_Info]],FIND(",",RawSalesTable[[#This Row],[Customer_Info]]) -1))</f>
        <v>Ethan Young</v>
      </c>
      <c r="T369" s="8" t="str">
        <f>TRIM(MID(RawSalesTable[[#This Row],[Customer_Info]],FIND(",",RawSalesTable[[#This Row],[Customer_Info]])+1,FIND(",",RawSalesTable[[#This Row],[Customer_Info]],FIND(",",RawSalesTable[[#This Row],[Customer_Info]])+1)-FIND(",",RawSalesTable[[#This Row],[Customer_Info]])-1))</f>
        <v>Surrey</v>
      </c>
      <c r="U369" s="8" t="str">
        <f>TRIM(RIGHT(RawSalesTable[[#This Row],[Customer_Info]], LEN(RawSalesTable[[#This Row],[Customer_Info]])-FIND(",",RawSalesTable[[#This Row],[Customer_Info]],FIND(",",RawSalesTable[[#This Row],[Customer_Info]])+1)))</f>
        <v>Consumer</v>
      </c>
      <c r="V369" s="8" t="str">
        <f>VLOOKUP(RawSalesTable[[#This Row],[Product_ID]],ProductsTable[],2,FALSE)</f>
        <v>Foam Roller</v>
      </c>
      <c r="W369" s="8" t="str">
        <f>VLOOKUP(RawSalesTable[[#This Row],[Product_ID]],ProductsTable[],3,FALSE)</f>
        <v>Fitness</v>
      </c>
      <c r="X369" s="8">
        <f>VLOOKUP(RawSalesTable[[#This Row],[Product_ID]],ProductsTable[],5,FALSE)</f>
        <v>212.02</v>
      </c>
      <c r="Y369" s="8">
        <f>RawSalesTable[[#This Row],[Quantity]]*RawSalesTable[[#This Row],[Unit_Price]]</f>
        <v>1465.08</v>
      </c>
      <c r="Z369" s="8">
        <f>RawSalesTable[[#This Row],[Gross_Sales]]*RawSalesTable[[#This Row],[Discount_Pct]]</f>
        <v>0</v>
      </c>
      <c r="AA369" s="8">
        <f>RawSalesTable[[#This Row],[Gross_Sales]]-RawSalesTable[[#This Row],[Discount_Amount]]</f>
        <v>1465.08</v>
      </c>
      <c r="AB369" s="8">
        <f>RawSalesTable[[#This Row],[Unit_Cost]]*RawSalesTable[[#This Row],[Quantity]]</f>
        <v>848.08</v>
      </c>
      <c r="AC369" s="8">
        <f>RawSalesTable[[#This Row],[Net_Sales]]-RawSalesTable[[#This Row],[Total_Cost]]</f>
        <v>616.99999999999989</v>
      </c>
      <c r="AD369" s="9">
        <f>RawSalesTable[[#This Row],[Profit]]/RawSalesTable[[#This Row],[Net_Sales]]</f>
        <v>0.42113741229147889</v>
      </c>
      <c r="AE369" s="8">
        <f>IF(RawSalesTable[[#This Row],[Return_Status]]="Yes",1,0)</f>
        <v>0</v>
      </c>
      <c r="AF369" s="8">
        <f>YEAR(RawSalesTable[[#This Row],[Order_Date]])</f>
        <v>2025</v>
      </c>
      <c r="AG369" s="8">
        <f>MONTH(RawSalesTable[[#This Row],[Order_Date]])</f>
        <v>2</v>
      </c>
      <c r="AH369" s="8" t="str">
        <f>TEXT(RawSalesTable[[#This Row],[Order_Date]],"mmmm")</f>
        <v>février</v>
      </c>
      <c r="AI369" s="8" t="str">
        <f>IF(RawSalesTable[[#This Row],[Month_Number]]&lt;=3,"Q1",IF(RawSalesTable[[#This Row],[Month_Number]]&lt;=6,"Q2",IF(RawSalesTable[[#This Row],[Month_Number]]&lt;=9,"Q3","Q4")))</f>
        <v>Q1</v>
      </c>
      <c r="AJ369" s="13">
        <f>DATE(YEAR(RawSalesTable[[#This Row],[Order_Date]]),MONTH(RawSalesTable[[#This Row],[Order_Date]]),1)</f>
        <v>45689</v>
      </c>
      <c r="AK369" s="8" t="str">
        <f>VLOOKUP(RawSalesTable[[#This Row],[Customer_ID_clean]],CustomersTable[],4,FALSE)</f>
        <v>British Columbia</v>
      </c>
    </row>
    <row r="370" spans="1:37">
      <c r="A370" t="s">
        <v>779</v>
      </c>
      <c r="B370" s="3">
        <v>45664</v>
      </c>
      <c r="C370" t="s">
        <v>438</v>
      </c>
      <c r="D370" t="s">
        <v>152</v>
      </c>
      <c r="E370" t="s">
        <v>439</v>
      </c>
      <c r="F370" t="s">
        <v>116</v>
      </c>
      <c r="G370" t="s">
        <v>130</v>
      </c>
      <c r="H370" t="s">
        <v>89</v>
      </c>
      <c r="I370">
        <v>1</v>
      </c>
      <c r="J370" s="2">
        <v>137</v>
      </c>
      <c r="K370" s="4">
        <v>0.15</v>
      </c>
      <c r="L370" t="s">
        <v>98</v>
      </c>
      <c r="M370">
        <v>1</v>
      </c>
      <c r="N370" t="s">
        <v>91</v>
      </c>
      <c r="O370" t="str">
        <f>SUBSTITUTE(PROPER(TRIM(RawSalesTable[[#This Row],[Channel_Raw]])), "Market Place", "Marketplace")</f>
        <v>Online</v>
      </c>
      <c r="P370" t="str">
        <f>TRIM(RawSalesTable[[#This Row],[Store_Raw]])</f>
        <v>Toronto Downtown</v>
      </c>
      <c r="Q370" t="str">
        <f>IF(TRIM(RawSalesTable[[#This Row],[Payment_Method_Raw]])="","Non renseigné",SUBSTITUTE(TRIM(RawSalesTable[[#This Row],[Payment_Method_Raw]]),"CC","Credit Card"))</f>
        <v>Debit Card</v>
      </c>
      <c r="R370" s="8" t="str">
        <f>UPPER(PROPER(RawSalesTable[[#This Row],[Customer_ID]]))</f>
        <v>C0028</v>
      </c>
      <c r="S370" s="8" t="str">
        <f>TRIM(LEFT(RawSalesTable[[#This Row],[Customer_Info]],FIND(",",RawSalesTable[[#This Row],[Customer_Info]]) -1))</f>
        <v>Mia Clark</v>
      </c>
      <c r="T370" s="8" t="str">
        <f>TRIM(MID(RawSalesTable[[#This Row],[Customer_Info]],FIND(",",RawSalesTable[[#This Row],[Customer_Info]])+1,FIND(",",RawSalesTable[[#This Row],[Customer_Info]],FIND(",",RawSalesTable[[#This Row],[Customer_Info]])+1)-FIND(",",RawSalesTable[[#This Row],[Customer_Info]])-1))</f>
        <v>Victoria</v>
      </c>
      <c r="U370" s="8" t="str">
        <f>TRIM(RIGHT(RawSalesTable[[#This Row],[Customer_Info]], LEN(RawSalesTable[[#This Row],[Customer_Info]])-FIND(",",RawSalesTable[[#This Row],[Customer_Info]],FIND(",",RawSalesTable[[#This Row],[Customer_Info]])+1)))</f>
        <v>Consumer</v>
      </c>
      <c r="V370" s="8" t="str">
        <f>VLOOKUP(RawSalesTable[[#This Row],[Product_ID]],ProductsTable[],2,FALSE)</f>
        <v>Smart Speaker</v>
      </c>
      <c r="W370" s="8" t="str">
        <f>VLOOKUP(RawSalesTable[[#This Row],[Product_ID]],ProductsTable[],3,FALSE)</f>
        <v>Electronics</v>
      </c>
      <c r="X370" s="8">
        <f>VLOOKUP(RawSalesTable[[#This Row],[Product_ID]],ProductsTable[],5,FALSE)</f>
        <v>69</v>
      </c>
      <c r="Y370" s="8">
        <f>RawSalesTable[[#This Row],[Quantity]]*RawSalesTable[[#This Row],[Unit_Price]]</f>
        <v>137</v>
      </c>
      <c r="Z370" s="8">
        <f>RawSalesTable[[#This Row],[Gross_Sales]]*RawSalesTable[[#This Row],[Discount_Pct]]</f>
        <v>20.55</v>
      </c>
      <c r="AA370" s="8">
        <f>RawSalesTable[[#This Row],[Gross_Sales]]-RawSalesTable[[#This Row],[Discount_Amount]]</f>
        <v>116.45</v>
      </c>
      <c r="AB370" s="8">
        <f>RawSalesTable[[#This Row],[Unit_Cost]]*RawSalesTable[[#This Row],[Quantity]]</f>
        <v>69</v>
      </c>
      <c r="AC370" s="8">
        <f>RawSalesTable[[#This Row],[Net_Sales]]-RawSalesTable[[#This Row],[Total_Cost]]</f>
        <v>47.45</v>
      </c>
      <c r="AD370" s="9">
        <f>RawSalesTable[[#This Row],[Profit]]/RawSalesTable[[#This Row],[Net_Sales]]</f>
        <v>0.40747101760412197</v>
      </c>
      <c r="AE370" s="8">
        <f>IF(RawSalesTable[[#This Row],[Return_Status]]="Yes",1,0)</f>
        <v>0</v>
      </c>
      <c r="AF370" s="8">
        <f>YEAR(RawSalesTable[[#This Row],[Order_Date]])</f>
        <v>2025</v>
      </c>
      <c r="AG370" s="8">
        <f>MONTH(RawSalesTable[[#This Row],[Order_Date]])</f>
        <v>1</v>
      </c>
      <c r="AH370" s="8" t="str">
        <f>TEXT(RawSalesTable[[#This Row],[Order_Date]],"mmmm")</f>
        <v>janvier</v>
      </c>
      <c r="AI370" s="8" t="str">
        <f>IF(RawSalesTable[[#This Row],[Month_Number]]&lt;=3,"Q1",IF(RawSalesTable[[#This Row],[Month_Number]]&lt;=6,"Q2",IF(RawSalesTable[[#This Row],[Month_Number]]&lt;=9,"Q3","Q4")))</f>
        <v>Q1</v>
      </c>
      <c r="AJ370" s="13">
        <f>DATE(YEAR(RawSalesTable[[#This Row],[Order_Date]]),MONTH(RawSalesTable[[#This Row],[Order_Date]]),1)</f>
        <v>45658</v>
      </c>
      <c r="AK370" s="8" t="str">
        <f>VLOOKUP(RawSalesTable[[#This Row],[Customer_ID_clean]],CustomersTable[],4,FALSE)</f>
        <v>British Columbia</v>
      </c>
    </row>
    <row r="371" spans="1:37">
      <c r="A371" t="s">
        <v>780</v>
      </c>
      <c r="B371" s="3">
        <v>45771</v>
      </c>
      <c r="C371" t="s">
        <v>100</v>
      </c>
      <c r="D371" t="s">
        <v>231</v>
      </c>
      <c r="E371" t="s">
        <v>102</v>
      </c>
      <c r="F371" t="s">
        <v>223</v>
      </c>
      <c r="G371" t="s">
        <v>122</v>
      </c>
      <c r="H371" t="s">
        <v>233</v>
      </c>
      <c r="I371">
        <v>2</v>
      </c>
      <c r="J371" s="2">
        <v>346.11</v>
      </c>
      <c r="K371" s="4">
        <v>0.15</v>
      </c>
      <c r="L371" t="s">
        <v>106</v>
      </c>
      <c r="M371">
        <v>0</v>
      </c>
      <c r="N371" t="s">
        <v>147</v>
      </c>
      <c r="O371" t="str">
        <f>SUBSTITUTE(PROPER(TRIM(RawSalesTable[[#This Row],[Channel_Raw]])), "Market Place", "Marketplace")</f>
        <v>Retail Store</v>
      </c>
      <c r="P371" t="str">
        <f>TRIM(RawSalesTable[[#This Row],[Store_Raw]])</f>
        <v>Montreal Central</v>
      </c>
      <c r="Q371" t="str">
        <f>IF(TRIM(RawSalesTable[[#This Row],[Payment_Method_Raw]])="","Non renseigné",SUBSTITUTE(TRIM(RawSalesTable[[#This Row],[Payment_Method_Raw]]),"CC","Credit Card"))</f>
        <v>Credit Card</v>
      </c>
      <c r="R371" s="8" t="str">
        <f>UPPER(PROPER(RawSalesTable[[#This Row],[Customer_ID]]))</f>
        <v>C0003</v>
      </c>
      <c r="S371" s="8" t="str">
        <f>TRIM(LEFT(RawSalesTable[[#This Row],[Customer_Info]],FIND(",",RawSalesTable[[#This Row],[Customer_Info]]) -1))</f>
        <v>Amelia Young</v>
      </c>
      <c r="T371" s="8" t="str">
        <f>TRIM(MID(RawSalesTable[[#This Row],[Customer_Info]],FIND(",",RawSalesTable[[#This Row],[Customer_Info]])+1,FIND(",",RawSalesTable[[#This Row],[Customer_Info]],FIND(",",RawSalesTable[[#This Row],[Customer_Info]])+1)-FIND(",",RawSalesTable[[#This Row],[Customer_Info]])-1))</f>
        <v>Ottawa</v>
      </c>
      <c r="U371" s="8" t="str">
        <f>TRIM(RIGHT(RawSalesTable[[#This Row],[Customer_Info]], LEN(RawSalesTable[[#This Row],[Customer_Info]])-FIND(",",RawSalesTable[[#This Row],[Customer_Info]],FIND(",",RawSalesTable[[#This Row],[Customer_Info]])+1)))</f>
        <v>Corporate</v>
      </c>
      <c r="V371" s="8" t="str">
        <f>VLOOKUP(RawSalesTable[[#This Row],[Product_ID]],ProductsTable[],2,FALSE)</f>
        <v>Cable Set</v>
      </c>
      <c r="W371" s="8" t="str">
        <f>VLOOKUP(RawSalesTable[[#This Row],[Product_ID]],ProductsTable[],3,FALSE)</f>
        <v>Accessories</v>
      </c>
      <c r="X371" s="8">
        <f>VLOOKUP(RawSalesTable[[#This Row],[Product_ID]],ProductsTable[],5,FALSE)</f>
        <v>200.16</v>
      </c>
      <c r="Y371" s="8">
        <f>RawSalesTable[[#This Row],[Quantity]]*RawSalesTable[[#This Row],[Unit_Price]]</f>
        <v>692.22</v>
      </c>
      <c r="Z371" s="8">
        <f>RawSalesTable[[#This Row],[Gross_Sales]]*RawSalesTable[[#This Row],[Discount_Pct]]</f>
        <v>103.833</v>
      </c>
      <c r="AA371" s="8">
        <f>RawSalesTable[[#This Row],[Gross_Sales]]-RawSalesTable[[#This Row],[Discount_Amount]]</f>
        <v>588.38700000000006</v>
      </c>
      <c r="AB371" s="8">
        <f>RawSalesTable[[#This Row],[Unit_Cost]]*RawSalesTable[[#This Row],[Quantity]]</f>
        <v>400.32</v>
      </c>
      <c r="AC371" s="8">
        <f>RawSalesTable[[#This Row],[Net_Sales]]-RawSalesTable[[#This Row],[Total_Cost]]</f>
        <v>188.06700000000006</v>
      </c>
      <c r="AD371" s="9">
        <f>RawSalesTable[[#This Row],[Profit]]/RawSalesTable[[#This Row],[Net_Sales]]</f>
        <v>0.31963146704464929</v>
      </c>
      <c r="AE371" s="8">
        <f>IF(RawSalesTable[[#This Row],[Return_Status]]="Yes",1,0)</f>
        <v>1</v>
      </c>
      <c r="AF371" s="8">
        <f>YEAR(RawSalesTable[[#This Row],[Order_Date]])</f>
        <v>2025</v>
      </c>
      <c r="AG371" s="8">
        <f>MONTH(RawSalesTable[[#This Row],[Order_Date]])</f>
        <v>4</v>
      </c>
      <c r="AH371" s="8" t="str">
        <f>TEXT(RawSalesTable[[#This Row],[Order_Date]],"mmmm")</f>
        <v>avril</v>
      </c>
      <c r="AI371" s="8" t="str">
        <f>IF(RawSalesTable[[#This Row],[Month_Number]]&lt;=3,"Q1",IF(RawSalesTable[[#This Row],[Month_Number]]&lt;=6,"Q2",IF(RawSalesTable[[#This Row],[Month_Number]]&lt;=9,"Q3","Q4")))</f>
        <v>Q2</v>
      </c>
      <c r="AJ371" s="13">
        <f>DATE(YEAR(RawSalesTable[[#This Row],[Order_Date]]),MONTH(RawSalesTable[[#This Row],[Order_Date]]),1)</f>
        <v>45748</v>
      </c>
      <c r="AK371" s="8" t="str">
        <f>VLOOKUP(RawSalesTable[[#This Row],[Customer_ID_clean]],CustomersTable[],4,FALSE)</f>
        <v>Ontario</v>
      </c>
    </row>
    <row r="372" spans="1:37">
      <c r="A372" t="s">
        <v>781</v>
      </c>
      <c r="B372" s="3">
        <v>45939</v>
      </c>
      <c r="C372" t="s">
        <v>216</v>
      </c>
      <c r="D372" t="s">
        <v>244</v>
      </c>
      <c r="E372" t="s">
        <v>218</v>
      </c>
      <c r="F372" t="s">
        <v>87</v>
      </c>
      <c r="G372" t="s">
        <v>96</v>
      </c>
      <c r="H372" t="s">
        <v>89</v>
      </c>
      <c r="I372">
        <v>1</v>
      </c>
      <c r="J372" s="2">
        <v>243.13</v>
      </c>
      <c r="K372" s="4">
        <v>0</v>
      </c>
      <c r="L372" t="s">
        <v>432</v>
      </c>
      <c r="M372">
        <v>5</v>
      </c>
      <c r="N372" t="s">
        <v>91</v>
      </c>
      <c r="O372" t="str">
        <f>SUBSTITUTE(PROPER(TRIM(RawSalesTable[[#This Row],[Channel_Raw]])), "Market Place", "Marketplace")</f>
        <v>Online</v>
      </c>
      <c r="P372" t="str">
        <f>TRIM(RawSalesTable[[#This Row],[Store_Raw]])</f>
        <v>Online Fulfillment</v>
      </c>
      <c r="Q372" t="str">
        <f>IF(TRIM(RawSalesTable[[#This Row],[Payment_Method_Raw]])="","Non renseigné",SUBSTITUTE(TRIM(RawSalesTable[[#This Row],[Payment_Method_Raw]]),"CC","Credit Card"))</f>
        <v>PAYPAL</v>
      </c>
      <c r="R372" s="8" t="str">
        <f>UPPER(PROPER(RawSalesTable[[#This Row],[Customer_ID]]))</f>
        <v>C0065</v>
      </c>
      <c r="S372" s="8" t="str">
        <f>TRIM(LEFT(RawSalesTable[[#This Row],[Customer_Info]],FIND(",",RawSalesTable[[#This Row],[Customer_Info]]) -1))</f>
        <v>Mia Wilson</v>
      </c>
      <c r="T372" s="8" t="str">
        <f>TRIM(MID(RawSalesTable[[#This Row],[Customer_Info]],FIND(",",RawSalesTable[[#This Row],[Customer_Info]])+1,FIND(",",RawSalesTable[[#This Row],[Customer_Info]],FIND(",",RawSalesTable[[#This Row],[Customer_Info]])+1)-FIND(",",RawSalesTable[[#This Row],[Customer_Info]])-1))</f>
        <v>Quebec City</v>
      </c>
      <c r="U372" s="8" t="str">
        <f>TRIM(RIGHT(RawSalesTable[[#This Row],[Customer_Info]], LEN(RawSalesTable[[#This Row],[Customer_Info]])-FIND(",",RawSalesTable[[#This Row],[Customer_Info]],FIND(",",RawSalesTable[[#This Row],[Customer_Info]])+1)))</f>
        <v>Consumer</v>
      </c>
      <c r="V372" s="8" t="str">
        <f>VLOOKUP(RawSalesTable[[#This Row],[Product_ID]],ProductsTable[],2,FALSE)</f>
        <v>Portable SSD</v>
      </c>
      <c r="W372" s="8" t="str">
        <f>VLOOKUP(RawSalesTable[[#This Row],[Product_ID]],ProductsTable[],3,FALSE)</f>
        <v>Electronics</v>
      </c>
      <c r="X372" s="8">
        <f>VLOOKUP(RawSalesTable[[#This Row],[Product_ID]],ProductsTable[],5,FALSE)</f>
        <v>131.19</v>
      </c>
      <c r="Y372" s="8">
        <f>RawSalesTable[[#This Row],[Quantity]]*RawSalesTable[[#This Row],[Unit_Price]]</f>
        <v>243.13</v>
      </c>
      <c r="Z372" s="8">
        <f>RawSalesTable[[#This Row],[Gross_Sales]]*RawSalesTable[[#This Row],[Discount_Pct]]</f>
        <v>0</v>
      </c>
      <c r="AA372" s="8">
        <f>RawSalesTable[[#This Row],[Gross_Sales]]-RawSalesTable[[#This Row],[Discount_Amount]]</f>
        <v>243.13</v>
      </c>
      <c r="AB372" s="8">
        <f>RawSalesTable[[#This Row],[Unit_Cost]]*RawSalesTable[[#This Row],[Quantity]]</f>
        <v>131.19</v>
      </c>
      <c r="AC372" s="8">
        <f>RawSalesTable[[#This Row],[Net_Sales]]-RawSalesTable[[#This Row],[Total_Cost]]</f>
        <v>111.94</v>
      </c>
      <c r="AD372" s="9">
        <f>RawSalesTable[[#This Row],[Profit]]/RawSalesTable[[#This Row],[Net_Sales]]</f>
        <v>0.46041212520051</v>
      </c>
      <c r="AE372" s="8">
        <f>IF(RawSalesTable[[#This Row],[Return_Status]]="Yes",1,0)</f>
        <v>0</v>
      </c>
      <c r="AF372" s="8">
        <f>YEAR(RawSalesTable[[#This Row],[Order_Date]])</f>
        <v>2025</v>
      </c>
      <c r="AG372" s="8">
        <f>MONTH(RawSalesTable[[#This Row],[Order_Date]])</f>
        <v>10</v>
      </c>
      <c r="AH372" s="8" t="str">
        <f>TEXT(RawSalesTable[[#This Row],[Order_Date]],"mmmm")</f>
        <v>octobre</v>
      </c>
      <c r="AI372" s="8" t="str">
        <f>IF(RawSalesTable[[#This Row],[Month_Number]]&lt;=3,"Q1",IF(RawSalesTable[[#This Row],[Month_Number]]&lt;=6,"Q2",IF(RawSalesTable[[#This Row],[Month_Number]]&lt;=9,"Q3","Q4")))</f>
        <v>Q4</v>
      </c>
      <c r="AJ372" s="13">
        <f>DATE(YEAR(RawSalesTable[[#This Row],[Order_Date]]),MONTH(RawSalesTable[[#This Row],[Order_Date]]),1)</f>
        <v>45931</v>
      </c>
      <c r="AK372" s="8" t="str">
        <f>VLOOKUP(RawSalesTable[[#This Row],[Customer_ID_clean]],CustomersTable[],4,FALSE)</f>
        <v>Quebec</v>
      </c>
    </row>
    <row r="373" spans="1:37">
      <c r="A373" t="s">
        <v>782</v>
      </c>
      <c r="B373" s="3">
        <v>45794</v>
      </c>
      <c r="C373" t="s">
        <v>286</v>
      </c>
      <c r="D373" t="s">
        <v>360</v>
      </c>
      <c r="E373" t="s">
        <v>287</v>
      </c>
      <c r="F373" t="s">
        <v>103</v>
      </c>
      <c r="G373" t="s">
        <v>183</v>
      </c>
      <c r="H373" t="s">
        <v>89</v>
      </c>
      <c r="I373">
        <v>4</v>
      </c>
      <c r="J373" s="2">
        <v>66.459999999999994</v>
      </c>
      <c r="K373" s="4">
        <v>0</v>
      </c>
      <c r="L373" t="s">
        <v>106</v>
      </c>
      <c r="M373">
        <v>3</v>
      </c>
      <c r="N373" t="s">
        <v>91</v>
      </c>
      <c r="O373" t="str">
        <f>SUBSTITUTE(PROPER(TRIM(RawSalesTable[[#This Row],[Channel_Raw]])), "Market Place", "Marketplace")</f>
        <v>Online</v>
      </c>
      <c r="P373" t="str">
        <f>TRIM(RawSalesTable[[#This Row],[Store_Raw]])</f>
        <v>Vancouver West</v>
      </c>
      <c r="Q373" t="str">
        <f>IF(TRIM(RawSalesTable[[#This Row],[Payment_Method_Raw]])="","Non renseigné",SUBSTITUTE(TRIM(RawSalesTable[[#This Row],[Payment_Method_Raw]]),"CC","Credit Card"))</f>
        <v>Credit Card</v>
      </c>
      <c r="R373" s="8" t="str">
        <f>UPPER(PROPER(RawSalesTable[[#This Row],[Customer_ID]]))</f>
        <v>C0098</v>
      </c>
      <c r="S373" s="8" t="str">
        <f>TRIM(LEFT(RawSalesTable[[#This Row],[Customer_Info]],FIND(",",RawSalesTable[[#This Row],[Customer_Info]]) -1))</f>
        <v>Nora Young</v>
      </c>
      <c r="T373" s="8" t="str">
        <f>TRIM(MID(RawSalesTable[[#This Row],[Customer_Info]],FIND(",",RawSalesTable[[#This Row],[Customer_Info]])+1,FIND(",",RawSalesTable[[#This Row],[Customer_Info]],FIND(",",RawSalesTable[[#This Row],[Customer_Info]])+1)-FIND(",",RawSalesTable[[#This Row],[Customer_Info]])-1))</f>
        <v>Winnipeg</v>
      </c>
      <c r="U373" s="8" t="str">
        <f>TRIM(RIGHT(RawSalesTable[[#This Row],[Customer_Info]], LEN(RawSalesTable[[#This Row],[Customer_Info]])-FIND(",",RawSalesTable[[#This Row],[Customer_Info]],FIND(",",RawSalesTable[[#This Row],[Customer_Info]])+1)))</f>
        <v>Consumer</v>
      </c>
      <c r="V373" s="8" t="str">
        <f>VLOOKUP(RawSalesTable[[#This Row],[Product_ID]],ProductsTable[],2,FALSE)</f>
        <v>Blender</v>
      </c>
      <c r="W373" s="8" t="str">
        <f>VLOOKUP(RawSalesTable[[#This Row],[Product_ID]],ProductsTable[],3,FALSE)</f>
        <v>Home</v>
      </c>
      <c r="X373" s="8">
        <f>VLOOKUP(RawSalesTable[[#This Row],[Product_ID]],ProductsTable[],5,FALSE)</f>
        <v>37.46</v>
      </c>
      <c r="Y373" s="8">
        <f>RawSalesTable[[#This Row],[Quantity]]*RawSalesTable[[#This Row],[Unit_Price]]</f>
        <v>265.83999999999997</v>
      </c>
      <c r="Z373" s="8">
        <f>RawSalesTable[[#This Row],[Gross_Sales]]*RawSalesTable[[#This Row],[Discount_Pct]]</f>
        <v>0</v>
      </c>
      <c r="AA373" s="8">
        <f>RawSalesTable[[#This Row],[Gross_Sales]]-RawSalesTable[[#This Row],[Discount_Amount]]</f>
        <v>265.83999999999997</v>
      </c>
      <c r="AB373" s="8">
        <f>RawSalesTable[[#This Row],[Unit_Cost]]*RawSalesTable[[#This Row],[Quantity]]</f>
        <v>149.84</v>
      </c>
      <c r="AC373" s="8">
        <f>RawSalesTable[[#This Row],[Net_Sales]]-RawSalesTable[[#This Row],[Total_Cost]]</f>
        <v>115.99999999999997</v>
      </c>
      <c r="AD373" s="9">
        <f>RawSalesTable[[#This Row],[Profit]]/RawSalesTable[[#This Row],[Net_Sales]]</f>
        <v>0.43635269334938304</v>
      </c>
      <c r="AE373" s="8">
        <f>IF(RawSalesTable[[#This Row],[Return_Status]]="Yes",1,0)</f>
        <v>0</v>
      </c>
      <c r="AF373" s="8">
        <f>YEAR(RawSalesTable[[#This Row],[Order_Date]])</f>
        <v>2025</v>
      </c>
      <c r="AG373" s="8">
        <f>MONTH(RawSalesTable[[#This Row],[Order_Date]])</f>
        <v>5</v>
      </c>
      <c r="AH373" s="8" t="str">
        <f>TEXT(RawSalesTable[[#This Row],[Order_Date]],"mmmm")</f>
        <v>mai</v>
      </c>
      <c r="AI373" s="8" t="str">
        <f>IF(RawSalesTable[[#This Row],[Month_Number]]&lt;=3,"Q1",IF(RawSalesTable[[#This Row],[Month_Number]]&lt;=6,"Q2",IF(RawSalesTable[[#This Row],[Month_Number]]&lt;=9,"Q3","Q4")))</f>
        <v>Q2</v>
      </c>
      <c r="AJ373" s="13">
        <f>DATE(YEAR(RawSalesTable[[#This Row],[Order_Date]]),MONTH(RawSalesTable[[#This Row],[Order_Date]]),1)</f>
        <v>45778</v>
      </c>
      <c r="AK373" s="8" t="str">
        <f>VLOOKUP(RawSalesTable[[#This Row],[Customer_ID_clean]],CustomersTable[],4,FALSE)</f>
        <v>Manitoba</v>
      </c>
    </row>
    <row r="374" spans="1:37">
      <c r="A374" t="s">
        <v>783</v>
      </c>
      <c r="B374" s="3">
        <v>45898</v>
      </c>
      <c r="C374" t="s">
        <v>108</v>
      </c>
      <c r="D374" t="s">
        <v>210</v>
      </c>
      <c r="E374" t="s">
        <v>110</v>
      </c>
      <c r="F374" t="s">
        <v>103</v>
      </c>
      <c r="G374" t="s">
        <v>183</v>
      </c>
      <c r="H374" t="s">
        <v>228</v>
      </c>
      <c r="I374">
        <v>2</v>
      </c>
      <c r="J374" s="2">
        <v>320.83999999999997</v>
      </c>
      <c r="K374" s="4">
        <v>0.25</v>
      </c>
      <c r="L374" t="s">
        <v>90</v>
      </c>
      <c r="M374">
        <v>5</v>
      </c>
      <c r="N374" t="s">
        <v>91</v>
      </c>
      <c r="O374" t="str">
        <f>SUBSTITUTE(PROPER(TRIM(RawSalesTable[[#This Row],[Channel_Raw]])), "Market Place", "Marketplace")</f>
        <v>Online</v>
      </c>
      <c r="P374" t="str">
        <f>TRIM(RawSalesTable[[#This Row],[Store_Raw]])</f>
        <v>Vancouver West</v>
      </c>
      <c r="Q374" t="str">
        <f>IF(TRIM(RawSalesTable[[#This Row],[Payment_Method_Raw]])="","Non renseigné",SUBSTITUTE(TRIM(RawSalesTable[[#This Row],[Payment_Method_Raw]]),"CC","Credit Card"))</f>
        <v>PayPal</v>
      </c>
      <c r="R374" s="8" t="str">
        <f>UPPER(PROPER(RawSalesTable[[#This Row],[Customer_ID]]))</f>
        <v>C0071</v>
      </c>
      <c r="S374" s="8" t="str">
        <f>TRIM(LEFT(RawSalesTable[[#This Row],[Customer_Info]],FIND(",",RawSalesTable[[#This Row],[Customer_Info]]) -1))</f>
        <v>Ethan Lee</v>
      </c>
      <c r="T374" s="8" t="str">
        <f>TRIM(MID(RawSalesTable[[#This Row],[Customer_Info]],FIND(",",RawSalesTable[[#This Row],[Customer_Info]])+1,FIND(",",RawSalesTable[[#This Row],[Customer_Info]],FIND(",",RawSalesTable[[#This Row],[Customer_Info]])+1)-FIND(",",RawSalesTable[[#This Row],[Customer_Info]])-1))</f>
        <v>Surrey</v>
      </c>
      <c r="U374" s="8" t="str">
        <f>TRIM(RIGHT(RawSalesTable[[#This Row],[Customer_Info]], LEN(RawSalesTable[[#This Row],[Customer_Info]])-FIND(",",RawSalesTable[[#This Row],[Customer_Info]],FIND(",",RawSalesTable[[#This Row],[Customer_Info]])+1)))</f>
        <v>Consumer</v>
      </c>
      <c r="V374" s="8" t="str">
        <f>VLOOKUP(RawSalesTable[[#This Row],[Product_ID]],ProductsTable[],2,FALSE)</f>
        <v>Desk Pad</v>
      </c>
      <c r="W374" s="8" t="str">
        <f>VLOOKUP(RawSalesTable[[#This Row],[Product_ID]],ProductsTable[],3,FALSE)</f>
        <v>Accessories</v>
      </c>
      <c r="X374" s="8">
        <f>VLOOKUP(RawSalesTable[[#This Row],[Product_ID]],ProductsTable[],5,FALSE)</f>
        <v>177.57</v>
      </c>
      <c r="Y374" s="8">
        <f>RawSalesTable[[#This Row],[Quantity]]*RawSalesTable[[#This Row],[Unit_Price]]</f>
        <v>641.67999999999995</v>
      </c>
      <c r="Z374" s="8">
        <f>RawSalesTable[[#This Row],[Gross_Sales]]*RawSalesTable[[#This Row],[Discount_Pct]]</f>
        <v>160.41999999999999</v>
      </c>
      <c r="AA374" s="8">
        <f>RawSalesTable[[#This Row],[Gross_Sales]]-RawSalesTable[[#This Row],[Discount_Amount]]</f>
        <v>481.26</v>
      </c>
      <c r="AB374" s="8">
        <f>RawSalesTable[[#This Row],[Unit_Cost]]*RawSalesTable[[#This Row],[Quantity]]</f>
        <v>355.14</v>
      </c>
      <c r="AC374" s="8">
        <f>RawSalesTable[[#This Row],[Net_Sales]]-RawSalesTable[[#This Row],[Total_Cost]]</f>
        <v>126.12</v>
      </c>
      <c r="AD374" s="9">
        <f>RawSalesTable[[#This Row],[Profit]]/RawSalesTable[[#This Row],[Net_Sales]]</f>
        <v>0.26206208702156841</v>
      </c>
      <c r="AE374" s="8">
        <f>IF(RawSalesTable[[#This Row],[Return_Status]]="Yes",1,0)</f>
        <v>0</v>
      </c>
      <c r="AF374" s="8">
        <f>YEAR(RawSalesTable[[#This Row],[Order_Date]])</f>
        <v>2025</v>
      </c>
      <c r="AG374" s="8">
        <f>MONTH(RawSalesTable[[#This Row],[Order_Date]])</f>
        <v>8</v>
      </c>
      <c r="AH374" s="8" t="str">
        <f>TEXT(RawSalesTable[[#This Row],[Order_Date]],"mmmm")</f>
        <v>août</v>
      </c>
      <c r="AI374" s="8" t="str">
        <f>IF(RawSalesTable[[#This Row],[Month_Number]]&lt;=3,"Q1",IF(RawSalesTable[[#This Row],[Month_Number]]&lt;=6,"Q2",IF(RawSalesTable[[#This Row],[Month_Number]]&lt;=9,"Q3","Q4")))</f>
        <v>Q3</v>
      </c>
      <c r="AJ374" s="13">
        <f>DATE(YEAR(RawSalesTable[[#This Row],[Order_Date]]),MONTH(RawSalesTable[[#This Row],[Order_Date]]),1)</f>
        <v>45870</v>
      </c>
      <c r="AK374" s="8" t="str">
        <f>VLOOKUP(RawSalesTable[[#This Row],[Customer_ID_clean]],CustomersTable[],4,FALSE)</f>
        <v>British Columbia</v>
      </c>
    </row>
    <row r="375" spans="1:37">
      <c r="A375" t="s">
        <v>784</v>
      </c>
      <c r="B375" s="3">
        <v>45877</v>
      </c>
      <c r="C375" t="s">
        <v>472</v>
      </c>
      <c r="D375" t="s">
        <v>136</v>
      </c>
      <c r="E375" t="s">
        <v>473</v>
      </c>
      <c r="F375" t="s">
        <v>116</v>
      </c>
      <c r="G375" t="s">
        <v>130</v>
      </c>
      <c r="H375" t="s">
        <v>89</v>
      </c>
      <c r="I375">
        <v>3</v>
      </c>
      <c r="J375" s="2">
        <v>165.26</v>
      </c>
      <c r="K375" s="4">
        <v>0.05</v>
      </c>
      <c r="L375" t="s">
        <v>106</v>
      </c>
      <c r="M375">
        <v>1</v>
      </c>
      <c r="N375" t="s">
        <v>91</v>
      </c>
      <c r="O375" t="str">
        <f>SUBSTITUTE(PROPER(TRIM(RawSalesTable[[#This Row],[Channel_Raw]])), "Market Place", "Marketplace")</f>
        <v>Online</v>
      </c>
      <c r="P375" t="str">
        <f>TRIM(RawSalesTable[[#This Row],[Store_Raw]])</f>
        <v>Toronto Downtown</v>
      </c>
      <c r="Q375" t="str">
        <f>IF(TRIM(RawSalesTable[[#This Row],[Payment_Method_Raw]])="","Non renseigné",SUBSTITUTE(TRIM(RawSalesTable[[#This Row],[Payment_Method_Raw]]),"CC","Credit Card"))</f>
        <v>Credit Card</v>
      </c>
      <c r="R375" s="8" t="str">
        <f>UPPER(PROPER(RawSalesTable[[#This Row],[Customer_ID]]))</f>
        <v>C0018</v>
      </c>
      <c r="S375" s="8" t="str">
        <f>TRIM(LEFT(RawSalesTable[[#This Row],[Customer_Info]],FIND(",",RawSalesTable[[#This Row],[Customer_Info]]) -1))</f>
        <v>Sophia Tremblay</v>
      </c>
      <c r="T375" s="8" t="str">
        <f>TRIM(MID(RawSalesTable[[#This Row],[Customer_Info]],FIND(",",RawSalesTable[[#This Row],[Customer_Info]])+1,FIND(",",RawSalesTable[[#This Row],[Customer_Info]],FIND(",",RawSalesTable[[#This Row],[Customer_Info]])+1)-FIND(",",RawSalesTable[[#This Row],[Customer_Info]])-1))</f>
        <v>Laval</v>
      </c>
      <c r="U375" s="8" t="str">
        <f>TRIM(RIGHT(RawSalesTable[[#This Row],[Customer_Info]], LEN(RawSalesTable[[#This Row],[Customer_Info]])-FIND(",",RawSalesTable[[#This Row],[Customer_Info]],FIND(",",RawSalesTable[[#This Row],[Customer_Info]])+1)))</f>
        <v>Small Business</v>
      </c>
      <c r="V375" s="8" t="str">
        <f>VLOOKUP(RawSalesTable[[#This Row],[Product_ID]],ProductsTable[],2,FALSE)</f>
        <v>Mouse</v>
      </c>
      <c r="W375" s="8" t="str">
        <f>VLOOKUP(RawSalesTable[[#This Row],[Product_ID]],ProductsTable[],3,FALSE)</f>
        <v>Electronics</v>
      </c>
      <c r="X375" s="8">
        <f>VLOOKUP(RawSalesTable[[#This Row],[Product_ID]],ProductsTable[],5,FALSE)</f>
        <v>106.4</v>
      </c>
      <c r="Y375" s="8">
        <f>RawSalesTable[[#This Row],[Quantity]]*RawSalesTable[[#This Row],[Unit_Price]]</f>
        <v>495.78</v>
      </c>
      <c r="Z375" s="8">
        <f>RawSalesTable[[#This Row],[Gross_Sales]]*RawSalesTable[[#This Row],[Discount_Pct]]</f>
        <v>24.789000000000001</v>
      </c>
      <c r="AA375" s="8">
        <f>RawSalesTable[[#This Row],[Gross_Sales]]-RawSalesTable[[#This Row],[Discount_Amount]]</f>
        <v>470.99099999999999</v>
      </c>
      <c r="AB375" s="8">
        <f>RawSalesTable[[#This Row],[Unit_Cost]]*RawSalesTable[[#This Row],[Quantity]]</f>
        <v>319.20000000000005</v>
      </c>
      <c r="AC375" s="8">
        <f>RawSalesTable[[#This Row],[Net_Sales]]-RawSalesTable[[#This Row],[Total_Cost]]</f>
        <v>151.79099999999994</v>
      </c>
      <c r="AD375" s="9">
        <f>RawSalesTable[[#This Row],[Profit]]/RawSalesTable[[#This Row],[Net_Sales]]</f>
        <v>0.32228004356771139</v>
      </c>
      <c r="AE375" s="8">
        <f>IF(RawSalesTable[[#This Row],[Return_Status]]="Yes",1,0)</f>
        <v>0</v>
      </c>
      <c r="AF375" s="8">
        <f>YEAR(RawSalesTable[[#This Row],[Order_Date]])</f>
        <v>2025</v>
      </c>
      <c r="AG375" s="8">
        <f>MONTH(RawSalesTable[[#This Row],[Order_Date]])</f>
        <v>8</v>
      </c>
      <c r="AH375" s="8" t="str">
        <f>TEXT(RawSalesTable[[#This Row],[Order_Date]],"mmmm")</f>
        <v>août</v>
      </c>
      <c r="AI375" s="8" t="str">
        <f>IF(RawSalesTable[[#This Row],[Month_Number]]&lt;=3,"Q1",IF(RawSalesTable[[#This Row],[Month_Number]]&lt;=6,"Q2",IF(RawSalesTable[[#This Row],[Month_Number]]&lt;=9,"Q3","Q4")))</f>
        <v>Q3</v>
      </c>
      <c r="AJ375" s="13">
        <f>DATE(YEAR(RawSalesTable[[#This Row],[Order_Date]]),MONTH(RawSalesTable[[#This Row],[Order_Date]]),1)</f>
        <v>45870</v>
      </c>
      <c r="AK375" s="8" t="str">
        <f>VLOOKUP(RawSalesTable[[#This Row],[Customer_ID_clean]],CustomersTable[],4,FALSE)</f>
        <v>Quebec</v>
      </c>
    </row>
    <row r="376" spans="1:37">
      <c r="A376" t="s">
        <v>785</v>
      </c>
      <c r="B376" s="3">
        <v>45897</v>
      </c>
      <c r="C376" t="s">
        <v>675</v>
      </c>
      <c r="D376" t="s">
        <v>194</v>
      </c>
      <c r="E376" t="s">
        <v>676</v>
      </c>
      <c r="F376" t="s">
        <v>145</v>
      </c>
      <c r="G376" t="s">
        <v>104</v>
      </c>
      <c r="H376" t="s">
        <v>97</v>
      </c>
      <c r="I376">
        <v>1</v>
      </c>
      <c r="J376" s="2">
        <v>209.3</v>
      </c>
      <c r="K376" s="4">
        <v>0.1</v>
      </c>
      <c r="L376" t="s">
        <v>106</v>
      </c>
      <c r="M376">
        <v>2</v>
      </c>
      <c r="N376" t="s">
        <v>91</v>
      </c>
      <c r="O376" t="str">
        <f>SUBSTITUTE(PROPER(TRIM(RawSalesTable[[#This Row],[Channel_Raw]])), "Market Place", "Marketplace")</f>
        <v>Retail Store</v>
      </c>
      <c r="P376" t="str">
        <f>TRIM(RawSalesTable[[#This Row],[Store_Raw]])</f>
        <v>Calgary North</v>
      </c>
      <c r="Q376" t="str">
        <f>IF(TRIM(RawSalesTable[[#This Row],[Payment_Method_Raw]])="","Non renseigné",SUBSTITUTE(TRIM(RawSalesTable[[#This Row],[Payment_Method_Raw]]),"CC","Credit Card"))</f>
        <v>Credit Card</v>
      </c>
      <c r="R376" s="8" t="str">
        <f>UPPER(PROPER(RawSalesTable[[#This Row],[Customer_ID]]))</f>
        <v>C0101</v>
      </c>
      <c r="S376" s="8" t="str">
        <f>TRIM(LEFT(RawSalesTable[[#This Row],[Customer_Info]],FIND(",",RawSalesTable[[#This Row],[Customer_Info]]) -1))</f>
        <v>Noah Martin</v>
      </c>
      <c r="T376" s="8" t="str">
        <f>TRIM(MID(RawSalesTable[[#This Row],[Customer_Info]],FIND(",",RawSalesTable[[#This Row],[Customer_Info]])+1,FIND(",",RawSalesTable[[#This Row],[Customer_Info]],FIND(",",RawSalesTable[[#This Row],[Customer_Info]])+1)-FIND(",",RawSalesTable[[#This Row],[Customer_Info]])-1))</f>
        <v>Saskatoon</v>
      </c>
      <c r="U376" s="8" t="str">
        <f>TRIM(RIGHT(RawSalesTable[[#This Row],[Customer_Info]], LEN(RawSalesTable[[#This Row],[Customer_Info]])-FIND(",",RawSalesTable[[#This Row],[Customer_Info]],FIND(",",RawSalesTable[[#This Row],[Customer_Info]])+1)))</f>
        <v>Small Business</v>
      </c>
      <c r="V376" s="8" t="str">
        <f>VLOOKUP(RawSalesTable[[#This Row],[Product_ID]],ProductsTable[],2,FALSE)</f>
        <v>Jump Rope</v>
      </c>
      <c r="W376" s="8" t="str">
        <f>VLOOKUP(RawSalesTable[[#This Row],[Product_ID]],ProductsTable[],3,FALSE)</f>
        <v>Fitness</v>
      </c>
      <c r="X376" s="8">
        <f>VLOOKUP(RawSalesTable[[#This Row],[Product_ID]],ProductsTable[],5,FALSE)</f>
        <v>101</v>
      </c>
      <c r="Y376" s="8">
        <f>RawSalesTable[[#This Row],[Quantity]]*RawSalesTable[[#This Row],[Unit_Price]]</f>
        <v>209.3</v>
      </c>
      <c r="Z376" s="8">
        <f>RawSalesTable[[#This Row],[Gross_Sales]]*RawSalesTable[[#This Row],[Discount_Pct]]</f>
        <v>20.930000000000003</v>
      </c>
      <c r="AA376" s="8">
        <f>RawSalesTable[[#This Row],[Gross_Sales]]-RawSalesTable[[#This Row],[Discount_Amount]]</f>
        <v>188.37</v>
      </c>
      <c r="AB376" s="8">
        <f>RawSalesTable[[#This Row],[Unit_Cost]]*RawSalesTable[[#This Row],[Quantity]]</f>
        <v>101</v>
      </c>
      <c r="AC376" s="8">
        <f>RawSalesTable[[#This Row],[Net_Sales]]-RawSalesTable[[#This Row],[Total_Cost]]</f>
        <v>87.37</v>
      </c>
      <c r="AD376" s="9">
        <f>RawSalesTable[[#This Row],[Profit]]/RawSalesTable[[#This Row],[Net_Sales]]</f>
        <v>0.46382120295163776</v>
      </c>
      <c r="AE376" s="8">
        <f>IF(RawSalesTable[[#This Row],[Return_Status]]="Yes",1,0)</f>
        <v>0</v>
      </c>
      <c r="AF376" s="8">
        <f>YEAR(RawSalesTable[[#This Row],[Order_Date]])</f>
        <v>2025</v>
      </c>
      <c r="AG376" s="8">
        <f>MONTH(RawSalesTable[[#This Row],[Order_Date]])</f>
        <v>8</v>
      </c>
      <c r="AH376" s="8" t="str">
        <f>TEXT(RawSalesTable[[#This Row],[Order_Date]],"mmmm")</f>
        <v>août</v>
      </c>
      <c r="AI376" s="8" t="str">
        <f>IF(RawSalesTable[[#This Row],[Month_Number]]&lt;=3,"Q1",IF(RawSalesTable[[#This Row],[Month_Number]]&lt;=6,"Q2",IF(RawSalesTable[[#This Row],[Month_Number]]&lt;=9,"Q3","Q4")))</f>
        <v>Q3</v>
      </c>
      <c r="AJ376" s="13">
        <f>DATE(YEAR(RawSalesTable[[#This Row],[Order_Date]]),MONTH(RawSalesTable[[#This Row],[Order_Date]]),1)</f>
        <v>45870</v>
      </c>
      <c r="AK376" s="8" t="str">
        <f>VLOOKUP(RawSalesTable[[#This Row],[Customer_ID_clean]],CustomersTable[],4,FALSE)</f>
        <v>Saskatchewan</v>
      </c>
    </row>
    <row r="377" spans="1:37">
      <c r="A377" t="s">
        <v>786</v>
      </c>
      <c r="B377" s="3">
        <v>45923</v>
      </c>
      <c r="C377" t="s">
        <v>647</v>
      </c>
      <c r="D377" t="s">
        <v>738</v>
      </c>
      <c r="E377" t="s">
        <v>648</v>
      </c>
      <c r="F377" t="s">
        <v>116</v>
      </c>
      <c r="G377" t="s">
        <v>88</v>
      </c>
      <c r="H377" t="s">
        <v>97</v>
      </c>
      <c r="I377">
        <v>1</v>
      </c>
      <c r="J377" s="2">
        <v>308.68</v>
      </c>
      <c r="K377" s="4">
        <v>0.2</v>
      </c>
      <c r="L377" t="s">
        <v>106</v>
      </c>
      <c r="M377">
        <v>2</v>
      </c>
      <c r="N377" t="s">
        <v>91</v>
      </c>
      <c r="O377" t="str">
        <f>SUBSTITUTE(PROPER(TRIM(RawSalesTable[[#This Row],[Channel_Raw]])), "Market Place", "Marketplace")</f>
        <v>Retail Store</v>
      </c>
      <c r="P377" t="str">
        <f>TRIM(RawSalesTable[[#This Row],[Store_Raw]])</f>
        <v>Toronto Downtown</v>
      </c>
      <c r="Q377" t="str">
        <f>IF(TRIM(RawSalesTable[[#This Row],[Payment_Method_Raw]])="","Non renseigné",SUBSTITUTE(TRIM(RawSalesTable[[#This Row],[Payment_Method_Raw]]),"CC","Credit Card"))</f>
        <v>Credit Card</v>
      </c>
      <c r="R377" s="8" t="str">
        <f>UPPER(PROPER(RawSalesTable[[#This Row],[Customer_ID]]))</f>
        <v>C0050</v>
      </c>
      <c r="S377" s="8" t="str">
        <f>TRIM(LEFT(RawSalesTable[[#This Row],[Customer_Info]],FIND(",",RawSalesTable[[#This Row],[Customer_Info]]) -1))</f>
        <v>Sarah Singh</v>
      </c>
      <c r="T377" s="8" t="str">
        <f>TRIM(MID(RawSalesTable[[#This Row],[Customer_Info]],FIND(",",RawSalesTable[[#This Row],[Customer_Info]])+1,FIND(",",RawSalesTable[[#This Row],[Customer_Info]],FIND(",",RawSalesTable[[#This Row],[Customer_Info]])+1)-FIND(",",RawSalesTable[[#This Row],[Customer_Info]])-1))</f>
        <v>Mississauga</v>
      </c>
      <c r="U377" s="8" t="str">
        <f>TRIM(RIGHT(RawSalesTable[[#This Row],[Customer_Info]], LEN(RawSalesTable[[#This Row],[Customer_Info]])-FIND(",",RawSalesTable[[#This Row],[Customer_Info]],FIND(",",RawSalesTable[[#This Row],[Customer_Info]])+1)))</f>
        <v>Consumer</v>
      </c>
      <c r="V377" s="8" t="str">
        <f>VLOOKUP(RawSalesTable[[#This Row],[Product_ID]],ProductsTable[],2,FALSE)</f>
        <v>Printer</v>
      </c>
      <c r="W377" s="8" t="str">
        <f>VLOOKUP(RawSalesTable[[#This Row],[Product_ID]],ProductsTable[],3,FALSE)</f>
        <v>Office</v>
      </c>
      <c r="X377" s="8">
        <f>VLOOKUP(RawSalesTable[[#This Row],[Product_ID]],ProductsTable[],5,FALSE)</f>
        <v>156.75</v>
      </c>
      <c r="Y377" s="8">
        <f>RawSalesTable[[#This Row],[Quantity]]*RawSalesTable[[#This Row],[Unit_Price]]</f>
        <v>308.68</v>
      </c>
      <c r="Z377" s="8">
        <f>RawSalesTable[[#This Row],[Gross_Sales]]*RawSalesTable[[#This Row],[Discount_Pct]]</f>
        <v>61.736000000000004</v>
      </c>
      <c r="AA377" s="8">
        <f>RawSalesTable[[#This Row],[Gross_Sales]]-RawSalesTable[[#This Row],[Discount_Amount]]</f>
        <v>246.94400000000002</v>
      </c>
      <c r="AB377" s="8">
        <f>RawSalesTable[[#This Row],[Unit_Cost]]*RawSalesTable[[#This Row],[Quantity]]</f>
        <v>156.75</v>
      </c>
      <c r="AC377" s="8">
        <f>RawSalesTable[[#This Row],[Net_Sales]]-RawSalesTable[[#This Row],[Total_Cost]]</f>
        <v>90.194000000000017</v>
      </c>
      <c r="AD377" s="9">
        <f>RawSalesTable[[#This Row],[Profit]]/RawSalesTable[[#This Row],[Net_Sales]]</f>
        <v>0.36524070234547107</v>
      </c>
      <c r="AE377" s="8">
        <f>IF(RawSalesTable[[#This Row],[Return_Status]]="Yes",1,0)</f>
        <v>0</v>
      </c>
      <c r="AF377" s="8">
        <f>YEAR(RawSalesTable[[#This Row],[Order_Date]])</f>
        <v>2025</v>
      </c>
      <c r="AG377" s="8">
        <f>MONTH(RawSalesTable[[#This Row],[Order_Date]])</f>
        <v>9</v>
      </c>
      <c r="AH377" s="8" t="str">
        <f>TEXT(RawSalesTable[[#This Row],[Order_Date]],"mmmm")</f>
        <v>septembre</v>
      </c>
      <c r="AI377" s="8" t="str">
        <f>IF(RawSalesTable[[#This Row],[Month_Number]]&lt;=3,"Q1",IF(RawSalesTable[[#This Row],[Month_Number]]&lt;=6,"Q2",IF(RawSalesTable[[#This Row],[Month_Number]]&lt;=9,"Q3","Q4")))</f>
        <v>Q3</v>
      </c>
      <c r="AJ377" s="13">
        <f>DATE(YEAR(RawSalesTable[[#This Row],[Order_Date]]),MONTH(RawSalesTable[[#This Row],[Order_Date]]),1)</f>
        <v>45901</v>
      </c>
      <c r="AK377" s="8" t="str">
        <f>VLOOKUP(RawSalesTable[[#This Row],[Customer_ID_clean]],CustomersTable[],4,FALSE)</f>
        <v>Ontario</v>
      </c>
    </row>
    <row r="378" spans="1:37">
      <c r="A378" t="s">
        <v>787</v>
      </c>
      <c r="B378" s="3">
        <v>45887</v>
      </c>
      <c r="C378" t="s">
        <v>531</v>
      </c>
      <c r="D378" t="s">
        <v>226</v>
      </c>
      <c r="E378" t="s">
        <v>532</v>
      </c>
      <c r="F378" t="s">
        <v>116</v>
      </c>
      <c r="G378" t="s">
        <v>104</v>
      </c>
      <c r="H378" t="s">
        <v>97</v>
      </c>
      <c r="I378">
        <v>3</v>
      </c>
      <c r="J378" s="2">
        <v>215.17</v>
      </c>
      <c r="K378" s="4">
        <v>0.2</v>
      </c>
      <c r="L378" t="s">
        <v>106</v>
      </c>
      <c r="M378">
        <v>0</v>
      </c>
      <c r="N378" t="s">
        <v>91</v>
      </c>
      <c r="O378" t="str">
        <f>SUBSTITUTE(PROPER(TRIM(RawSalesTable[[#This Row],[Channel_Raw]])), "Market Place", "Marketplace")</f>
        <v>Retail Store</v>
      </c>
      <c r="P378" t="str">
        <f>TRIM(RawSalesTable[[#This Row],[Store_Raw]])</f>
        <v>Toronto Downtown</v>
      </c>
      <c r="Q378" t="str">
        <f>IF(TRIM(RawSalesTable[[#This Row],[Payment_Method_Raw]])="","Non renseigné",SUBSTITUTE(TRIM(RawSalesTable[[#This Row],[Payment_Method_Raw]]),"CC","Credit Card"))</f>
        <v>Credit Card</v>
      </c>
      <c r="R378" s="8" t="str">
        <f>UPPER(PROPER(RawSalesTable[[#This Row],[Customer_ID]]))</f>
        <v>C0042</v>
      </c>
      <c r="S378" s="8" t="str">
        <f>TRIM(LEFT(RawSalesTable[[#This Row],[Customer_Info]],FIND(",",RawSalesTable[[#This Row],[Customer_Info]]) -1))</f>
        <v>Emma King</v>
      </c>
      <c r="T378" s="8" t="str">
        <f>TRIM(MID(RawSalesTable[[#This Row],[Customer_Info]],FIND(",",RawSalesTable[[#This Row],[Customer_Info]])+1,FIND(",",RawSalesTable[[#This Row],[Customer_Info]],FIND(",",RawSalesTable[[#This Row],[Customer_Info]])+1)-FIND(",",RawSalesTable[[#This Row],[Customer_Info]])-1))</f>
        <v>Quebec City</v>
      </c>
      <c r="U378" s="8" t="str">
        <f>TRIM(RIGHT(RawSalesTable[[#This Row],[Customer_Info]], LEN(RawSalesTable[[#This Row],[Customer_Info]])-FIND(",",RawSalesTable[[#This Row],[Customer_Info]],FIND(",",RawSalesTable[[#This Row],[Customer_Info]])+1)))</f>
        <v>Consumer</v>
      </c>
      <c r="V378" s="8" t="str">
        <f>VLOOKUP(RawSalesTable[[#This Row],[Product_ID]],ProductsTable[],2,FALSE)</f>
        <v>Desk Lamp</v>
      </c>
      <c r="W378" s="8" t="str">
        <f>VLOOKUP(RawSalesTable[[#This Row],[Product_ID]],ProductsTable[],3,FALSE)</f>
        <v>Office</v>
      </c>
      <c r="X378" s="8">
        <f>VLOOKUP(RawSalesTable[[#This Row],[Product_ID]],ProductsTable[],5,FALSE)</f>
        <v>127.21</v>
      </c>
      <c r="Y378" s="8">
        <f>RawSalesTable[[#This Row],[Quantity]]*RawSalesTable[[#This Row],[Unit_Price]]</f>
        <v>645.51</v>
      </c>
      <c r="Z378" s="8">
        <f>RawSalesTable[[#This Row],[Gross_Sales]]*RawSalesTable[[#This Row],[Discount_Pct]]</f>
        <v>129.102</v>
      </c>
      <c r="AA378" s="8">
        <f>RawSalesTable[[#This Row],[Gross_Sales]]-RawSalesTable[[#This Row],[Discount_Amount]]</f>
        <v>516.40800000000002</v>
      </c>
      <c r="AB378" s="8">
        <f>RawSalesTable[[#This Row],[Unit_Cost]]*RawSalesTable[[#This Row],[Quantity]]</f>
        <v>381.63</v>
      </c>
      <c r="AC378" s="8">
        <f>RawSalesTable[[#This Row],[Net_Sales]]-RawSalesTable[[#This Row],[Total_Cost]]</f>
        <v>134.77800000000002</v>
      </c>
      <c r="AD378" s="9">
        <f>RawSalesTable[[#This Row],[Profit]]/RawSalesTable[[#This Row],[Net_Sales]]</f>
        <v>0.26099130919737884</v>
      </c>
      <c r="AE378" s="8">
        <f>IF(RawSalesTable[[#This Row],[Return_Status]]="Yes",1,0)</f>
        <v>0</v>
      </c>
      <c r="AF378" s="8">
        <f>YEAR(RawSalesTable[[#This Row],[Order_Date]])</f>
        <v>2025</v>
      </c>
      <c r="AG378" s="8">
        <f>MONTH(RawSalesTable[[#This Row],[Order_Date]])</f>
        <v>8</v>
      </c>
      <c r="AH378" s="8" t="str">
        <f>TEXT(RawSalesTable[[#This Row],[Order_Date]],"mmmm")</f>
        <v>août</v>
      </c>
      <c r="AI378" s="8" t="str">
        <f>IF(RawSalesTable[[#This Row],[Month_Number]]&lt;=3,"Q1",IF(RawSalesTable[[#This Row],[Month_Number]]&lt;=6,"Q2",IF(RawSalesTable[[#This Row],[Month_Number]]&lt;=9,"Q3","Q4")))</f>
        <v>Q3</v>
      </c>
      <c r="AJ378" s="13">
        <f>DATE(YEAR(RawSalesTable[[#This Row],[Order_Date]]),MONTH(RawSalesTable[[#This Row],[Order_Date]]),1)</f>
        <v>45870</v>
      </c>
      <c r="AK378" s="8" t="str">
        <f>VLOOKUP(RawSalesTable[[#This Row],[Customer_ID_clean]],CustomersTable[],4,FALSE)</f>
        <v>Quebec</v>
      </c>
    </row>
    <row r="379" spans="1:37">
      <c r="A379" t="s">
        <v>788</v>
      </c>
      <c r="B379" s="3">
        <v>45816</v>
      </c>
      <c r="C379" t="s">
        <v>197</v>
      </c>
      <c r="D379" t="s">
        <v>217</v>
      </c>
      <c r="E379" t="s">
        <v>198</v>
      </c>
      <c r="F379" t="s">
        <v>145</v>
      </c>
      <c r="G379" t="s">
        <v>183</v>
      </c>
      <c r="H379" t="s">
        <v>97</v>
      </c>
      <c r="I379">
        <v>3</v>
      </c>
      <c r="J379" s="2">
        <v>111.59</v>
      </c>
      <c r="K379" s="4">
        <v>0.05</v>
      </c>
      <c r="L379" t="s">
        <v>98</v>
      </c>
      <c r="M379">
        <v>1</v>
      </c>
      <c r="N379" t="s">
        <v>147</v>
      </c>
      <c r="O379" t="str">
        <f>SUBSTITUTE(PROPER(TRIM(RawSalesTable[[#This Row],[Channel_Raw]])), "Market Place", "Marketplace")</f>
        <v>Retail Store</v>
      </c>
      <c r="P379" t="str">
        <f>TRIM(RawSalesTable[[#This Row],[Store_Raw]])</f>
        <v>Calgary North</v>
      </c>
      <c r="Q379" t="str">
        <f>IF(TRIM(RawSalesTable[[#This Row],[Payment_Method_Raw]])="","Non renseigné",SUBSTITUTE(TRIM(RawSalesTable[[#This Row],[Payment_Method_Raw]]),"CC","Credit Card"))</f>
        <v>Debit Card</v>
      </c>
      <c r="R379" s="8" t="str">
        <f>UPPER(PROPER(RawSalesTable[[#This Row],[Customer_ID]]))</f>
        <v>C0091</v>
      </c>
      <c r="S379" s="8" t="str">
        <f>TRIM(LEFT(RawSalesTable[[#This Row],[Customer_Info]],FIND(",",RawSalesTable[[#This Row],[Customer_Info]]) -1))</f>
        <v>Leo Taylor</v>
      </c>
      <c r="T379" s="8" t="str">
        <f>TRIM(MID(RawSalesTable[[#This Row],[Customer_Info]],FIND(",",RawSalesTable[[#This Row],[Customer_Info]])+1,FIND(",",RawSalesTable[[#This Row],[Customer_Info]],FIND(",",RawSalesTable[[#This Row],[Customer_Info]])+1)-FIND(",",RawSalesTable[[#This Row],[Customer_Info]])-1))</f>
        <v>Victoria</v>
      </c>
      <c r="U379" s="8" t="str">
        <f>TRIM(RIGHT(RawSalesTable[[#This Row],[Customer_Info]], LEN(RawSalesTable[[#This Row],[Customer_Info]])-FIND(",",RawSalesTable[[#This Row],[Customer_Info]],FIND(",",RawSalesTable[[#This Row],[Customer_Info]])+1)))</f>
        <v>Small Business</v>
      </c>
      <c r="V379" s="8" t="str">
        <f>VLOOKUP(RawSalesTable[[#This Row],[Product_ID]],ProductsTable[],2,FALSE)</f>
        <v>USB-C Hub</v>
      </c>
      <c r="W379" s="8" t="str">
        <f>VLOOKUP(RawSalesTable[[#This Row],[Product_ID]],ProductsTable[],3,FALSE)</f>
        <v>Electronics</v>
      </c>
      <c r="X379" s="8">
        <f>VLOOKUP(RawSalesTable[[#This Row],[Product_ID]],ProductsTable[],5,FALSE)</f>
        <v>72</v>
      </c>
      <c r="Y379" s="8">
        <f>RawSalesTable[[#This Row],[Quantity]]*RawSalesTable[[#This Row],[Unit_Price]]</f>
        <v>334.77</v>
      </c>
      <c r="Z379" s="8">
        <f>RawSalesTable[[#This Row],[Gross_Sales]]*RawSalesTable[[#This Row],[Discount_Pct]]</f>
        <v>16.738499999999998</v>
      </c>
      <c r="AA379" s="8">
        <f>RawSalesTable[[#This Row],[Gross_Sales]]-RawSalesTable[[#This Row],[Discount_Amount]]</f>
        <v>318.03149999999999</v>
      </c>
      <c r="AB379" s="8">
        <f>RawSalesTable[[#This Row],[Unit_Cost]]*RawSalesTable[[#This Row],[Quantity]]</f>
        <v>216</v>
      </c>
      <c r="AC379" s="8">
        <f>RawSalesTable[[#This Row],[Net_Sales]]-RawSalesTable[[#This Row],[Total_Cost]]</f>
        <v>102.03149999999999</v>
      </c>
      <c r="AD379" s="9">
        <f>RawSalesTable[[#This Row],[Profit]]/RawSalesTable[[#This Row],[Net_Sales]]</f>
        <v>0.32082199404775941</v>
      </c>
      <c r="AE379" s="8">
        <f>IF(RawSalesTable[[#This Row],[Return_Status]]="Yes",1,0)</f>
        <v>1</v>
      </c>
      <c r="AF379" s="8">
        <f>YEAR(RawSalesTable[[#This Row],[Order_Date]])</f>
        <v>2025</v>
      </c>
      <c r="AG379" s="8">
        <f>MONTH(RawSalesTable[[#This Row],[Order_Date]])</f>
        <v>6</v>
      </c>
      <c r="AH379" s="8" t="str">
        <f>TEXT(RawSalesTable[[#This Row],[Order_Date]],"mmmm")</f>
        <v>juin</v>
      </c>
      <c r="AI379" s="8" t="str">
        <f>IF(RawSalesTable[[#This Row],[Month_Number]]&lt;=3,"Q1",IF(RawSalesTable[[#This Row],[Month_Number]]&lt;=6,"Q2",IF(RawSalesTable[[#This Row],[Month_Number]]&lt;=9,"Q3","Q4")))</f>
        <v>Q2</v>
      </c>
      <c r="AJ379" s="13">
        <f>DATE(YEAR(RawSalesTable[[#This Row],[Order_Date]]),MONTH(RawSalesTable[[#This Row],[Order_Date]]),1)</f>
        <v>45809</v>
      </c>
      <c r="AK379" s="8" t="str">
        <f>VLOOKUP(RawSalesTable[[#This Row],[Customer_ID_clean]],CustomersTable[],4,FALSE)</f>
        <v>British Columbia</v>
      </c>
    </row>
    <row r="380" spans="1:37">
      <c r="A380" t="s">
        <v>789</v>
      </c>
      <c r="B380" s="3">
        <v>45663</v>
      </c>
      <c r="C380" t="s">
        <v>448</v>
      </c>
      <c r="D380" t="s">
        <v>165</v>
      </c>
      <c r="E380" t="s">
        <v>790</v>
      </c>
      <c r="F380" t="s">
        <v>116</v>
      </c>
      <c r="G380" t="s">
        <v>183</v>
      </c>
      <c r="H380" t="s">
        <v>89</v>
      </c>
      <c r="I380">
        <v>2</v>
      </c>
      <c r="J380" s="2">
        <v>102.81</v>
      </c>
      <c r="K380" s="4">
        <v>0</v>
      </c>
      <c r="L380" t="s">
        <v>90</v>
      </c>
      <c r="M380">
        <v>7</v>
      </c>
      <c r="N380" t="s">
        <v>91</v>
      </c>
      <c r="O380" t="str">
        <f>SUBSTITUTE(PROPER(TRIM(RawSalesTable[[#This Row],[Channel_Raw]])), "Market Place", "Marketplace")</f>
        <v>Online</v>
      </c>
      <c r="P380" t="str">
        <f>TRIM(RawSalesTable[[#This Row],[Store_Raw]])</f>
        <v>Toronto Downtown</v>
      </c>
      <c r="Q380" t="str">
        <f>IF(TRIM(RawSalesTable[[#This Row],[Payment_Method_Raw]])="","Non renseigné",SUBSTITUTE(TRIM(RawSalesTable[[#This Row],[Payment_Method_Raw]]),"CC","Credit Card"))</f>
        <v>PayPal</v>
      </c>
      <c r="R380" s="8" t="str">
        <f>UPPER(PROPER(RawSalesTable[[#This Row],[Customer_ID]]))</f>
        <v>C0074</v>
      </c>
      <c r="S380" s="8" t="str">
        <f>TRIM(LEFT(RawSalesTable[[#This Row],[Customer_Info]],FIND(",",RawSalesTable[[#This Row],[Customer_Info]]) -1))</f>
        <v>Sophia Chen</v>
      </c>
      <c r="T380" s="8" t="str">
        <f>TRIM(MID(RawSalesTable[[#This Row],[Customer_Info]],FIND(",",RawSalesTable[[#This Row],[Customer_Info]])+1,FIND(",",RawSalesTable[[#This Row],[Customer_Info]],FIND(",",RawSalesTable[[#This Row],[Customer_Info]])+1)-FIND(",",RawSalesTable[[#This Row],[Customer_Info]])-1))</f>
        <v>Vancouver</v>
      </c>
      <c r="U380" s="8" t="str">
        <f>TRIM(RIGHT(RawSalesTable[[#This Row],[Customer_Info]], LEN(RawSalesTable[[#This Row],[Customer_Info]])-FIND(",",RawSalesTable[[#This Row],[Customer_Info]],FIND(",",RawSalesTable[[#This Row],[Customer_Info]])+1)))</f>
        <v>Corporate</v>
      </c>
      <c r="V380" s="8" t="str">
        <f>VLOOKUP(RawSalesTable[[#This Row],[Product_ID]],ProductsTable[],2,FALSE)</f>
        <v>Food Scale</v>
      </c>
      <c r="W380" s="8" t="str">
        <f>VLOOKUP(RawSalesTable[[#This Row],[Product_ID]],ProductsTable[],3,FALSE)</f>
        <v>Home</v>
      </c>
      <c r="X380" s="8">
        <f>VLOOKUP(RawSalesTable[[#This Row],[Product_ID]],ProductsTable[],5,FALSE)</f>
        <v>46.07</v>
      </c>
      <c r="Y380" s="8">
        <f>RawSalesTable[[#This Row],[Quantity]]*RawSalesTable[[#This Row],[Unit_Price]]</f>
        <v>205.62</v>
      </c>
      <c r="Z380" s="8">
        <f>RawSalesTable[[#This Row],[Gross_Sales]]*RawSalesTable[[#This Row],[Discount_Pct]]</f>
        <v>0</v>
      </c>
      <c r="AA380" s="8">
        <f>RawSalesTable[[#This Row],[Gross_Sales]]-RawSalesTable[[#This Row],[Discount_Amount]]</f>
        <v>205.62</v>
      </c>
      <c r="AB380" s="8">
        <f>RawSalesTable[[#This Row],[Unit_Cost]]*RawSalesTable[[#This Row],[Quantity]]</f>
        <v>92.14</v>
      </c>
      <c r="AC380" s="8">
        <f>RawSalesTable[[#This Row],[Net_Sales]]-RawSalesTable[[#This Row],[Total_Cost]]</f>
        <v>113.48</v>
      </c>
      <c r="AD380" s="9">
        <f>RawSalesTable[[#This Row],[Profit]]/RawSalesTable[[#This Row],[Net_Sales]]</f>
        <v>0.55189183931524166</v>
      </c>
      <c r="AE380" s="8">
        <f>IF(RawSalesTable[[#This Row],[Return_Status]]="Yes",1,0)</f>
        <v>0</v>
      </c>
      <c r="AF380" s="8">
        <f>YEAR(RawSalesTable[[#This Row],[Order_Date]])</f>
        <v>2025</v>
      </c>
      <c r="AG380" s="8">
        <f>MONTH(RawSalesTable[[#This Row],[Order_Date]])</f>
        <v>1</v>
      </c>
      <c r="AH380" s="8" t="str">
        <f>TEXT(RawSalesTable[[#This Row],[Order_Date]],"mmmm")</f>
        <v>janvier</v>
      </c>
      <c r="AI380" s="8" t="str">
        <f>IF(RawSalesTable[[#This Row],[Month_Number]]&lt;=3,"Q1",IF(RawSalesTable[[#This Row],[Month_Number]]&lt;=6,"Q2",IF(RawSalesTable[[#This Row],[Month_Number]]&lt;=9,"Q3","Q4")))</f>
        <v>Q1</v>
      </c>
      <c r="AJ380" s="13">
        <f>DATE(YEAR(RawSalesTable[[#This Row],[Order_Date]]),MONTH(RawSalesTable[[#This Row],[Order_Date]]),1)</f>
        <v>45658</v>
      </c>
      <c r="AK380" s="8" t="str">
        <f>VLOOKUP(RawSalesTable[[#This Row],[Customer_ID_clean]],CustomersTable[],4,FALSE)</f>
        <v>British Columbia</v>
      </c>
    </row>
    <row r="381" spans="1:37">
      <c r="A381" t="s">
        <v>791</v>
      </c>
      <c r="B381" s="3">
        <v>45828</v>
      </c>
      <c r="C381" t="s">
        <v>132</v>
      </c>
      <c r="D381" t="s">
        <v>271</v>
      </c>
      <c r="E381" t="s">
        <v>134</v>
      </c>
      <c r="F381" t="s">
        <v>116</v>
      </c>
      <c r="G381" t="s">
        <v>88</v>
      </c>
      <c r="H381" t="s">
        <v>89</v>
      </c>
      <c r="I381">
        <v>1</v>
      </c>
      <c r="J381" s="2">
        <v>224.42</v>
      </c>
      <c r="K381" s="4">
        <v>0.05</v>
      </c>
      <c r="L381" t="s">
        <v>106</v>
      </c>
      <c r="M381">
        <v>7</v>
      </c>
      <c r="N381" t="s">
        <v>91</v>
      </c>
      <c r="O381" t="str">
        <f>SUBSTITUTE(PROPER(TRIM(RawSalesTable[[#This Row],[Channel_Raw]])), "Market Place", "Marketplace")</f>
        <v>Online</v>
      </c>
      <c r="P381" t="str">
        <f>TRIM(RawSalesTable[[#This Row],[Store_Raw]])</f>
        <v>Toronto Downtown</v>
      </c>
      <c r="Q381" t="str">
        <f>IF(TRIM(RawSalesTable[[#This Row],[Payment_Method_Raw]])="","Non renseigné",SUBSTITUTE(TRIM(RawSalesTable[[#This Row],[Payment_Method_Raw]]),"CC","Credit Card"))</f>
        <v>Credit Card</v>
      </c>
      <c r="R381" s="8" t="str">
        <f>UPPER(PROPER(RawSalesTable[[#This Row],[Customer_ID]]))</f>
        <v>C0104</v>
      </c>
      <c r="S381" s="8" t="str">
        <f>TRIM(LEFT(RawSalesTable[[#This Row],[Customer_Info]],FIND(",",RawSalesTable[[#This Row],[Customer_Info]]) -1))</f>
        <v>Ava Scott</v>
      </c>
      <c r="T381" s="8" t="str">
        <f>TRIM(MID(RawSalesTable[[#This Row],[Customer_Info]],FIND(",",RawSalesTable[[#This Row],[Customer_Info]])+1,FIND(",",RawSalesTable[[#This Row],[Customer_Info]],FIND(",",RawSalesTable[[#This Row],[Customer_Info]])+1)-FIND(",",RawSalesTable[[#This Row],[Customer_Info]])-1))</f>
        <v>Edmonton</v>
      </c>
      <c r="U381" s="8" t="str">
        <f>TRIM(RIGHT(RawSalesTable[[#This Row],[Customer_Info]], LEN(RawSalesTable[[#This Row],[Customer_Info]])-FIND(",",RawSalesTable[[#This Row],[Customer_Info]],FIND(",",RawSalesTable[[#This Row],[Customer_Info]])+1)))</f>
        <v>Corporate</v>
      </c>
      <c r="V381" s="8" t="str">
        <f>VLOOKUP(RawSalesTable[[#This Row],[Product_ID]],ProductsTable[],2,FALSE)</f>
        <v>Resistance Bands</v>
      </c>
      <c r="W381" s="8" t="str">
        <f>VLOOKUP(RawSalesTable[[#This Row],[Product_ID]],ProductsTable[],3,FALSE)</f>
        <v>Fitness</v>
      </c>
      <c r="X381" s="8">
        <f>VLOOKUP(RawSalesTable[[#This Row],[Product_ID]],ProductsTable[],5,FALSE)</f>
        <v>139.19999999999999</v>
      </c>
      <c r="Y381" s="8">
        <f>RawSalesTable[[#This Row],[Quantity]]*RawSalesTable[[#This Row],[Unit_Price]]</f>
        <v>224.42</v>
      </c>
      <c r="Z381" s="8">
        <f>RawSalesTable[[#This Row],[Gross_Sales]]*RawSalesTable[[#This Row],[Discount_Pct]]</f>
        <v>11.221</v>
      </c>
      <c r="AA381" s="8">
        <f>RawSalesTable[[#This Row],[Gross_Sales]]-RawSalesTable[[#This Row],[Discount_Amount]]</f>
        <v>213.19899999999998</v>
      </c>
      <c r="AB381" s="8">
        <f>RawSalesTable[[#This Row],[Unit_Cost]]*RawSalesTable[[#This Row],[Quantity]]</f>
        <v>139.19999999999999</v>
      </c>
      <c r="AC381" s="8">
        <f>RawSalesTable[[#This Row],[Net_Sales]]-RawSalesTable[[#This Row],[Total_Cost]]</f>
        <v>73.998999999999995</v>
      </c>
      <c r="AD381" s="9">
        <f>RawSalesTable[[#This Row],[Profit]]/RawSalesTable[[#This Row],[Net_Sales]]</f>
        <v>0.3470888700228425</v>
      </c>
      <c r="AE381" s="8">
        <f>IF(RawSalesTable[[#This Row],[Return_Status]]="Yes",1,0)</f>
        <v>0</v>
      </c>
      <c r="AF381" s="8">
        <f>YEAR(RawSalesTable[[#This Row],[Order_Date]])</f>
        <v>2025</v>
      </c>
      <c r="AG381" s="8">
        <f>MONTH(RawSalesTable[[#This Row],[Order_Date]])</f>
        <v>6</v>
      </c>
      <c r="AH381" s="8" t="str">
        <f>TEXT(RawSalesTable[[#This Row],[Order_Date]],"mmmm")</f>
        <v>juin</v>
      </c>
      <c r="AI381" s="8" t="str">
        <f>IF(RawSalesTable[[#This Row],[Month_Number]]&lt;=3,"Q1",IF(RawSalesTable[[#This Row],[Month_Number]]&lt;=6,"Q2",IF(RawSalesTable[[#This Row],[Month_Number]]&lt;=9,"Q3","Q4")))</f>
        <v>Q2</v>
      </c>
      <c r="AJ381" s="13">
        <f>DATE(YEAR(RawSalesTable[[#This Row],[Order_Date]]),MONTH(RawSalesTable[[#This Row],[Order_Date]]),1)</f>
        <v>45809</v>
      </c>
      <c r="AK381" s="8" t="str">
        <f>VLOOKUP(RawSalesTable[[#This Row],[Customer_ID_clean]],CustomersTable[],4,FALSE)</f>
        <v>Alberta</v>
      </c>
    </row>
    <row r="382" spans="1:37">
      <c r="A382" t="s">
        <v>792</v>
      </c>
      <c r="B382" s="3">
        <v>46001</v>
      </c>
      <c r="C382" t="s">
        <v>203</v>
      </c>
      <c r="D382" t="s">
        <v>120</v>
      </c>
      <c r="E382" t="s">
        <v>204</v>
      </c>
      <c r="F382" t="s">
        <v>87</v>
      </c>
      <c r="G382" t="s">
        <v>104</v>
      </c>
      <c r="H382" t="s">
        <v>97</v>
      </c>
      <c r="I382">
        <v>1</v>
      </c>
      <c r="J382" s="2">
        <v>386.46</v>
      </c>
      <c r="K382" s="4">
        <v>0.2</v>
      </c>
      <c r="L382" t="s">
        <v>98</v>
      </c>
      <c r="M382">
        <v>0</v>
      </c>
      <c r="N382" t="s">
        <v>91</v>
      </c>
      <c r="O382" t="str">
        <f>SUBSTITUTE(PROPER(TRIM(RawSalesTable[[#This Row],[Channel_Raw]])), "Market Place", "Marketplace")</f>
        <v>Retail Store</v>
      </c>
      <c r="P382" t="str">
        <f>TRIM(RawSalesTable[[#This Row],[Store_Raw]])</f>
        <v>Online Fulfillment</v>
      </c>
      <c r="Q382" t="str">
        <f>IF(TRIM(RawSalesTable[[#This Row],[Payment_Method_Raw]])="","Non renseigné",SUBSTITUTE(TRIM(RawSalesTable[[#This Row],[Payment_Method_Raw]]),"CC","Credit Card"))</f>
        <v>Debit Card</v>
      </c>
      <c r="R382" s="8" t="str">
        <f>UPPER(PROPER(RawSalesTable[[#This Row],[Customer_ID]]))</f>
        <v>C0029</v>
      </c>
      <c r="S382" s="8" t="str">
        <f>TRIM(LEFT(RawSalesTable[[#This Row],[Customer_Info]],FIND(",",RawSalesTable[[#This Row],[Customer_Info]]) -1))</f>
        <v>Olivia White</v>
      </c>
      <c r="T382" s="8" t="str">
        <f>TRIM(MID(RawSalesTable[[#This Row],[Customer_Info]],FIND(",",RawSalesTable[[#This Row],[Customer_Info]])+1,FIND(",",RawSalesTable[[#This Row],[Customer_Info]],FIND(",",RawSalesTable[[#This Row],[Customer_Info]])+1)-FIND(",",RawSalesTable[[#This Row],[Customer_Info]])-1))</f>
        <v>Victoria</v>
      </c>
      <c r="U382" s="8" t="str">
        <f>TRIM(RIGHT(RawSalesTable[[#This Row],[Customer_Info]], LEN(RawSalesTable[[#This Row],[Customer_Info]])-FIND(",",RawSalesTable[[#This Row],[Customer_Info]],FIND(",",RawSalesTable[[#This Row],[Customer_Info]])+1)))</f>
        <v>Consumer</v>
      </c>
      <c r="V382" s="8" t="str">
        <f>VLOOKUP(RawSalesTable[[#This Row],[Product_ID]],ProductsTable[],2,FALSE)</f>
        <v>Desk Organizer</v>
      </c>
      <c r="W382" s="8" t="str">
        <f>VLOOKUP(RawSalesTable[[#This Row],[Product_ID]],ProductsTable[],3,FALSE)</f>
        <v>Office</v>
      </c>
      <c r="X382" s="8">
        <f>VLOOKUP(RawSalesTable[[#This Row],[Product_ID]],ProductsTable[],5,FALSE)</f>
        <v>235.76</v>
      </c>
      <c r="Y382" s="8">
        <f>RawSalesTable[[#This Row],[Quantity]]*RawSalesTable[[#This Row],[Unit_Price]]</f>
        <v>386.46</v>
      </c>
      <c r="Z382" s="8">
        <f>RawSalesTable[[#This Row],[Gross_Sales]]*RawSalesTable[[#This Row],[Discount_Pct]]</f>
        <v>77.292000000000002</v>
      </c>
      <c r="AA382" s="8">
        <f>RawSalesTable[[#This Row],[Gross_Sales]]-RawSalesTable[[#This Row],[Discount_Amount]]</f>
        <v>309.16800000000001</v>
      </c>
      <c r="AB382" s="8">
        <f>RawSalesTable[[#This Row],[Unit_Cost]]*RawSalesTable[[#This Row],[Quantity]]</f>
        <v>235.76</v>
      </c>
      <c r="AC382" s="8">
        <f>RawSalesTable[[#This Row],[Net_Sales]]-RawSalesTable[[#This Row],[Total_Cost]]</f>
        <v>73.408000000000015</v>
      </c>
      <c r="AD382" s="9">
        <f>RawSalesTable[[#This Row],[Profit]]/RawSalesTable[[#This Row],[Net_Sales]]</f>
        <v>0.23743725094447035</v>
      </c>
      <c r="AE382" s="8">
        <f>IF(RawSalesTable[[#This Row],[Return_Status]]="Yes",1,0)</f>
        <v>0</v>
      </c>
      <c r="AF382" s="8">
        <f>YEAR(RawSalesTable[[#This Row],[Order_Date]])</f>
        <v>2025</v>
      </c>
      <c r="AG382" s="8">
        <f>MONTH(RawSalesTable[[#This Row],[Order_Date]])</f>
        <v>12</v>
      </c>
      <c r="AH382" s="8" t="str">
        <f>TEXT(RawSalesTable[[#This Row],[Order_Date]],"mmmm")</f>
        <v>décembre</v>
      </c>
      <c r="AI382" s="8" t="str">
        <f>IF(RawSalesTable[[#This Row],[Month_Number]]&lt;=3,"Q1",IF(RawSalesTable[[#This Row],[Month_Number]]&lt;=6,"Q2",IF(RawSalesTable[[#This Row],[Month_Number]]&lt;=9,"Q3","Q4")))</f>
        <v>Q4</v>
      </c>
      <c r="AJ382" s="13">
        <f>DATE(YEAR(RawSalesTable[[#This Row],[Order_Date]]),MONTH(RawSalesTable[[#This Row],[Order_Date]]),1)</f>
        <v>45992</v>
      </c>
      <c r="AK382" s="8" t="str">
        <f>VLOOKUP(RawSalesTable[[#This Row],[Customer_ID_clean]],CustomersTable[],4,FALSE)</f>
        <v>British Columbia</v>
      </c>
    </row>
    <row r="383" spans="1:37">
      <c r="A383" t="s">
        <v>793</v>
      </c>
      <c r="B383" s="3">
        <v>45805</v>
      </c>
      <c r="C383" t="s">
        <v>286</v>
      </c>
      <c r="D383" t="s">
        <v>738</v>
      </c>
      <c r="E383" t="s">
        <v>287</v>
      </c>
      <c r="F383" t="s">
        <v>103</v>
      </c>
      <c r="G383" t="s">
        <v>122</v>
      </c>
      <c r="H383" t="s">
        <v>89</v>
      </c>
      <c r="I383">
        <v>2</v>
      </c>
      <c r="J383" s="2">
        <v>334.82</v>
      </c>
      <c r="K383" s="4">
        <v>0.05</v>
      </c>
      <c r="L383" t="s">
        <v>106</v>
      </c>
      <c r="M383">
        <v>4</v>
      </c>
      <c r="N383" t="s">
        <v>91</v>
      </c>
      <c r="O383" t="str">
        <f>SUBSTITUTE(PROPER(TRIM(RawSalesTable[[#This Row],[Channel_Raw]])), "Market Place", "Marketplace")</f>
        <v>Online</v>
      </c>
      <c r="P383" t="str">
        <f>TRIM(RawSalesTable[[#This Row],[Store_Raw]])</f>
        <v>Vancouver West</v>
      </c>
      <c r="Q383" t="str">
        <f>IF(TRIM(RawSalesTable[[#This Row],[Payment_Method_Raw]])="","Non renseigné",SUBSTITUTE(TRIM(RawSalesTable[[#This Row],[Payment_Method_Raw]]),"CC","Credit Card"))</f>
        <v>Credit Card</v>
      </c>
      <c r="R383" s="8" t="str">
        <f>UPPER(PROPER(RawSalesTable[[#This Row],[Customer_ID]]))</f>
        <v>C0098</v>
      </c>
      <c r="S383" s="8" t="str">
        <f>TRIM(LEFT(RawSalesTable[[#This Row],[Customer_Info]],FIND(",",RawSalesTable[[#This Row],[Customer_Info]]) -1))</f>
        <v>Nora Young</v>
      </c>
      <c r="T383" s="8" t="str">
        <f>TRIM(MID(RawSalesTable[[#This Row],[Customer_Info]],FIND(",",RawSalesTable[[#This Row],[Customer_Info]])+1,FIND(",",RawSalesTable[[#This Row],[Customer_Info]],FIND(",",RawSalesTable[[#This Row],[Customer_Info]])+1)-FIND(",",RawSalesTable[[#This Row],[Customer_Info]])-1))</f>
        <v>Winnipeg</v>
      </c>
      <c r="U383" s="8" t="str">
        <f>TRIM(RIGHT(RawSalesTable[[#This Row],[Customer_Info]], LEN(RawSalesTable[[#This Row],[Customer_Info]])-FIND(",",RawSalesTable[[#This Row],[Customer_Info]],FIND(",",RawSalesTable[[#This Row],[Customer_Info]])+1)))</f>
        <v>Consumer</v>
      </c>
      <c r="V383" s="8" t="str">
        <f>VLOOKUP(RawSalesTable[[#This Row],[Product_ID]],ProductsTable[],2,FALSE)</f>
        <v>Printer</v>
      </c>
      <c r="W383" s="8" t="str">
        <f>VLOOKUP(RawSalesTable[[#This Row],[Product_ID]],ProductsTable[],3,FALSE)</f>
        <v>Office</v>
      </c>
      <c r="X383" s="8">
        <f>VLOOKUP(RawSalesTable[[#This Row],[Product_ID]],ProductsTable[],5,FALSE)</f>
        <v>156.75</v>
      </c>
      <c r="Y383" s="8">
        <f>RawSalesTable[[#This Row],[Quantity]]*RawSalesTable[[#This Row],[Unit_Price]]</f>
        <v>669.64</v>
      </c>
      <c r="Z383" s="8">
        <f>RawSalesTable[[#This Row],[Gross_Sales]]*RawSalesTable[[#This Row],[Discount_Pct]]</f>
        <v>33.481999999999999</v>
      </c>
      <c r="AA383" s="8">
        <f>RawSalesTable[[#This Row],[Gross_Sales]]-RawSalesTable[[#This Row],[Discount_Amount]]</f>
        <v>636.15800000000002</v>
      </c>
      <c r="AB383" s="8">
        <f>RawSalesTable[[#This Row],[Unit_Cost]]*RawSalesTable[[#This Row],[Quantity]]</f>
        <v>313.5</v>
      </c>
      <c r="AC383" s="8">
        <f>RawSalesTable[[#This Row],[Net_Sales]]-RawSalesTable[[#This Row],[Total_Cost]]</f>
        <v>322.65800000000002</v>
      </c>
      <c r="AD383" s="9">
        <f>RawSalesTable[[#This Row],[Profit]]/RawSalesTable[[#This Row],[Net_Sales]]</f>
        <v>0.50719789737769549</v>
      </c>
      <c r="AE383" s="8">
        <f>IF(RawSalesTable[[#This Row],[Return_Status]]="Yes",1,0)</f>
        <v>0</v>
      </c>
      <c r="AF383" s="8">
        <f>YEAR(RawSalesTable[[#This Row],[Order_Date]])</f>
        <v>2025</v>
      </c>
      <c r="AG383" s="8">
        <f>MONTH(RawSalesTable[[#This Row],[Order_Date]])</f>
        <v>5</v>
      </c>
      <c r="AH383" s="8" t="str">
        <f>TEXT(RawSalesTable[[#This Row],[Order_Date]],"mmmm")</f>
        <v>mai</v>
      </c>
      <c r="AI383" s="8" t="str">
        <f>IF(RawSalesTable[[#This Row],[Month_Number]]&lt;=3,"Q1",IF(RawSalesTable[[#This Row],[Month_Number]]&lt;=6,"Q2",IF(RawSalesTable[[#This Row],[Month_Number]]&lt;=9,"Q3","Q4")))</f>
        <v>Q2</v>
      </c>
      <c r="AJ383" s="13">
        <f>DATE(YEAR(RawSalesTable[[#This Row],[Order_Date]]),MONTH(RawSalesTable[[#This Row],[Order_Date]]),1)</f>
        <v>45778</v>
      </c>
      <c r="AK383" s="8" t="str">
        <f>VLOOKUP(RawSalesTable[[#This Row],[Customer_ID_clean]],CustomersTable[],4,FALSE)</f>
        <v>Manitoba</v>
      </c>
    </row>
    <row r="384" spans="1:37">
      <c r="A384" t="s">
        <v>794</v>
      </c>
      <c r="B384" s="3">
        <v>45964</v>
      </c>
      <c r="C384" t="s">
        <v>430</v>
      </c>
      <c r="D384" t="s">
        <v>94</v>
      </c>
      <c r="E384" t="s">
        <v>431</v>
      </c>
      <c r="F384" t="s">
        <v>103</v>
      </c>
      <c r="G384" t="s">
        <v>171</v>
      </c>
      <c r="H384" t="s">
        <v>89</v>
      </c>
      <c r="I384">
        <v>2</v>
      </c>
      <c r="J384" s="2">
        <v>313.77999999999997</v>
      </c>
      <c r="K384" s="4">
        <v>0.15</v>
      </c>
      <c r="L384" t="s">
        <v>432</v>
      </c>
      <c r="M384">
        <v>1</v>
      </c>
      <c r="N384" t="s">
        <v>91</v>
      </c>
      <c r="O384" t="str">
        <f>SUBSTITUTE(PROPER(TRIM(RawSalesTable[[#This Row],[Channel_Raw]])), "Market Place", "Marketplace")</f>
        <v>Online</v>
      </c>
      <c r="P384" t="str">
        <f>TRIM(RawSalesTable[[#This Row],[Store_Raw]])</f>
        <v>Vancouver West</v>
      </c>
      <c r="Q384" t="str">
        <f>IF(TRIM(RawSalesTable[[#This Row],[Payment_Method_Raw]])="","Non renseigné",SUBSTITUTE(TRIM(RawSalesTable[[#This Row],[Payment_Method_Raw]]),"CC","Credit Card"))</f>
        <v>PAYPAL</v>
      </c>
      <c r="R384" s="8" t="str">
        <f>UPPER(PROPER(RawSalesTable[[#This Row],[Customer_ID]]))</f>
        <v>C0056</v>
      </c>
      <c r="S384" s="8" t="str">
        <f>TRIM(LEFT(RawSalesTable[[#This Row],[Customer_Info]],FIND(",",RawSalesTable[[#This Row],[Customer_Info]]) -1))</f>
        <v>Sarah Wilson</v>
      </c>
      <c r="T384" s="8" t="str">
        <f>TRIM(MID(RawSalesTable[[#This Row],[Customer_Info]],FIND(",",RawSalesTable[[#This Row],[Customer_Info]])+1,FIND(",",RawSalesTable[[#This Row],[Customer_Info]],FIND(",",RawSalesTable[[#This Row],[Customer_Info]])+1)-FIND(",",RawSalesTable[[#This Row],[Customer_Info]])-1))</f>
        <v>Halifax</v>
      </c>
      <c r="U384" s="8" t="str">
        <f>TRIM(RIGHT(RawSalesTable[[#This Row],[Customer_Info]], LEN(RawSalesTable[[#This Row],[Customer_Info]])-FIND(",",RawSalesTable[[#This Row],[Customer_Info]],FIND(",",RawSalesTable[[#This Row],[Customer_Info]])+1)))</f>
        <v>Consumer</v>
      </c>
      <c r="V384" s="8" t="str">
        <f>VLOOKUP(RawSalesTable[[#This Row],[Product_ID]],ProductsTable[],2,FALSE)</f>
        <v>Backpack</v>
      </c>
      <c r="W384" s="8" t="str">
        <f>VLOOKUP(RawSalesTable[[#This Row],[Product_ID]],ProductsTable[],3,FALSE)</f>
        <v>Accessories</v>
      </c>
      <c r="X384" s="8">
        <f>VLOOKUP(RawSalesTable[[#This Row],[Product_ID]],ProductsTable[],5,FALSE)</f>
        <v>152.55000000000001</v>
      </c>
      <c r="Y384" s="8">
        <f>RawSalesTable[[#This Row],[Quantity]]*RawSalesTable[[#This Row],[Unit_Price]]</f>
        <v>627.55999999999995</v>
      </c>
      <c r="Z384" s="8">
        <f>RawSalesTable[[#This Row],[Gross_Sales]]*RawSalesTable[[#This Row],[Discount_Pct]]</f>
        <v>94.133999999999986</v>
      </c>
      <c r="AA384" s="8">
        <f>RawSalesTable[[#This Row],[Gross_Sales]]-RawSalesTable[[#This Row],[Discount_Amount]]</f>
        <v>533.42599999999993</v>
      </c>
      <c r="AB384" s="8">
        <f>RawSalesTable[[#This Row],[Unit_Cost]]*RawSalesTable[[#This Row],[Quantity]]</f>
        <v>305.10000000000002</v>
      </c>
      <c r="AC384" s="8">
        <f>RawSalesTable[[#This Row],[Net_Sales]]-RawSalesTable[[#This Row],[Total_Cost]]</f>
        <v>228.32599999999991</v>
      </c>
      <c r="AD384" s="9">
        <f>RawSalesTable[[#This Row],[Profit]]/RawSalesTable[[#This Row],[Net_Sales]]</f>
        <v>0.42803687859234446</v>
      </c>
      <c r="AE384" s="8">
        <f>IF(RawSalesTable[[#This Row],[Return_Status]]="Yes",1,0)</f>
        <v>0</v>
      </c>
      <c r="AF384" s="8">
        <f>YEAR(RawSalesTable[[#This Row],[Order_Date]])</f>
        <v>2025</v>
      </c>
      <c r="AG384" s="8">
        <f>MONTH(RawSalesTable[[#This Row],[Order_Date]])</f>
        <v>11</v>
      </c>
      <c r="AH384" s="8" t="str">
        <f>TEXT(RawSalesTable[[#This Row],[Order_Date]],"mmmm")</f>
        <v>novembre</v>
      </c>
      <c r="AI384" s="8" t="str">
        <f>IF(RawSalesTable[[#This Row],[Month_Number]]&lt;=3,"Q1",IF(RawSalesTable[[#This Row],[Month_Number]]&lt;=6,"Q2",IF(RawSalesTable[[#This Row],[Month_Number]]&lt;=9,"Q3","Q4")))</f>
        <v>Q4</v>
      </c>
      <c r="AJ384" s="13">
        <f>DATE(YEAR(RawSalesTable[[#This Row],[Order_Date]]),MONTH(RawSalesTable[[#This Row],[Order_Date]]),1)</f>
        <v>45962</v>
      </c>
      <c r="AK384" s="8" t="str">
        <f>VLOOKUP(RawSalesTable[[#This Row],[Customer_ID_clean]],CustomersTable[],4,FALSE)</f>
        <v>Nova Scotia</v>
      </c>
    </row>
    <row r="385" spans="1:37">
      <c r="A385" t="s">
        <v>795</v>
      </c>
      <c r="B385" s="3">
        <v>45670</v>
      </c>
      <c r="C385" t="s">
        <v>313</v>
      </c>
      <c r="D385" t="s">
        <v>252</v>
      </c>
      <c r="E385" t="s">
        <v>314</v>
      </c>
      <c r="F385" t="s">
        <v>111</v>
      </c>
      <c r="G385" t="s">
        <v>104</v>
      </c>
      <c r="H385" t="s">
        <v>105</v>
      </c>
      <c r="I385">
        <v>2</v>
      </c>
      <c r="J385" s="2">
        <v>262.64999999999998</v>
      </c>
      <c r="K385" s="4">
        <v>0.05</v>
      </c>
      <c r="L385" t="s">
        <v>106</v>
      </c>
      <c r="M385">
        <v>8</v>
      </c>
      <c r="N385" t="s">
        <v>91</v>
      </c>
      <c r="O385" t="str">
        <f>SUBSTITUTE(PROPER(TRIM(RawSalesTable[[#This Row],[Channel_Raw]])), "Market Place", "Marketplace")</f>
        <v>Marketplace</v>
      </c>
      <c r="P385" t="str">
        <f>TRIM(RawSalesTable[[#This Row],[Store_Raw]])</f>
        <v>Montreal Central</v>
      </c>
      <c r="Q385" t="str">
        <f>IF(TRIM(RawSalesTable[[#This Row],[Payment_Method_Raw]])="","Non renseigné",SUBSTITUTE(TRIM(RawSalesTable[[#This Row],[Payment_Method_Raw]]),"CC","Credit Card"))</f>
        <v>Credit Card</v>
      </c>
      <c r="R385" s="8" t="str">
        <f>UPPER(PROPER(RawSalesTable[[#This Row],[Customer_ID]]))</f>
        <v>C0080</v>
      </c>
      <c r="S385" s="8" t="str">
        <f>TRIM(LEFT(RawSalesTable[[#This Row],[Customer_Info]],FIND(",",RawSalesTable[[#This Row],[Customer_Info]]) -1))</f>
        <v>Sarah Smith</v>
      </c>
      <c r="T385" s="8" t="str">
        <f>TRIM(MID(RawSalesTable[[#This Row],[Customer_Info]],FIND(",",RawSalesTable[[#This Row],[Customer_Info]])+1,FIND(",",RawSalesTable[[#This Row],[Customer_Info]],FIND(",",RawSalesTable[[#This Row],[Customer_Info]])+1)-FIND(",",RawSalesTable[[#This Row],[Customer_Info]])-1))</f>
        <v>Mississauga</v>
      </c>
      <c r="U385" s="8" t="str">
        <f>TRIM(RIGHT(RawSalesTable[[#This Row],[Customer_Info]], LEN(RawSalesTable[[#This Row],[Customer_Info]])-FIND(",",RawSalesTable[[#This Row],[Customer_Info]],FIND(",",RawSalesTable[[#This Row],[Customer_Info]])+1)))</f>
        <v>Corporate</v>
      </c>
      <c r="V385" s="8" t="str">
        <f>VLOOKUP(RawSalesTable[[#This Row],[Product_ID]],ProductsTable[],2,FALSE)</f>
        <v>Vacuum</v>
      </c>
      <c r="W385" s="8" t="str">
        <f>VLOOKUP(RawSalesTable[[#This Row],[Product_ID]],ProductsTable[],3,FALSE)</f>
        <v>Home</v>
      </c>
      <c r="X385" s="8">
        <f>VLOOKUP(RawSalesTable[[#This Row],[Product_ID]],ProductsTable[],5,FALSE)</f>
        <v>186.94</v>
      </c>
      <c r="Y385" s="8">
        <f>RawSalesTable[[#This Row],[Quantity]]*RawSalesTable[[#This Row],[Unit_Price]]</f>
        <v>525.29999999999995</v>
      </c>
      <c r="Z385" s="8">
        <f>RawSalesTable[[#This Row],[Gross_Sales]]*RawSalesTable[[#This Row],[Discount_Pct]]</f>
        <v>26.265000000000001</v>
      </c>
      <c r="AA385" s="8">
        <f>RawSalesTable[[#This Row],[Gross_Sales]]-RawSalesTable[[#This Row],[Discount_Amount]]</f>
        <v>499.03499999999997</v>
      </c>
      <c r="AB385" s="8">
        <f>RawSalesTable[[#This Row],[Unit_Cost]]*RawSalesTable[[#This Row],[Quantity]]</f>
        <v>373.88</v>
      </c>
      <c r="AC385" s="8">
        <f>RawSalesTable[[#This Row],[Net_Sales]]-RawSalesTable[[#This Row],[Total_Cost]]</f>
        <v>125.15499999999997</v>
      </c>
      <c r="AD385" s="9">
        <f>RawSalesTable[[#This Row],[Profit]]/RawSalesTable[[#This Row],[Net_Sales]]</f>
        <v>0.25079403248269155</v>
      </c>
      <c r="AE385" s="8">
        <f>IF(RawSalesTable[[#This Row],[Return_Status]]="Yes",1,0)</f>
        <v>0</v>
      </c>
      <c r="AF385" s="8">
        <f>YEAR(RawSalesTable[[#This Row],[Order_Date]])</f>
        <v>2025</v>
      </c>
      <c r="AG385" s="8">
        <f>MONTH(RawSalesTable[[#This Row],[Order_Date]])</f>
        <v>1</v>
      </c>
      <c r="AH385" s="8" t="str">
        <f>TEXT(RawSalesTable[[#This Row],[Order_Date]],"mmmm")</f>
        <v>janvier</v>
      </c>
      <c r="AI385" s="8" t="str">
        <f>IF(RawSalesTable[[#This Row],[Month_Number]]&lt;=3,"Q1",IF(RawSalesTable[[#This Row],[Month_Number]]&lt;=6,"Q2",IF(RawSalesTable[[#This Row],[Month_Number]]&lt;=9,"Q3","Q4")))</f>
        <v>Q1</v>
      </c>
      <c r="AJ385" s="13">
        <f>DATE(YEAR(RawSalesTable[[#This Row],[Order_Date]]),MONTH(RawSalesTable[[#This Row],[Order_Date]]),1)</f>
        <v>45658</v>
      </c>
      <c r="AK385" s="8" t="str">
        <f>VLOOKUP(RawSalesTable[[#This Row],[Customer_ID_clean]],CustomersTable[],4,FALSE)</f>
        <v>Ontario</v>
      </c>
    </row>
    <row r="386" spans="1:37">
      <c r="A386" t="s">
        <v>796</v>
      </c>
      <c r="B386" s="3">
        <v>45891</v>
      </c>
      <c r="C386" t="s">
        <v>548</v>
      </c>
      <c r="D386" t="s">
        <v>190</v>
      </c>
      <c r="E386" t="s">
        <v>585</v>
      </c>
      <c r="F386" t="s">
        <v>145</v>
      </c>
      <c r="G386" t="s">
        <v>104</v>
      </c>
      <c r="H386" t="s">
        <v>97</v>
      </c>
      <c r="I386">
        <v>3</v>
      </c>
      <c r="J386" s="2">
        <v>277.93</v>
      </c>
      <c r="K386" s="4">
        <v>0.05</v>
      </c>
      <c r="M386">
        <v>2</v>
      </c>
      <c r="N386" t="s">
        <v>91</v>
      </c>
      <c r="O386" t="str">
        <f>SUBSTITUTE(PROPER(TRIM(RawSalesTable[[#This Row],[Channel_Raw]])), "Market Place", "Marketplace")</f>
        <v>Retail Store</v>
      </c>
      <c r="P386" t="str">
        <f>TRIM(RawSalesTable[[#This Row],[Store_Raw]])</f>
        <v>Calgary North</v>
      </c>
      <c r="Q386" t="str">
        <f>IF(TRIM(RawSalesTable[[#This Row],[Payment_Method_Raw]])="","Non renseigné",SUBSTITUTE(TRIM(RawSalesTable[[#This Row],[Payment_Method_Raw]]),"CC","Credit Card"))</f>
        <v>Non renseigné</v>
      </c>
      <c r="R386" s="8" t="str">
        <f>UPPER(PROPER(RawSalesTable[[#This Row],[Customer_ID]]))</f>
        <v>C0099</v>
      </c>
      <c r="S386" s="8" t="str">
        <f>TRIM(LEFT(RawSalesTable[[#This Row],[Customer_Info]],FIND(",",RawSalesTable[[#This Row],[Customer_Info]]) -1))</f>
        <v>Amine Gagnon</v>
      </c>
      <c r="T386" s="8" t="str">
        <f>TRIM(MID(RawSalesTable[[#This Row],[Customer_Info]],FIND(",",RawSalesTable[[#This Row],[Customer_Info]])+1,FIND(",",RawSalesTable[[#This Row],[Customer_Info]],FIND(",",RawSalesTable[[#This Row],[Customer_Info]])+1)-FIND(",",RawSalesTable[[#This Row],[Customer_Info]])-1))</f>
        <v>Laval</v>
      </c>
      <c r="U386" s="8" t="str">
        <f>TRIM(RIGHT(RawSalesTable[[#This Row],[Customer_Info]], LEN(RawSalesTable[[#This Row],[Customer_Info]])-FIND(",",RawSalesTable[[#This Row],[Customer_Info]],FIND(",",RawSalesTable[[#This Row],[Customer_Info]])+1)))</f>
        <v>Small Business</v>
      </c>
      <c r="V386" s="8" t="str">
        <f>VLOOKUP(RawSalesTable[[#This Row],[Product_ID]],ProductsTable[],2,FALSE)</f>
        <v>Webcam</v>
      </c>
      <c r="W386" s="8" t="str">
        <f>VLOOKUP(RawSalesTable[[#This Row],[Product_ID]],ProductsTable[],3,FALSE)</f>
        <v>Electronics</v>
      </c>
      <c r="X386" s="8">
        <f>VLOOKUP(RawSalesTable[[#This Row],[Product_ID]],ProductsTable[],5,FALSE)</f>
        <v>154.72999999999999</v>
      </c>
      <c r="Y386" s="8">
        <f>RawSalesTable[[#This Row],[Quantity]]*RawSalesTable[[#This Row],[Unit_Price]]</f>
        <v>833.79</v>
      </c>
      <c r="Z386" s="8">
        <f>RawSalesTable[[#This Row],[Gross_Sales]]*RawSalesTable[[#This Row],[Discount_Pct]]</f>
        <v>41.689500000000002</v>
      </c>
      <c r="AA386" s="8">
        <f>RawSalesTable[[#This Row],[Gross_Sales]]-RawSalesTable[[#This Row],[Discount_Amount]]</f>
        <v>792.10050000000001</v>
      </c>
      <c r="AB386" s="8">
        <f>RawSalesTable[[#This Row],[Unit_Cost]]*RawSalesTable[[#This Row],[Quantity]]</f>
        <v>464.18999999999994</v>
      </c>
      <c r="AC386" s="8">
        <f>RawSalesTable[[#This Row],[Net_Sales]]-RawSalesTable[[#This Row],[Total_Cost]]</f>
        <v>327.91050000000007</v>
      </c>
      <c r="AD386" s="9">
        <f>RawSalesTable[[#This Row],[Profit]]/RawSalesTable[[#This Row],[Net_Sales]]</f>
        <v>0.41397587806092795</v>
      </c>
      <c r="AE386" s="8">
        <f>IF(RawSalesTable[[#This Row],[Return_Status]]="Yes",1,0)</f>
        <v>0</v>
      </c>
      <c r="AF386" s="8">
        <f>YEAR(RawSalesTable[[#This Row],[Order_Date]])</f>
        <v>2025</v>
      </c>
      <c r="AG386" s="8">
        <f>MONTH(RawSalesTable[[#This Row],[Order_Date]])</f>
        <v>8</v>
      </c>
      <c r="AH386" s="8" t="str">
        <f>TEXT(RawSalesTable[[#This Row],[Order_Date]],"mmmm")</f>
        <v>août</v>
      </c>
      <c r="AI386" s="8" t="str">
        <f>IF(RawSalesTable[[#This Row],[Month_Number]]&lt;=3,"Q1",IF(RawSalesTable[[#This Row],[Month_Number]]&lt;=6,"Q2",IF(RawSalesTable[[#This Row],[Month_Number]]&lt;=9,"Q3","Q4")))</f>
        <v>Q3</v>
      </c>
      <c r="AJ386" s="13">
        <f>DATE(YEAR(RawSalesTable[[#This Row],[Order_Date]]),MONTH(RawSalesTable[[#This Row],[Order_Date]]),1)</f>
        <v>45870</v>
      </c>
      <c r="AK386" s="8" t="str">
        <f>VLOOKUP(RawSalesTable[[#This Row],[Customer_ID_clean]],CustomersTable[],4,FALSE)</f>
        <v>Quebec</v>
      </c>
    </row>
    <row r="387" spans="1:37">
      <c r="A387" t="s">
        <v>797</v>
      </c>
      <c r="B387" s="3">
        <v>45793</v>
      </c>
      <c r="C387" t="s">
        <v>322</v>
      </c>
      <c r="D387" t="s">
        <v>221</v>
      </c>
      <c r="E387" t="s">
        <v>470</v>
      </c>
      <c r="F387" t="s">
        <v>87</v>
      </c>
      <c r="G387" t="s">
        <v>96</v>
      </c>
      <c r="H387" t="s">
        <v>89</v>
      </c>
      <c r="I387">
        <v>4</v>
      </c>
      <c r="J387" s="2">
        <v>29.49</v>
      </c>
      <c r="K387" s="4">
        <v>0</v>
      </c>
      <c r="L387" t="s">
        <v>90</v>
      </c>
      <c r="M387">
        <v>2</v>
      </c>
      <c r="N387" t="s">
        <v>91</v>
      </c>
      <c r="O387" t="str">
        <f>SUBSTITUTE(PROPER(TRIM(RawSalesTable[[#This Row],[Channel_Raw]])), "Market Place", "Marketplace")</f>
        <v>Online</v>
      </c>
      <c r="P387" t="str">
        <f>TRIM(RawSalesTable[[#This Row],[Store_Raw]])</f>
        <v>Online Fulfillment</v>
      </c>
      <c r="Q387" t="str">
        <f>IF(TRIM(RawSalesTable[[#This Row],[Payment_Method_Raw]])="","Non renseigné",SUBSTITUTE(TRIM(RawSalesTable[[#This Row],[Payment_Method_Raw]]),"CC","Credit Card"))</f>
        <v>PayPal</v>
      </c>
      <c r="R387" s="8" t="str">
        <f>UPPER(PROPER(RawSalesTable[[#This Row],[Customer_ID]]))</f>
        <v>C0119</v>
      </c>
      <c r="S387" s="8" t="str">
        <f>TRIM(LEFT(RawSalesTable[[#This Row],[Customer_Info]],FIND(",",RawSalesTable[[#This Row],[Customer_Info]]) -1))</f>
        <v>Liam Chen</v>
      </c>
      <c r="T387" s="8" t="str">
        <f>TRIM(MID(RawSalesTable[[#This Row],[Customer_Info]],FIND(",",RawSalesTable[[#This Row],[Customer_Info]])+1,FIND(",",RawSalesTable[[#This Row],[Customer_Info]],FIND(",",RawSalesTable[[#This Row],[Customer_Info]])+1)-FIND(",",RawSalesTable[[#This Row],[Customer_Info]])-1))</f>
        <v>Winnipeg</v>
      </c>
      <c r="U387" s="8" t="str">
        <f>TRIM(RIGHT(RawSalesTable[[#This Row],[Customer_Info]], LEN(RawSalesTable[[#This Row],[Customer_Info]])-FIND(",",RawSalesTable[[#This Row],[Customer_Info]],FIND(",",RawSalesTable[[#This Row],[Customer_Info]])+1)))</f>
        <v>Consumer</v>
      </c>
      <c r="V387" s="8" t="str">
        <f>VLOOKUP(RawSalesTable[[#This Row],[Product_ID]],ProductsTable[],2,FALSE)</f>
        <v>Air Fryer</v>
      </c>
      <c r="W387" s="8" t="str">
        <f>VLOOKUP(RawSalesTable[[#This Row],[Product_ID]],ProductsTable[],3,FALSE)</f>
        <v>Home</v>
      </c>
      <c r="X387" s="8">
        <f>VLOOKUP(RawSalesTable[[#This Row],[Product_ID]],ProductsTable[],5,FALSE)</f>
        <v>14.58</v>
      </c>
      <c r="Y387" s="8">
        <f>RawSalesTable[[#This Row],[Quantity]]*RawSalesTable[[#This Row],[Unit_Price]]</f>
        <v>117.96</v>
      </c>
      <c r="Z387" s="8">
        <f>RawSalesTable[[#This Row],[Gross_Sales]]*RawSalesTable[[#This Row],[Discount_Pct]]</f>
        <v>0</v>
      </c>
      <c r="AA387" s="8">
        <f>RawSalesTable[[#This Row],[Gross_Sales]]-RawSalesTable[[#This Row],[Discount_Amount]]</f>
        <v>117.96</v>
      </c>
      <c r="AB387" s="8">
        <f>RawSalesTable[[#This Row],[Unit_Cost]]*RawSalesTable[[#This Row],[Quantity]]</f>
        <v>58.32</v>
      </c>
      <c r="AC387" s="8">
        <f>RawSalesTable[[#This Row],[Net_Sales]]-RawSalesTable[[#This Row],[Total_Cost]]</f>
        <v>59.639999999999993</v>
      </c>
      <c r="AD387" s="9">
        <f>RawSalesTable[[#This Row],[Profit]]/RawSalesTable[[#This Row],[Net_Sales]]</f>
        <v>0.50559511698880977</v>
      </c>
      <c r="AE387" s="8">
        <f>IF(RawSalesTable[[#This Row],[Return_Status]]="Yes",1,0)</f>
        <v>0</v>
      </c>
      <c r="AF387" s="8">
        <f>YEAR(RawSalesTable[[#This Row],[Order_Date]])</f>
        <v>2025</v>
      </c>
      <c r="AG387" s="8">
        <f>MONTH(RawSalesTable[[#This Row],[Order_Date]])</f>
        <v>5</v>
      </c>
      <c r="AH387" s="8" t="str">
        <f>TEXT(RawSalesTable[[#This Row],[Order_Date]],"mmmm")</f>
        <v>mai</v>
      </c>
      <c r="AI387" s="8" t="str">
        <f>IF(RawSalesTable[[#This Row],[Month_Number]]&lt;=3,"Q1",IF(RawSalesTable[[#This Row],[Month_Number]]&lt;=6,"Q2",IF(RawSalesTable[[#This Row],[Month_Number]]&lt;=9,"Q3","Q4")))</f>
        <v>Q2</v>
      </c>
      <c r="AJ387" s="13">
        <f>DATE(YEAR(RawSalesTable[[#This Row],[Order_Date]]),MONTH(RawSalesTable[[#This Row],[Order_Date]]),1)</f>
        <v>45778</v>
      </c>
      <c r="AK387" s="8" t="str">
        <f>VLOOKUP(RawSalesTable[[#This Row],[Customer_ID_clean]],CustomersTable[],4,FALSE)</f>
        <v>Manitoba</v>
      </c>
    </row>
    <row r="388" spans="1:37">
      <c r="A388" t="s">
        <v>798</v>
      </c>
      <c r="B388" s="3">
        <v>45719</v>
      </c>
      <c r="C388" t="s">
        <v>279</v>
      </c>
      <c r="D388" t="s">
        <v>217</v>
      </c>
      <c r="E388" t="s">
        <v>280</v>
      </c>
      <c r="F388" t="s">
        <v>103</v>
      </c>
      <c r="G388" t="s">
        <v>96</v>
      </c>
      <c r="H388" t="s">
        <v>89</v>
      </c>
      <c r="I388">
        <v>3</v>
      </c>
      <c r="J388" s="2">
        <v>102</v>
      </c>
      <c r="K388" s="4">
        <v>0</v>
      </c>
      <c r="L388" t="s">
        <v>90</v>
      </c>
      <c r="M388">
        <v>8</v>
      </c>
      <c r="N388" t="s">
        <v>91</v>
      </c>
      <c r="O388" t="str">
        <f>SUBSTITUTE(PROPER(TRIM(RawSalesTable[[#This Row],[Channel_Raw]])), "Market Place", "Marketplace")</f>
        <v>Online</v>
      </c>
      <c r="P388" t="str">
        <f>TRIM(RawSalesTable[[#This Row],[Store_Raw]])</f>
        <v>Vancouver West</v>
      </c>
      <c r="Q388" t="str">
        <f>IF(TRIM(RawSalesTable[[#This Row],[Payment_Method_Raw]])="","Non renseigné",SUBSTITUTE(TRIM(RawSalesTable[[#This Row],[Payment_Method_Raw]]),"CC","Credit Card"))</f>
        <v>PayPal</v>
      </c>
      <c r="R388" s="8" t="str">
        <f>UPPER(PROPER(RawSalesTable[[#This Row],[Customer_ID]]))</f>
        <v>C0069</v>
      </c>
      <c r="S388" s="8" t="str">
        <f>TRIM(LEFT(RawSalesTable[[#This Row],[Customer_Info]],FIND(",",RawSalesTable[[#This Row],[Customer_Info]]) -1))</f>
        <v>Sarah White</v>
      </c>
      <c r="T388" s="8" t="str">
        <f>TRIM(MID(RawSalesTable[[#This Row],[Customer_Info]],FIND(",",RawSalesTable[[#This Row],[Customer_Info]])+1,FIND(",",RawSalesTable[[#This Row],[Customer_Info]],FIND(",",RawSalesTable[[#This Row],[Customer_Info]])+1)-FIND(",",RawSalesTable[[#This Row],[Customer_Info]])-1))</f>
        <v>Ottawa</v>
      </c>
      <c r="U388" s="8" t="str">
        <f>TRIM(RIGHT(RawSalesTable[[#This Row],[Customer_Info]], LEN(RawSalesTable[[#This Row],[Customer_Info]])-FIND(",",RawSalesTable[[#This Row],[Customer_Info]],FIND(",",RawSalesTable[[#This Row],[Customer_Info]])+1)))</f>
        <v>Consumer</v>
      </c>
      <c r="V388" s="8" t="str">
        <f>VLOOKUP(RawSalesTable[[#This Row],[Product_ID]],ProductsTable[],2,FALSE)</f>
        <v>USB-C Hub</v>
      </c>
      <c r="W388" s="8" t="str">
        <f>VLOOKUP(RawSalesTable[[#This Row],[Product_ID]],ProductsTable[],3,FALSE)</f>
        <v>Electronics</v>
      </c>
      <c r="X388" s="8">
        <f>VLOOKUP(RawSalesTable[[#This Row],[Product_ID]],ProductsTable[],5,FALSE)</f>
        <v>72</v>
      </c>
      <c r="Y388" s="8">
        <f>RawSalesTable[[#This Row],[Quantity]]*RawSalesTable[[#This Row],[Unit_Price]]</f>
        <v>306</v>
      </c>
      <c r="Z388" s="8">
        <f>RawSalesTable[[#This Row],[Gross_Sales]]*RawSalesTable[[#This Row],[Discount_Pct]]</f>
        <v>0</v>
      </c>
      <c r="AA388" s="8">
        <f>RawSalesTable[[#This Row],[Gross_Sales]]-RawSalesTable[[#This Row],[Discount_Amount]]</f>
        <v>306</v>
      </c>
      <c r="AB388" s="8">
        <f>RawSalesTable[[#This Row],[Unit_Cost]]*RawSalesTable[[#This Row],[Quantity]]</f>
        <v>216</v>
      </c>
      <c r="AC388" s="8">
        <f>RawSalesTable[[#This Row],[Net_Sales]]-RawSalesTable[[#This Row],[Total_Cost]]</f>
        <v>90</v>
      </c>
      <c r="AD388" s="9">
        <f>RawSalesTable[[#This Row],[Profit]]/RawSalesTable[[#This Row],[Net_Sales]]</f>
        <v>0.29411764705882354</v>
      </c>
      <c r="AE388" s="8">
        <f>IF(RawSalesTable[[#This Row],[Return_Status]]="Yes",1,0)</f>
        <v>0</v>
      </c>
      <c r="AF388" s="8">
        <f>YEAR(RawSalesTable[[#This Row],[Order_Date]])</f>
        <v>2025</v>
      </c>
      <c r="AG388" s="8">
        <f>MONTH(RawSalesTable[[#This Row],[Order_Date]])</f>
        <v>3</v>
      </c>
      <c r="AH388" s="8" t="str">
        <f>TEXT(RawSalesTable[[#This Row],[Order_Date]],"mmmm")</f>
        <v>mars</v>
      </c>
      <c r="AI388" s="8" t="str">
        <f>IF(RawSalesTable[[#This Row],[Month_Number]]&lt;=3,"Q1",IF(RawSalesTable[[#This Row],[Month_Number]]&lt;=6,"Q2",IF(RawSalesTable[[#This Row],[Month_Number]]&lt;=9,"Q3","Q4")))</f>
        <v>Q1</v>
      </c>
      <c r="AJ388" s="13">
        <f>DATE(YEAR(RawSalesTable[[#This Row],[Order_Date]]),MONTH(RawSalesTable[[#This Row],[Order_Date]]),1)</f>
        <v>45717</v>
      </c>
      <c r="AK388" s="8" t="str">
        <f>VLOOKUP(RawSalesTable[[#This Row],[Customer_ID_clean]],CustomersTable[],4,FALSE)</f>
        <v>Ontario</v>
      </c>
    </row>
    <row r="389" spans="1:37">
      <c r="A389" t="s">
        <v>799</v>
      </c>
      <c r="B389" s="3">
        <v>45746</v>
      </c>
      <c r="C389" t="s">
        <v>512</v>
      </c>
      <c r="D389" t="s">
        <v>139</v>
      </c>
      <c r="E389" t="s">
        <v>513</v>
      </c>
      <c r="F389" t="s">
        <v>111</v>
      </c>
      <c r="G389" t="s">
        <v>171</v>
      </c>
      <c r="H389" t="s">
        <v>105</v>
      </c>
      <c r="I389">
        <v>3</v>
      </c>
      <c r="J389" s="2">
        <v>81.489999999999995</v>
      </c>
      <c r="K389" s="4">
        <v>0.05</v>
      </c>
      <c r="L389" t="s">
        <v>154</v>
      </c>
      <c r="M389">
        <v>2</v>
      </c>
      <c r="N389" t="s">
        <v>91</v>
      </c>
      <c r="O389" t="str">
        <f>SUBSTITUTE(PROPER(TRIM(RawSalesTable[[#This Row],[Channel_Raw]])), "Market Place", "Marketplace")</f>
        <v>Marketplace</v>
      </c>
      <c r="P389" t="str">
        <f>TRIM(RawSalesTable[[#This Row],[Store_Raw]])</f>
        <v>Montreal Central</v>
      </c>
      <c r="Q389" t="str">
        <f>IF(TRIM(RawSalesTable[[#This Row],[Payment_Method_Raw]])="","Non renseigné",SUBSTITUTE(TRIM(RawSalesTable[[#This Row],[Payment_Method_Raw]]),"CC","Credit Card"))</f>
        <v>Gift Card</v>
      </c>
      <c r="R389" s="8" t="str">
        <f>UPPER(PROPER(RawSalesTable[[#This Row],[Customer_ID]]))</f>
        <v>C0082</v>
      </c>
      <c r="S389" s="8" t="str">
        <f>TRIM(LEFT(RawSalesTable[[#This Row],[Customer_Info]],FIND(",",RawSalesTable[[#This Row],[Customer_Info]]) -1))</f>
        <v>Ryan King</v>
      </c>
      <c r="T389" s="8" t="str">
        <f>TRIM(MID(RawSalesTable[[#This Row],[Customer_Info]],FIND(",",RawSalesTable[[#This Row],[Customer_Info]])+1,FIND(",",RawSalesTable[[#This Row],[Customer_Info]],FIND(",",RawSalesTable[[#This Row],[Customer_Info]])+1)-FIND(",",RawSalesTable[[#This Row],[Customer_Info]])-1))</f>
        <v>Winnipeg</v>
      </c>
      <c r="U389" s="8" t="str">
        <f>TRIM(RIGHT(RawSalesTable[[#This Row],[Customer_Info]], LEN(RawSalesTable[[#This Row],[Customer_Info]])-FIND(",",RawSalesTable[[#This Row],[Customer_Info]],FIND(",",RawSalesTable[[#This Row],[Customer_Info]])+1)))</f>
        <v>Small Business</v>
      </c>
      <c r="V389" s="8" t="str">
        <f>VLOOKUP(RawSalesTable[[#This Row],[Product_ID]],ProductsTable[],2,FALSE)</f>
        <v>Standing Desk</v>
      </c>
      <c r="W389" s="8" t="str">
        <f>VLOOKUP(RawSalesTable[[#This Row],[Product_ID]],ProductsTable[],3,FALSE)</f>
        <v>Office</v>
      </c>
      <c r="X389" s="8">
        <f>VLOOKUP(RawSalesTable[[#This Row],[Product_ID]],ProductsTable[],5,FALSE)</f>
        <v>45.17</v>
      </c>
      <c r="Y389" s="8">
        <f>RawSalesTable[[#This Row],[Quantity]]*RawSalesTable[[#This Row],[Unit_Price]]</f>
        <v>244.46999999999997</v>
      </c>
      <c r="Z389" s="8">
        <f>RawSalesTable[[#This Row],[Gross_Sales]]*RawSalesTable[[#This Row],[Discount_Pct]]</f>
        <v>12.2235</v>
      </c>
      <c r="AA389" s="8">
        <f>RawSalesTable[[#This Row],[Gross_Sales]]-RawSalesTable[[#This Row],[Discount_Amount]]</f>
        <v>232.24649999999997</v>
      </c>
      <c r="AB389" s="8">
        <f>RawSalesTable[[#This Row],[Unit_Cost]]*RawSalesTable[[#This Row],[Quantity]]</f>
        <v>135.51</v>
      </c>
      <c r="AC389" s="8">
        <f>RawSalesTable[[#This Row],[Net_Sales]]-RawSalesTable[[#This Row],[Total_Cost]]</f>
        <v>96.736499999999978</v>
      </c>
      <c r="AD389" s="9">
        <f>RawSalesTable[[#This Row],[Profit]]/RawSalesTable[[#This Row],[Net_Sales]]</f>
        <v>0.41652511447965845</v>
      </c>
      <c r="AE389" s="8">
        <f>IF(RawSalesTable[[#This Row],[Return_Status]]="Yes",1,0)</f>
        <v>0</v>
      </c>
      <c r="AF389" s="8">
        <f>YEAR(RawSalesTable[[#This Row],[Order_Date]])</f>
        <v>2025</v>
      </c>
      <c r="AG389" s="8">
        <f>MONTH(RawSalesTable[[#This Row],[Order_Date]])</f>
        <v>3</v>
      </c>
      <c r="AH389" s="8" t="str">
        <f>TEXT(RawSalesTable[[#This Row],[Order_Date]],"mmmm")</f>
        <v>mars</v>
      </c>
      <c r="AI389" s="8" t="str">
        <f>IF(RawSalesTable[[#This Row],[Month_Number]]&lt;=3,"Q1",IF(RawSalesTable[[#This Row],[Month_Number]]&lt;=6,"Q2",IF(RawSalesTable[[#This Row],[Month_Number]]&lt;=9,"Q3","Q4")))</f>
        <v>Q1</v>
      </c>
      <c r="AJ389" s="13">
        <f>DATE(YEAR(RawSalesTable[[#This Row],[Order_Date]]),MONTH(RawSalesTable[[#This Row],[Order_Date]]),1)</f>
        <v>45717</v>
      </c>
      <c r="AK389" s="8" t="str">
        <f>VLOOKUP(RawSalesTable[[#This Row],[Customer_ID_clean]],CustomersTable[],4,FALSE)</f>
        <v>Manitoba</v>
      </c>
    </row>
    <row r="390" spans="1:37">
      <c r="A390" t="s">
        <v>800</v>
      </c>
      <c r="B390" s="3">
        <v>45786</v>
      </c>
      <c r="C390" t="s">
        <v>386</v>
      </c>
      <c r="D390" t="s">
        <v>139</v>
      </c>
      <c r="E390" t="s">
        <v>576</v>
      </c>
      <c r="F390" t="s">
        <v>116</v>
      </c>
      <c r="G390" t="s">
        <v>104</v>
      </c>
      <c r="H390" t="s">
        <v>97</v>
      </c>
      <c r="I390">
        <v>4</v>
      </c>
      <c r="J390" s="2">
        <v>82.08</v>
      </c>
      <c r="K390" s="4">
        <v>0.2</v>
      </c>
      <c r="L390" t="s">
        <v>98</v>
      </c>
      <c r="M390">
        <v>1</v>
      </c>
      <c r="N390" t="s">
        <v>91</v>
      </c>
      <c r="O390" t="str">
        <f>SUBSTITUTE(PROPER(TRIM(RawSalesTable[[#This Row],[Channel_Raw]])), "Market Place", "Marketplace")</f>
        <v>Retail Store</v>
      </c>
      <c r="P390" t="str">
        <f>TRIM(RawSalesTable[[#This Row],[Store_Raw]])</f>
        <v>Toronto Downtown</v>
      </c>
      <c r="Q390" t="str">
        <f>IF(TRIM(RawSalesTable[[#This Row],[Payment_Method_Raw]])="","Non renseigné",SUBSTITUTE(TRIM(RawSalesTable[[#This Row],[Payment_Method_Raw]]),"CC","Credit Card"))</f>
        <v>Debit Card</v>
      </c>
      <c r="R390" s="8" t="str">
        <f>UPPER(PROPER(RawSalesTable[[#This Row],[Customer_ID]]))</f>
        <v>C0009</v>
      </c>
      <c r="S390" s="8" t="str">
        <f>TRIM(LEFT(RawSalesTable[[#This Row],[Customer_Info]],FIND(",",RawSalesTable[[#This Row],[Customer_Info]]) -1))</f>
        <v>Ethan Tremblay</v>
      </c>
      <c r="T390" s="8" t="str">
        <f>TRIM(MID(RawSalesTable[[#This Row],[Customer_Info]],FIND(",",RawSalesTable[[#This Row],[Customer_Info]])+1,FIND(",",RawSalesTable[[#This Row],[Customer_Info]],FIND(",",RawSalesTable[[#This Row],[Customer_Info]])+1)-FIND(",",RawSalesTable[[#This Row],[Customer_Info]])-1))</f>
        <v>Mississauga</v>
      </c>
      <c r="U390" s="8" t="str">
        <f>TRIM(RIGHT(RawSalesTable[[#This Row],[Customer_Info]], LEN(RawSalesTable[[#This Row],[Customer_Info]])-FIND(",",RawSalesTable[[#This Row],[Customer_Info]],FIND(",",RawSalesTable[[#This Row],[Customer_Info]])+1)))</f>
        <v>Corporate</v>
      </c>
      <c r="V390" s="8" t="str">
        <f>VLOOKUP(RawSalesTable[[#This Row],[Product_ID]],ProductsTable[],2,FALSE)</f>
        <v>Standing Desk</v>
      </c>
      <c r="W390" s="8" t="str">
        <f>VLOOKUP(RawSalesTable[[#This Row],[Product_ID]],ProductsTable[],3,FALSE)</f>
        <v>Office</v>
      </c>
      <c r="X390" s="8">
        <f>VLOOKUP(RawSalesTable[[#This Row],[Product_ID]],ProductsTable[],5,FALSE)</f>
        <v>45.17</v>
      </c>
      <c r="Y390" s="8">
        <f>RawSalesTable[[#This Row],[Quantity]]*RawSalesTable[[#This Row],[Unit_Price]]</f>
        <v>328.32</v>
      </c>
      <c r="Z390" s="8">
        <f>RawSalesTable[[#This Row],[Gross_Sales]]*RawSalesTable[[#This Row],[Discount_Pct]]</f>
        <v>65.664000000000001</v>
      </c>
      <c r="AA390" s="8">
        <f>RawSalesTable[[#This Row],[Gross_Sales]]-RawSalesTable[[#This Row],[Discount_Amount]]</f>
        <v>262.65600000000001</v>
      </c>
      <c r="AB390" s="8">
        <f>RawSalesTable[[#This Row],[Unit_Cost]]*RawSalesTable[[#This Row],[Quantity]]</f>
        <v>180.68</v>
      </c>
      <c r="AC390" s="8">
        <f>RawSalesTable[[#This Row],[Net_Sales]]-RawSalesTable[[#This Row],[Total_Cost]]</f>
        <v>81.975999999999999</v>
      </c>
      <c r="AD390" s="9">
        <f>RawSalesTable[[#This Row],[Profit]]/RawSalesTable[[#This Row],[Net_Sales]]</f>
        <v>0.31210404483430798</v>
      </c>
      <c r="AE390" s="8">
        <f>IF(RawSalesTable[[#This Row],[Return_Status]]="Yes",1,0)</f>
        <v>0</v>
      </c>
      <c r="AF390" s="8">
        <f>YEAR(RawSalesTable[[#This Row],[Order_Date]])</f>
        <v>2025</v>
      </c>
      <c r="AG390" s="8">
        <f>MONTH(RawSalesTable[[#This Row],[Order_Date]])</f>
        <v>5</v>
      </c>
      <c r="AH390" s="8" t="str">
        <f>TEXT(RawSalesTable[[#This Row],[Order_Date]],"mmmm")</f>
        <v>mai</v>
      </c>
      <c r="AI390" s="8" t="str">
        <f>IF(RawSalesTable[[#This Row],[Month_Number]]&lt;=3,"Q1",IF(RawSalesTable[[#This Row],[Month_Number]]&lt;=6,"Q2",IF(RawSalesTable[[#This Row],[Month_Number]]&lt;=9,"Q3","Q4")))</f>
        <v>Q2</v>
      </c>
      <c r="AJ390" s="13">
        <f>DATE(YEAR(RawSalesTable[[#This Row],[Order_Date]]),MONTH(RawSalesTable[[#This Row],[Order_Date]]),1)</f>
        <v>45778</v>
      </c>
      <c r="AK390" s="8" t="str">
        <f>VLOOKUP(RawSalesTable[[#This Row],[Customer_ID_clean]],CustomersTable[],4,FALSE)</f>
        <v>Ontario</v>
      </c>
    </row>
    <row r="391" spans="1:37">
      <c r="A391" t="s">
        <v>801</v>
      </c>
      <c r="B391" s="3">
        <v>45947</v>
      </c>
      <c r="C391" t="s">
        <v>268</v>
      </c>
      <c r="D391" t="s">
        <v>181</v>
      </c>
      <c r="E391" t="s">
        <v>269</v>
      </c>
      <c r="F391" t="s">
        <v>145</v>
      </c>
      <c r="G391" t="s">
        <v>104</v>
      </c>
      <c r="H391" t="s">
        <v>105</v>
      </c>
      <c r="I391">
        <v>2</v>
      </c>
      <c r="J391" s="2">
        <v>369.15</v>
      </c>
      <c r="K391" s="4">
        <v>0</v>
      </c>
      <c r="L391" t="s">
        <v>90</v>
      </c>
      <c r="M391">
        <v>2</v>
      </c>
      <c r="N391" t="s">
        <v>91</v>
      </c>
      <c r="O391" t="str">
        <f>SUBSTITUTE(PROPER(TRIM(RawSalesTable[[#This Row],[Channel_Raw]])), "Market Place", "Marketplace")</f>
        <v>Marketplace</v>
      </c>
      <c r="P391" t="str">
        <f>TRIM(RawSalesTable[[#This Row],[Store_Raw]])</f>
        <v>Calgary North</v>
      </c>
      <c r="Q391" t="str">
        <f>IF(TRIM(RawSalesTable[[#This Row],[Payment_Method_Raw]])="","Non renseigné",SUBSTITUTE(TRIM(RawSalesTable[[#This Row],[Payment_Method_Raw]]),"CC","Credit Card"))</f>
        <v>PayPal</v>
      </c>
      <c r="R391" s="8" t="str">
        <f>UPPER(PROPER(RawSalesTable[[#This Row],[Customer_ID]]))</f>
        <v>C0043</v>
      </c>
      <c r="S391" s="8" t="str">
        <f>TRIM(LEFT(RawSalesTable[[#This Row],[Customer_Info]],FIND(",",RawSalesTable[[#This Row],[Customer_Info]]) -1))</f>
        <v>Ava Brown</v>
      </c>
      <c r="T391" s="8" t="str">
        <f>TRIM(MID(RawSalesTable[[#This Row],[Customer_Info]],FIND(",",RawSalesTable[[#This Row],[Customer_Info]])+1,FIND(",",RawSalesTable[[#This Row],[Customer_Info]],FIND(",",RawSalesTable[[#This Row],[Customer_Info]])+1)-FIND(",",RawSalesTable[[#This Row],[Customer_Info]])-1))</f>
        <v>Ottawa</v>
      </c>
      <c r="U391" s="8" t="str">
        <f>TRIM(RIGHT(RawSalesTable[[#This Row],[Customer_Info]], LEN(RawSalesTable[[#This Row],[Customer_Info]])-FIND(",",RawSalesTable[[#This Row],[Customer_Info]],FIND(",",RawSalesTable[[#This Row],[Customer_Info]])+1)))</f>
        <v>Small Business</v>
      </c>
      <c r="V391" s="8" t="str">
        <f>VLOOKUP(RawSalesTable[[#This Row],[Product_ID]],ProductsTable[],2,FALSE)</f>
        <v>Monitor</v>
      </c>
      <c r="W391" s="8" t="str">
        <f>VLOOKUP(RawSalesTable[[#This Row],[Product_ID]],ProductsTable[],3,FALSE)</f>
        <v>Electronics</v>
      </c>
      <c r="X391" s="8">
        <f>VLOOKUP(RawSalesTable[[#This Row],[Product_ID]],ProductsTable[],5,FALSE)</f>
        <v>224.47</v>
      </c>
      <c r="Y391" s="8">
        <f>RawSalesTable[[#This Row],[Quantity]]*RawSalesTable[[#This Row],[Unit_Price]]</f>
        <v>738.3</v>
      </c>
      <c r="Z391" s="8">
        <f>RawSalesTable[[#This Row],[Gross_Sales]]*RawSalesTable[[#This Row],[Discount_Pct]]</f>
        <v>0</v>
      </c>
      <c r="AA391" s="8">
        <f>RawSalesTable[[#This Row],[Gross_Sales]]-RawSalesTable[[#This Row],[Discount_Amount]]</f>
        <v>738.3</v>
      </c>
      <c r="AB391" s="8">
        <f>RawSalesTable[[#This Row],[Unit_Cost]]*RawSalesTable[[#This Row],[Quantity]]</f>
        <v>448.94</v>
      </c>
      <c r="AC391" s="8">
        <f>RawSalesTable[[#This Row],[Net_Sales]]-RawSalesTable[[#This Row],[Total_Cost]]</f>
        <v>289.35999999999996</v>
      </c>
      <c r="AD391" s="9">
        <f>RawSalesTable[[#This Row],[Profit]]/RawSalesTable[[#This Row],[Net_Sales]]</f>
        <v>0.39192740078558846</v>
      </c>
      <c r="AE391" s="8">
        <f>IF(RawSalesTable[[#This Row],[Return_Status]]="Yes",1,0)</f>
        <v>0</v>
      </c>
      <c r="AF391" s="8">
        <f>YEAR(RawSalesTable[[#This Row],[Order_Date]])</f>
        <v>2025</v>
      </c>
      <c r="AG391" s="8">
        <f>MONTH(RawSalesTable[[#This Row],[Order_Date]])</f>
        <v>10</v>
      </c>
      <c r="AH391" s="8" t="str">
        <f>TEXT(RawSalesTable[[#This Row],[Order_Date]],"mmmm")</f>
        <v>octobre</v>
      </c>
      <c r="AI391" s="8" t="str">
        <f>IF(RawSalesTable[[#This Row],[Month_Number]]&lt;=3,"Q1",IF(RawSalesTable[[#This Row],[Month_Number]]&lt;=6,"Q2",IF(RawSalesTable[[#This Row],[Month_Number]]&lt;=9,"Q3","Q4")))</f>
        <v>Q4</v>
      </c>
      <c r="AJ391" s="13">
        <f>DATE(YEAR(RawSalesTable[[#This Row],[Order_Date]]),MONTH(RawSalesTable[[#This Row],[Order_Date]]),1)</f>
        <v>45931</v>
      </c>
      <c r="AK391" s="8" t="str">
        <f>VLOOKUP(RawSalesTable[[#This Row],[Customer_ID_clean]],CustomersTable[],4,FALSE)</f>
        <v>Ontario</v>
      </c>
    </row>
    <row r="392" spans="1:37">
      <c r="A392" t="s">
        <v>802</v>
      </c>
      <c r="B392" s="3">
        <v>45947</v>
      </c>
      <c r="C392" t="s">
        <v>335</v>
      </c>
      <c r="D392" t="s">
        <v>194</v>
      </c>
      <c r="E392" t="s">
        <v>336</v>
      </c>
      <c r="F392" t="s">
        <v>103</v>
      </c>
      <c r="G392" t="s">
        <v>171</v>
      </c>
      <c r="H392" t="s">
        <v>308</v>
      </c>
      <c r="I392">
        <v>5</v>
      </c>
      <c r="J392" s="2">
        <v>198.14</v>
      </c>
      <c r="K392" s="4">
        <v>0.25</v>
      </c>
      <c r="L392" t="s">
        <v>369</v>
      </c>
      <c r="M392">
        <v>6</v>
      </c>
      <c r="N392" t="s">
        <v>147</v>
      </c>
      <c r="O392" t="str">
        <f>SUBSTITUTE(PROPER(TRIM(RawSalesTable[[#This Row],[Channel_Raw]])), "Market Place", "Marketplace")</f>
        <v>Online</v>
      </c>
      <c r="P392" t="str">
        <f>TRIM(RawSalesTable[[#This Row],[Store_Raw]])</f>
        <v>Vancouver West</v>
      </c>
      <c r="Q392" t="str">
        <f>IF(TRIM(RawSalesTable[[#This Row],[Payment_Method_Raw]])="","Non renseigné",SUBSTITUTE(TRIM(RawSalesTable[[#This Row],[Payment_Method_Raw]]),"CC","Credit Card"))</f>
        <v>Paypal</v>
      </c>
      <c r="R392" s="8" t="str">
        <f>UPPER(PROPER(RawSalesTable[[#This Row],[Customer_ID]]))</f>
        <v>C0037</v>
      </c>
      <c r="S392" s="8" t="str">
        <f>TRIM(LEFT(RawSalesTable[[#This Row],[Customer_Info]],FIND(",",RawSalesTable[[#This Row],[Customer_Info]]) -1))</f>
        <v>Lucas Scott</v>
      </c>
      <c r="T392" s="8" t="str">
        <f>TRIM(MID(RawSalesTable[[#This Row],[Customer_Info]],FIND(",",RawSalesTable[[#This Row],[Customer_Info]])+1,FIND(",",RawSalesTable[[#This Row],[Customer_Info]],FIND(",",RawSalesTable[[#This Row],[Customer_Info]])+1)-FIND(",",RawSalesTable[[#This Row],[Customer_Info]])-1))</f>
        <v>Victoria</v>
      </c>
      <c r="U392" s="8" t="str">
        <f>TRIM(RIGHT(RawSalesTable[[#This Row],[Customer_Info]], LEN(RawSalesTable[[#This Row],[Customer_Info]])-FIND(",",RawSalesTable[[#This Row],[Customer_Info]],FIND(",",RawSalesTable[[#This Row],[Customer_Info]])+1)))</f>
        <v>Small Business</v>
      </c>
      <c r="V392" s="8" t="str">
        <f>VLOOKUP(RawSalesTable[[#This Row],[Product_ID]],ProductsTable[],2,FALSE)</f>
        <v>Jump Rope</v>
      </c>
      <c r="W392" s="8" t="str">
        <f>VLOOKUP(RawSalesTable[[#This Row],[Product_ID]],ProductsTable[],3,FALSE)</f>
        <v>Fitness</v>
      </c>
      <c r="X392" s="8">
        <f>VLOOKUP(RawSalesTable[[#This Row],[Product_ID]],ProductsTable[],5,FALSE)</f>
        <v>101</v>
      </c>
      <c r="Y392" s="8">
        <f>RawSalesTable[[#This Row],[Quantity]]*RawSalesTable[[#This Row],[Unit_Price]]</f>
        <v>990.69999999999993</v>
      </c>
      <c r="Z392" s="8">
        <f>RawSalesTable[[#This Row],[Gross_Sales]]*RawSalesTable[[#This Row],[Discount_Pct]]</f>
        <v>247.67499999999998</v>
      </c>
      <c r="AA392" s="8">
        <f>RawSalesTable[[#This Row],[Gross_Sales]]-RawSalesTable[[#This Row],[Discount_Amount]]</f>
        <v>743.02499999999998</v>
      </c>
      <c r="AB392" s="8">
        <f>RawSalesTable[[#This Row],[Unit_Cost]]*RawSalesTable[[#This Row],[Quantity]]</f>
        <v>505</v>
      </c>
      <c r="AC392" s="8">
        <f>RawSalesTable[[#This Row],[Net_Sales]]-RawSalesTable[[#This Row],[Total_Cost]]</f>
        <v>238.02499999999998</v>
      </c>
      <c r="AD392" s="9">
        <f>RawSalesTable[[#This Row],[Profit]]/RawSalesTable[[#This Row],[Net_Sales]]</f>
        <v>0.32034588338212039</v>
      </c>
      <c r="AE392" s="8">
        <f>IF(RawSalesTable[[#This Row],[Return_Status]]="Yes",1,0)</f>
        <v>1</v>
      </c>
      <c r="AF392" s="8">
        <f>YEAR(RawSalesTable[[#This Row],[Order_Date]])</f>
        <v>2025</v>
      </c>
      <c r="AG392" s="8">
        <f>MONTH(RawSalesTable[[#This Row],[Order_Date]])</f>
        <v>10</v>
      </c>
      <c r="AH392" s="8" t="str">
        <f>TEXT(RawSalesTable[[#This Row],[Order_Date]],"mmmm")</f>
        <v>octobre</v>
      </c>
      <c r="AI392" s="8" t="str">
        <f>IF(RawSalesTable[[#This Row],[Month_Number]]&lt;=3,"Q1",IF(RawSalesTable[[#This Row],[Month_Number]]&lt;=6,"Q2",IF(RawSalesTable[[#This Row],[Month_Number]]&lt;=9,"Q3","Q4")))</f>
        <v>Q4</v>
      </c>
      <c r="AJ392" s="13">
        <f>DATE(YEAR(RawSalesTable[[#This Row],[Order_Date]]),MONTH(RawSalesTable[[#This Row],[Order_Date]]),1)</f>
        <v>45931</v>
      </c>
      <c r="AK392" s="8" t="str">
        <f>VLOOKUP(RawSalesTable[[#This Row],[Customer_ID_clean]],CustomersTable[],4,FALSE)</f>
        <v>British Columbia</v>
      </c>
    </row>
    <row r="393" spans="1:37">
      <c r="A393" t="s">
        <v>803</v>
      </c>
      <c r="B393" s="3">
        <v>45783</v>
      </c>
      <c r="C393" t="s">
        <v>374</v>
      </c>
      <c r="D393" t="s">
        <v>114</v>
      </c>
      <c r="E393" t="s">
        <v>375</v>
      </c>
      <c r="F393" t="s">
        <v>145</v>
      </c>
      <c r="G393" t="s">
        <v>130</v>
      </c>
      <c r="H393" t="s">
        <v>89</v>
      </c>
      <c r="I393">
        <v>1</v>
      </c>
      <c r="J393" s="2">
        <v>151.30000000000001</v>
      </c>
      <c r="K393" s="4">
        <v>0</v>
      </c>
      <c r="L393" t="s">
        <v>98</v>
      </c>
      <c r="M393">
        <v>8</v>
      </c>
      <c r="N393" t="s">
        <v>91</v>
      </c>
      <c r="O393" t="str">
        <f>SUBSTITUTE(PROPER(TRIM(RawSalesTable[[#This Row],[Channel_Raw]])), "Market Place", "Marketplace")</f>
        <v>Online</v>
      </c>
      <c r="P393" t="str">
        <f>TRIM(RawSalesTable[[#This Row],[Store_Raw]])</f>
        <v>Calgary North</v>
      </c>
      <c r="Q393" t="str">
        <f>IF(TRIM(RawSalesTable[[#This Row],[Payment_Method_Raw]])="","Non renseigné",SUBSTITUTE(TRIM(RawSalesTable[[#This Row],[Payment_Method_Raw]]),"CC","Credit Card"))</f>
        <v>Debit Card</v>
      </c>
      <c r="R393" s="8" t="str">
        <f>UPPER(PROPER(RawSalesTable[[#This Row],[Customer_ID]]))</f>
        <v>C0035</v>
      </c>
      <c r="S393" s="8" t="str">
        <f>TRIM(LEFT(RawSalesTable[[#This Row],[Customer_Info]],FIND(",",RawSalesTable[[#This Row],[Customer_Info]]) -1))</f>
        <v>Amelia Scott</v>
      </c>
      <c r="T393" s="8" t="str">
        <f>TRIM(MID(RawSalesTable[[#This Row],[Customer_Info]],FIND(",",RawSalesTable[[#This Row],[Customer_Info]])+1,FIND(",",RawSalesTable[[#This Row],[Customer_Info]],FIND(",",RawSalesTable[[#This Row],[Customer_Info]])+1)-FIND(",",RawSalesTable[[#This Row],[Customer_Info]])-1))</f>
        <v>Edmonton</v>
      </c>
      <c r="U393" s="8" t="str">
        <f>TRIM(RIGHT(RawSalesTable[[#This Row],[Customer_Info]], LEN(RawSalesTable[[#This Row],[Customer_Info]])-FIND(",",RawSalesTable[[#This Row],[Customer_Info]],FIND(",",RawSalesTable[[#This Row],[Customer_Info]])+1)))</f>
        <v>Small Business</v>
      </c>
      <c r="V393" s="8" t="str">
        <f>VLOOKUP(RawSalesTable[[#This Row],[Product_ID]],ProductsTable[],2,FALSE)</f>
        <v>Laptop Sleeve</v>
      </c>
      <c r="W393" s="8" t="str">
        <f>VLOOKUP(RawSalesTable[[#This Row],[Product_ID]],ProductsTable[],3,FALSE)</f>
        <v>Accessories</v>
      </c>
      <c r="X393" s="8">
        <f>VLOOKUP(RawSalesTable[[#This Row],[Product_ID]],ProductsTable[],5,FALSE)</f>
        <v>78.95</v>
      </c>
      <c r="Y393" s="8">
        <f>RawSalesTable[[#This Row],[Quantity]]*RawSalesTable[[#This Row],[Unit_Price]]</f>
        <v>151.30000000000001</v>
      </c>
      <c r="Z393" s="8">
        <f>RawSalesTable[[#This Row],[Gross_Sales]]*RawSalesTable[[#This Row],[Discount_Pct]]</f>
        <v>0</v>
      </c>
      <c r="AA393" s="8">
        <f>RawSalesTable[[#This Row],[Gross_Sales]]-RawSalesTable[[#This Row],[Discount_Amount]]</f>
        <v>151.30000000000001</v>
      </c>
      <c r="AB393" s="8">
        <f>RawSalesTable[[#This Row],[Unit_Cost]]*RawSalesTable[[#This Row],[Quantity]]</f>
        <v>78.95</v>
      </c>
      <c r="AC393" s="8">
        <f>RawSalesTable[[#This Row],[Net_Sales]]-RawSalesTable[[#This Row],[Total_Cost]]</f>
        <v>72.350000000000009</v>
      </c>
      <c r="AD393" s="9">
        <f>RawSalesTable[[#This Row],[Profit]]/RawSalesTable[[#This Row],[Net_Sales]]</f>
        <v>0.47818902842035693</v>
      </c>
      <c r="AE393" s="8">
        <f>IF(RawSalesTable[[#This Row],[Return_Status]]="Yes",1,0)</f>
        <v>0</v>
      </c>
      <c r="AF393" s="8">
        <f>YEAR(RawSalesTable[[#This Row],[Order_Date]])</f>
        <v>2025</v>
      </c>
      <c r="AG393" s="8">
        <f>MONTH(RawSalesTable[[#This Row],[Order_Date]])</f>
        <v>5</v>
      </c>
      <c r="AH393" s="8" t="str">
        <f>TEXT(RawSalesTable[[#This Row],[Order_Date]],"mmmm")</f>
        <v>mai</v>
      </c>
      <c r="AI393" s="8" t="str">
        <f>IF(RawSalesTable[[#This Row],[Month_Number]]&lt;=3,"Q1",IF(RawSalesTable[[#This Row],[Month_Number]]&lt;=6,"Q2",IF(RawSalesTable[[#This Row],[Month_Number]]&lt;=9,"Q3","Q4")))</f>
        <v>Q2</v>
      </c>
      <c r="AJ393" s="13">
        <f>DATE(YEAR(RawSalesTable[[#This Row],[Order_Date]]),MONTH(RawSalesTable[[#This Row],[Order_Date]]),1)</f>
        <v>45778</v>
      </c>
      <c r="AK393" s="8" t="str">
        <f>VLOOKUP(RawSalesTable[[#This Row],[Customer_ID_clean]],CustomersTable[],4,FALSE)</f>
        <v>Alberta</v>
      </c>
    </row>
    <row r="394" spans="1:37">
      <c r="A394" t="s">
        <v>804</v>
      </c>
      <c r="B394" s="3">
        <v>45773</v>
      </c>
      <c r="C394" t="s">
        <v>164</v>
      </c>
      <c r="D394" t="s">
        <v>194</v>
      </c>
      <c r="E394" t="s">
        <v>166</v>
      </c>
      <c r="F394" t="s">
        <v>116</v>
      </c>
      <c r="G394" t="s">
        <v>88</v>
      </c>
      <c r="H394" t="s">
        <v>308</v>
      </c>
      <c r="I394">
        <v>3</v>
      </c>
      <c r="J394" s="2">
        <v>210.85</v>
      </c>
      <c r="K394" s="4">
        <v>0.1</v>
      </c>
      <c r="L394" t="s">
        <v>90</v>
      </c>
      <c r="M394">
        <v>8</v>
      </c>
      <c r="N394" t="s">
        <v>91</v>
      </c>
      <c r="O394" t="str">
        <f>SUBSTITUTE(PROPER(TRIM(RawSalesTable[[#This Row],[Channel_Raw]])), "Market Place", "Marketplace")</f>
        <v>Online</v>
      </c>
      <c r="P394" t="str">
        <f>TRIM(RawSalesTable[[#This Row],[Store_Raw]])</f>
        <v>Toronto Downtown</v>
      </c>
      <c r="Q394" t="str">
        <f>IF(TRIM(RawSalesTable[[#This Row],[Payment_Method_Raw]])="","Non renseigné",SUBSTITUTE(TRIM(RawSalesTable[[#This Row],[Payment_Method_Raw]]),"CC","Credit Card"))</f>
        <v>PayPal</v>
      </c>
      <c r="R394" s="8" t="str">
        <f>UPPER(PROPER(RawSalesTable[[#This Row],[Customer_ID]]))</f>
        <v>C0032</v>
      </c>
      <c r="S394" s="8" t="str">
        <f>TRIM(LEFT(RawSalesTable[[#This Row],[Customer_Info]],FIND(",",RawSalesTable[[#This Row],[Customer_Info]]) -1))</f>
        <v>Nora Bennett</v>
      </c>
      <c r="T394" s="8" t="str">
        <f>TRIM(MID(RawSalesTable[[#This Row],[Customer_Info]],FIND(",",RawSalesTable[[#This Row],[Customer_Info]])+1,FIND(",",RawSalesTable[[#This Row],[Customer_Info]],FIND(",",RawSalesTable[[#This Row],[Customer_Info]])+1)-FIND(",",RawSalesTable[[#This Row],[Customer_Info]])-1))</f>
        <v>Surrey</v>
      </c>
      <c r="U394" s="8" t="str">
        <f>TRIM(RIGHT(RawSalesTable[[#This Row],[Customer_Info]], LEN(RawSalesTable[[#This Row],[Customer_Info]])-FIND(",",RawSalesTable[[#This Row],[Customer_Info]],FIND(",",RawSalesTable[[#This Row],[Customer_Info]])+1)))</f>
        <v>Consumer</v>
      </c>
      <c r="V394" s="8" t="str">
        <f>VLOOKUP(RawSalesTable[[#This Row],[Product_ID]],ProductsTable[],2,FALSE)</f>
        <v>Jump Rope</v>
      </c>
      <c r="W394" s="8" t="str">
        <f>VLOOKUP(RawSalesTable[[#This Row],[Product_ID]],ProductsTable[],3,FALSE)</f>
        <v>Fitness</v>
      </c>
      <c r="X394" s="8">
        <f>VLOOKUP(RawSalesTable[[#This Row],[Product_ID]],ProductsTable[],5,FALSE)</f>
        <v>101</v>
      </c>
      <c r="Y394" s="8">
        <f>RawSalesTable[[#This Row],[Quantity]]*RawSalesTable[[#This Row],[Unit_Price]]</f>
        <v>632.54999999999995</v>
      </c>
      <c r="Z394" s="8">
        <f>RawSalesTable[[#This Row],[Gross_Sales]]*RawSalesTable[[#This Row],[Discount_Pct]]</f>
        <v>63.254999999999995</v>
      </c>
      <c r="AA394" s="8">
        <f>RawSalesTable[[#This Row],[Gross_Sales]]-RawSalesTable[[#This Row],[Discount_Amount]]</f>
        <v>569.29499999999996</v>
      </c>
      <c r="AB394" s="8">
        <f>RawSalesTable[[#This Row],[Unit_Cost]]*RawSalesTable[[#This Row],[Quantity]]</f>
        <v>303</v>
      </c>
      <c r="AC394" s="8">
        <f>RawSalesTable[[#This Row],[Net_Sales]]-RawSalesTable[[#This Row],[Total_Cost]]</f>
        <v>266.29499999999996</v>
      </c>
      <c r="AD394" s="9">
        <f>RawSalesTable[[#This Row],[Profit]]/RawSalesTable[[#This Row],[Net_Sales]]</f>
        <v>0.46776275920217109</v>
      </c>
      <c r="AE394" s="8">
        <f>IF(RawSalesTable[[#This Row],[Return_Status]]="Yes",1,0)</f>
        <v>0</v>
      </c>
      <c r="AF394" s="8">
        <f>YEAR(RawSalesTable[[#This Row],[Order_Date]])</f>
        <v>2025</v>
      </c>
      <c r="AG394" s="8">
        <f>MONTH(RawSalesTable[[#This Row],[Order_Date]])</f>
        <v>4</v>
      </c>
      <c r="AH394" s="8" t="str">
        <f>TEXT(RawSalesTable[[#This Row],[Order_Date]],"mmmm")</f>
        <v>avril</v>
      </c>
      <c r="AI394" s="8" t="str">
        <f>IF(RawSalesTable[[#This Row],[Month_Number]]&lt;=3,"Q1",IF(RawSalesTable[[#This Row],[Month_Number]]&lt;=6,"Q2",IF(RawSalesTable[[#This Row],[Month_Number]]&lt;=9,"Q3","Q4")))</f>
        <v>Q2</v>
      </c>
      <c r="AJ394" s="13">
        <f>DATE(YEAR(RawSalesTable[[#This Row],[Order_Date]]),MONTH(RawSalesTable[[#This Row],[Order_Date]]),1)</f>
        <v>45748</v>
      </c>
      <c r="AK394" s="8" t="str">
        <f>VLOOKUP(RawSalesTable[[#This Row],[Customer_ID_clean]],CustomersTable[],4,FALSE)</f>
        <v>British Columbia</v>
      </c>
    </row>
    <row r="395" spans="1:37">
      <c r="A395" t="s">
        <v>805</v>
      </c>
      <c r="B395" s="3">
        <v>46019</v>
      </c>
      <c r="C395" t="s">
        <v>487</v>
      </c>
      <c r="D395" t="s">
        <v>271</v>
      </c>
      <c r="E395" t="s">
        <v>806</v>
      </c>
      <c r="F395" t="s">
        <v>103</v>
      </c>
      <c r="G395" t="s">
        <v>88</v>
      </c>
      <c r="H395" t="s">
        <v>228</v>
      </c>
      <c r="I395">
        <v>1</v>
      </c>
      <c r="J395" s="2">
        <v>223.94</v>
      </c>
      <c r="K395" s="4">
        <v>0</v>
      </c>
      <c r="L395" t="s">
        <v>106</v>
      </c>
      <c r="M395">
        <v>7</v>
      </c>
      <c r="N395" t="s">
        <v>147</v>
      </c>
      <c r="O395" t="str">
        <f>SUBSTITUTE(PROPER(TRIM(RawSalesTable[[#This Row],[Channel_Raw]])), "Market Place", "Marketplace")</f>
        <v>Online</v>
      </c>
      <c r="P395" t="str">
        <f>TRIM(RawSalesTable[[#This Row],[Store_Raw]])</f>
        <v>Vancouver West</v>
      </c>
      <c r="Q395" t="str">
        <f>IF(TRIM(RawSalesTable[[#This Row],[Payment_Method_Raw]])="","Non renseigné",SUBSTITUTE(TRIM(RawSalesTable[[#This Row],[Payment_Method_Raw]]),"CC","Credit Card"))</f>
        <v>Credit Card</v>
      </c>
      <c r="R395" s="8" t="str">
        <f>UPPER(PROPER(RawSalesTable[[#This Row],[Customer_ID]]))</f>
        <v>C0105</v>
      </c>
      <c r="S395" s="8" t="str">
        <f>TRIM(LEFT(RawSalesTable[[#This Row],[Customer_Info]],FIND(",",RawSalesTable[[#This Row],[Customer_Info]]) -1))</f>
        <v>Liam Martin</v>
      </c>
      <c r="T395" s="8" t="str">
        <f>TRIM(MID(RawSalesTable[[#This Row],[Customer_Info]],FIND(",",RawSalesTable[[#This Row],[Customer_Info]])+1,FIND(",",RawSalesTable[[#This Row],[Customer_Info]],FIND(",",RawSalesTable[[#This Row],[Customer_Info]])+1)-FIND(",",RawSalesTable[[#This Row],[Customer_Info]])-1))</f>
        <v>Calgary</v>
      </c>
      <c r="U395" s="8" t="str">
        <f>TRIM(RIGHT(RawSalesTable[[#This Row],[Customer_Info]], LEN(RawSalesTable[[#This Row],[Customer_Info]])-FIND(",",RawSalesTable[[#This Row],[Customer_Info]],FIND(",",RawSalesTable[[#This Row],[Customer_Info]])+1)))</f>
        <v>Consumer</v>
      </c>
      <c r="V395" s="8" t="str">
        <f>VLOOKUP(RawSalesTable[[#This Row],[Product_ID]],ProductsTable[],2,FALSE)</f>
        <v>Resistance Bands</v>
      </c>
      <c r="W395" s="8" t="str">
        <f>VLOOKUP(RawSalesTable[[#This Row],[Product_ID]],ProductsTable[],3,FALSE)</f>
        <v>Fitness</v>
      </c>
      <c r="X395" s="8">
        <f>VLOOKUP(RawSalesTable[[#This Row],[Product_ID]],ProductsTable[],5,FALSE)</f>
        <v>139.19999999999999</v>
      </c>
      <c r="Y395" s="8">
        <f>RawSalesTable[[#This Row],[Quantity]]*RawSalesTable[[#This Row],[Unit_Price]]</f>
        <v>223.94</v>
      </c>
      <c r="Z395" s="8">
        <f>RawSalesTable[[#This Row],[Gross_Sales]]*RawSalesTable[[#This Row],[Discount_Pct]]</f>
        <v>0</v>
      </c>
      <c r="AA395" s="8">
        <f>RawSalesTable[[#This Row],[Gross_Sales]]-RawSalesTable[[#This Row],[Discount_Amount]]</f>
        <v>223.94</v>
      </c>
      <c r="AB395" s="8">
        <f>RawSalesTable[[#This Row],[Unit_Cost]]*RawSalesTable[[#This Row],[Quantity]]</f>
        <v>139.19999999999999</v>
      </c>
      <c r="AC395" s="8">
        <f>RawSalesTable[[#This Row],[Net_Sales]]-RawSalesTable[[#This Row],[Total_Cost]]</f>
        <v>84.740000000000009</v>
      </c>
      <c r="AD395" s="9">
        <f>RawSalesTable[[#This Row],[Profit]]/RawSalesTable[[#This Row],[Net_Sales]]</f>
        <v>0.37840492989193536</v>
      </c>
      <c r="AE395" s="8">
        <f>IF(RawSalesTable[[#This Row],[Return_Status]]="Yes",1,0)</f>
        <v>1</v>
      </c>
      <c r="AF395" s="8">
        <f>YEAR(RawSalesTable[[#This Row],[Order_Date]])</f>
        <v>2025</v>
      </c>
      <c r="AG395" s="8">
        <f>MONTH(RawSalesTable[[#This Row],[Order_Date]])</f>
        <v>12</v>
      </c>
      <c r="AH395" s="8" t="str">
        <f>TEXT(RawSalesTable[[#This Row],[Order_Date]],"mmmm")</f>
        <v>décembre</v>
      </c>
      <c r="AI395" s="8" t="str">
        <f>IF(RawSalesTable[[#This Row],[Month_Number]]&lt;=3,"Q1",IF(RawSalesTable[[#This Row],[Month_Number]]&lt;=6,"Q2",IF(RawSalesTable[[#This Row],[Month_Number]]&lt;=9,"Q3","Q4")))</f>
        <v>Q4</v>
      </c>
      <c r="AJ395" s="13">
        <f>DATE(YEAR(RawSalesTable[[#This Row],[Order_Date]]),MONTH(RawSalesTable[[#This Row],[Order_Date]]),1)</f>
        <v>45992</v>
      </c>
      <c r="AK395" s="8" t="str">
        <f>VLOOKUP(RawSalesTable[[#This Row],[Customer_ID_clean]],CustomersTable[],4,FALSE)</f>
        <v>Alberta</v>
      </c>
    </row>
    <row r="396" spans="1:37">
      <c r="A396" t="s">
        <v>807</v>
      </c>
      <c r="B396" s="3">
        <v>46009</v>
      </c>
      <c r="C396" t="s">
        <v>185</v>
      </c>
      <c r="D396" t="s">
        <v>217</v>
      </c>
      <c r="E396" t="s">
        <v>186</v>
      </c>
      <c r="F396" t="s">
        <v>111</v>
      </c>
      <c r="G396" t="s">
        <v>117</v>
      </c>
      <c r="H396" t="s">
        <v>89</v>
      </c>
      <c r="I396">
        <v>1</v>
      </c>
      <c r="J396" s="2">
        <v>103.33</v>
      </c>
      <c r="K396" s="4">
        <v>0.1</v>
      </c>
      <c r="L396" t="s">
        <v>98</v>
      </c>
      <c r="M396">
        <v>9</v>
      </c>
      <c r="N396" t="s">
        <v>91</v>
      </c>
      <c r="O396" t="str">
        <f>SUBSTITUTE(PROPER(TRIM(RawSalesTable[[#This Row],[Channel_Raw]])), "Market Place", "Marketplace")</f>
        <v>Online</v>
      </c>
      <c r="P396" t="str">
        <f>TRIM(RawSalesTable[[#This Row],[Store_Raw]])</f>
        <v>Montreal Central</v>
      </c>
      <c r="Q396" t="str">
        <f>IF(TRIM(RawSalesTable[[#This Row],[Payment_Method_Raw]])="","Non renseigné",SUBSTITUTE(TRIM(RawSalesTable[[#This Row],[Payment_Method_Raw]]),"CC","Credit Card"))</f>
        <v>Debit Card</v>
      </c>
      <c r="R396" s="8" t="str">
        <f>UPPER(PROPER(RawSalesTable[[#This Row],[Customer_ID]]))</f>
        <v>C0036</v>
      </c>
      <c r="S396" s="8" t="str">
        <f>TRIM(LEFT(RawSalesTable[[#This Row],[Customer_Info]],FIND(",",RawSalesTable[[#This Row],[Customer_Info]]) -1))</f>
        <v>Sarah Wilson</v>
      </c>
      <c r="T396" s="8" t="str">
        <f>TRIM(MID(RawSalesTable[[#This Row],[Customer_Info]],FIND(",",RawSalesTable[[#This Row],[Customer_Info]])+1,FIND(",",RawSalesTable[[#This Row],[Customer_Info]],FIND(",",RawSalesTable[[#This Row],[Customer_Info]])+1)-FIND(",",RawSalesTable[[#This Row],[Customer_Info]])-1))</f>
        <v>Montreal</v>
      </c>
      <c r="U396" s="8" t="str">
        <f>TRIM(RIGHT(RawSalesTable[[#This Row],[Customer_Info]], LEN(RawSalesTable[[#This Row],[Customer_Info]])-FIND(",",RawSalesTable[[#This Row],[Customer_Info]],FIND(",",RawSalesTable[[#This Row],[Customer_Info]])+1)))</f>
        <v>Corporate</v>
      </c>
      <c r="V396" s="8" t="str">
        <f>VLOOKUP(RawSalesTable[[#This Row],[Product_ID]],ProductsTable[],2,FALSE)</f>
        <v>USB-C Hub</v>
      </c>
      <c r="W396" s="8" t="str">
        <f>VLOOKUP(RawSalesTable[[#This Row],[Product_ID]],ProductsTable[],3,FALSE)</f>
        <v>Electronics</v>
      </c>
      <c r="X396" s="8">
        <f>VLOOKUP(RawSalesTable[[#This Row],[Product_ID]],ProductsTable[],5,FALSE)</f>
        <v>72</v>
      </c>
      <c r="Y396" s="8">
        <f>RawSalesTable[[#This Row],[Quantity]]*RawSalesTable[[#This Row],[Unit_Price]]</f>
        <v>103.33</v>
      </c>
      <c r="Z396" s="8">
        <f>RawSalesTable[[#This Row],[Gross_Sales]]*RawSalesTable[[#This Row],[Discount_Pct]]</f>
        <v>10.333</v>
      </c>
      <c r="AA396" s="8">
        <f>RawSalesTable[[#This Row],[Gross_Sales]]-RawSalesTable[[#This Row],[Discount_Amount]]</f>
        <v>92.997</v>
      </c>
      <c r="AB396" s="8">
        <f>RawSalesTable[[#This Row],[Unit_Cost]]*RawSalesTable[[#This Row],[Quantity]]</f>
        <v>72</v>
      </c>
      <c r="AC396" s="8">
        <f>RawSalesTable[[#This Row],[Net_Sales]]-RawSalesTable[[#This Row],[Total_Cost]]</f>
        <v>20.997</v>
      </c>
      <c r="AD396" s="9">
        <f>RawSalesTable[[#This Row],[Profit]]/RawSalesTable[[#This Row],[Net_Sales]]</f>
        <v>0.22578147682183297</v>
      </c>
      <c r="AE396" s="8">
        <f>IF(RawSalesTable[[#This Row],[Return_Status]]="Yes",1,0)</f>
        <v>0</v>
      </c>
      <c r="AF396" s="8">
        <f>YEAR(RawSalesTable[[#This Row],[Order_Date]])</f>
        <v>2025</v>
      </c>
      <c r="AG396" s="8">
        <f>MONTH(RawSalesTable[[#This Row],[Order_Date]])</f>
        <v>12</v>
      </c>
      <c r="AH396" s="8" t="str">
        <f>TEXT(RawSalesTable[[#This Row],[Order_Date]],"mmmm")</f>
        <v>décembre</v>
      </c>
      <c r="AI396" s="8" t="str">
        <f>IF(RawSalesTable[[#This Row],[Month_Number]]&lt;=3,"Q1",IF(RawSalesTable[[#This Row],[Month_Number]]&lt;=6,"Q2",IF(RawSalesTable[[#This Row],[Month_Number]]&lt;=9,"Q3","Q4")))</f>
        <v>Q4</v>
      </c>
      <c r="AJ396" s="13">
        <f>DATE(YEAR(RawSalesTable[[#This Row],[Order_Date]]),MONTH(RawSalesTable[[#This Row],[Order_Date]]),1)</f>
        <v>45992</v>
      </c>
      <c r="AK396" s="8" t="str">
        <f>VLOOKUP(RawSalesTable[[#This Row],[Customer_ID_clean]],CustomersTable[],4,FALSE)</f>
        <v>Quebec</v>
      </c>
    </row>
    <row r="397" spans="1:37">
      <c r="A397" t="s">
        <v>808</v>
      </c>
      <c r="B397" s="3">
        <v>45911</v>
      </c>
      <c r="C397" t="s">
        <v>809</v>
      </c>
      <c r="D397" t="s">
        <v>136</v>
      </c>
      <c r="E397" t="s">
        <v>810</v>
      </c>
      <c r="F397" t="s">
        <v>111</v>
      </c>
      <c r="G397" t="s">
        <v>122</v>
      </c>
      <c r="H397" t="s">
        <v>97</v>
      </c>
      <c r="I397">
        <v>1</v>
      </c>
      <c r="J397" s="2">
        <v>153.69999999999999</v>
      </c>
      <c r="K397" s="4">
        <v>0.05</v>
      </c>
      <c r="L397" t="s">
        <v>106</v>
      </c>
      <c r="M397">
        <v>1</v>
      </c>
      <c r="N397" t="s">
        <v>91</v>
      </c>
      <c r="O397" t="str">
        <f>SUBSTITUTE(PROPER(TRIM(RawSalesTable[[#This Row],[Channel_Raw]])), "Market Place", "Marketplace")</f>
        <v>Retail Store</v>
      </c>
      <c r="P397" t="str">
        <f>TRIM(RawSalesTable[[#This Row],[Store_Raw]])</f>
        <v>Montreal Central</v>
      </c>
      <c r="Q397" t="str">
        <f>IF(TRIM(RawSalesTable[[#This Row],[Payment_Method_Raw]])="","Non renseigné",SUBSTITUTE(TRIM(RawSalesTable[[#This Row],[Payment_Method_Raw]]),"CC","Credit Card"))</f>
        <v>Credit Card</v>
      </c>
      <c r="R397" s="8" t="str">
        <f>UPPER(PROPER(RawSalesTable[[#This Row],[Customer_ID]]))</f>
        <v>C0046</v>
      </c>
      <c r="S397" s="8" t="str">
        <f>TRIM(LEFT(RawSalesTable[[#This Row],[Customer_Info]],FIND(",",RawSalesTable[[#This Row],[Customer_Info]]) -1))</f>
        <v>Amelia Bennett</v>
      </c>
      <c r="T397" s="8" t="str">
        <f>TRIM(MID(RawSalesTable[[#This Row],[Customer_Info]],FIND(",",RawSalesTable[[#This Row],[Customer_Info]])+1,FIND(",",RawSalesTable[[#This Row],[Customer_Info]],FIND(",",RawSalesTable[[#This Row],[Customer_Info]])+1)-FIND(",",RawSalesTable[[#This Row],[Customer_Info]])-1))</f>
        <v>Laval</v>
      </c>
      <c r="U397" s="8" t="str">
        <f>TRIM(RIGHT(RawSalesTable[[#This Row],[Customer_Info]], LEN(RawSalesTable[[#This Row],[Customer_Info]])-FIND(",",RawSalesTable[[#This Row],[Customer_Info]],FIND(",",RawSalesTable[[#This Row],[Customer_Info]])+1)))</f>
        <v>Consumer</v>
      </c>
      <c r="V397" s="8" t="str">
        <f>VLOOKUP(RawSalesTable[[#This Row],[Product_ID]],ProductsTable[],2,FALSE)</f>
        <v>Mouse</v>
      </c>
      <c r="W397" s="8" t="str">
        <f>VLOOKUP(RawSalesTable[[#This Row],[Product_ID]],ProductsTable[],3,FALSE)</f>
        <v>Electronics</v>
      </c>
      <c r="X397" s="8">
        <f>VLOOKUP(RawSalesTable[[#This Row],[Product_ID]],ProductsTable[],5,FALSE)</f>
        <v>106.4</v>
      </c>
      <c r="Y397" s="8">
        <f>RawSalesTable[[#This Row],[Quantity]]*RawSalesTable[[#This Row],[Unit_Price]]</f>
        <v>153.69999999999999</v>
      </c>
      <c r="Z397" s="8">
        <f>RawSalesTable[[#This Row],[Gross_Sales]]*RawSalesTable[[#This Row],[Discount_Pct]]</f>
        <v>7.6849999999999996</v>
      </c>
      <c r="AA397" s="8">
        <f>RawSalesTable[[#This Row],[Gross_Sales]]-RawSalesTable[[#This Row],[Discount_Amount]]</f>
        <v>146.01499999999999</v>
      </c>
      <c r="AB397" s="8">
        <f>RawSalesTable[[#This Row],[Unit_Cost]]*RawSalesTable[[#This Row],[Quantity]]</f>
        <v>106.4</v>
      </c>
      <c r="AC397" s="8">
        <f>RawSalesTable[[#This Row],[Net_Sales]]-RawSalesTable[[#This Row],[Total_Cost]]</f>
        <v>39.614999999999981</v>
      </c>
      <c r="AD397" s="9">
        <f>RawSalesTable[[#This Row],[Profit]]/RawSalesTable[[#This Row],[Net_Sales]]</f>
        <v>0.27130774235523736</v>
      </c>
      <c r="AE397" s="8">
        <f>IF(RawSalesTable[[#This Row],[Return_Status]]="Yes",1,0)</f>
        <v>0</v>
      </c>
      <c r="AF397" s="8">
        <f>YEAR(RawSalesTable[[#This Row],[Order_Date]])</f>
        <v>2025</v>
      </c>
      <c r="AG397" s="8">
        <f>MONTH(RawSalesTable[[#This Row],[Order_Date]])</f>
        <v>9</v>
      </c>
      <c r="AH397" s="8" t="str">
        <f>TEXT(RawSalesTable[[#This Row],[Order_Date]],"mmmm")</f>
        <v>septembre</v>
      </c>
      <c r="AI397" s="8" t="str">
        <f>IF(RawSalesTable[[#This Row],[Month_Number]]&lt;=3,"Q1",IF(RawSalesTable[[#This Row],[Month_Number]]&lt;=6,"Q2",IF(RawSalesTable[[#This Row],[Month_Number]]&lt;=9,"Q3","Q4")))</f>
        <v>Q3</v>
      </c>
      <c r="AJ397" s="13">
        <f>DATE(YEAR(RawSalesTable[[#This Row],[Order_Date]]),MONTH(RawSalesTable[[#This Row],[Order_Date]]),1)</f>
        <v>45901</v>
      </c>
      <c r="AK397" s="8" t="str">
        <f>VLOOKUP(RawSalesTable[[#This Row],[Customer_ID_clean]],CustomersTable[],4,FALSE)</f>
        <v>Quebec</v>
      </c>
    </row>
    <row r="398" spans="1:37">
      <c r="A398" t="s">
        <v>811</v>
      </c>
      <c r="B398" s="3">
        <v>45678</v>
      </c>
      <c r="C398" t="s">
        <v>243</v>
      </c>
      <c r="D398" t="s">
        <v>323</v>
      </c>
      <c r="E398" t="s">
        <v>245</v>
      </c>
      <c r="F398" t="s">
        <v>111</v>
      </c>
      <c r="G398" t="s">
        <v>122</v>
      </c>
      <c r="H398" t="s">
        <v>89</v>
      </c>
      <c r="I398">
        <v>3</v>
      </c>
      <c r="J398" s="2">
        <v>318.11</v>
      </c>
      <c r="K398" s="4">
        <v>0.05</v>
      </c>
      <c r="L398" t="s">
        <v>106</v>
      </c>
      <c r="M398">
        <v>5</v>
      </c>
      <c r="N398" t="s">
        <v>91</v>
      </c>
      <c r="O398" t="str">
        <f>SUBSTITUTE(PROPER(TRIM(RawSalesTable[[#This Row],[Channel_Raw]])), "Market Place", "Marketplace")</f>
        <v>Online</v>
      </c>
      <c r="P398" t="str">
        <f>TRIM(RawSalesTable[[#This Row],[Store_Raw]])</f>
        <v>Montreal Central</v>
      </c>
      <c r="Q398" t="str">
        <f>IF(TRIM(RawSalesTable[[#This Row],[Payment_Method_Raw]])="","Non renseigné",SUBSTITUTE(TRIM(RawSalesTable[[#This Row],[Payment_Method_Raw]]),"CC","Credit Card"))</f>
        <v>Credit Card</v>
      </c>
      <c r="R398" s="8" t="str">
        <f>UPPER(PROPER(RawSalesTable[[#This Row],[Customer_ID]]))</f>
        <v>C0048</v>
      </c>
      <c r="S398" s="8" t="str">
        <f>TRIM(LEFT(RawSalesTable[[#This Row],[Customer_Info]],FIND(",",RawSalesTable[[#This Row],[Customer_Info]]) -1))</f>
        <v>Amelia Brown</v>
      </c>
      <c r="T398" s="8" t="str">
        <f>TRIM(MID(RawSalesTable[[#This Row],[Customer_Info]],FIND(",",RawSalesTable[[#This Row],[Customer_Info]])+1,FIND(",",RawSalesTable[[#This Row],[Customer_Info]],FIND(",",RawSalesTable[[#This Row],[Customer_Info]])+1)-FIND(",",RawSalesTable[[#This Row],[Customer_Info]])-1))</f>
        <v>Quebec City</v>
      </c>
      <c r="U398" s="8" t="str">
        <f>TRIM(RIGHT(RawSalesTable[[#This Row],[Customer_Info]], LEN(RawSalesTable[[#This Row],[Customer_Info]])-FIND(",",RawSalesTable[[#This Row],[Customer_Info]],FIND(",",RawSalesTable[[#This Row],[Customer_Info]])+1)))</f>
        <v>Corporate</v>
      </c>
      <c r="V398" s="8" t="str">
        <f>VLOOKUP(RawSalesTable[[#This Row],[Product_ID]],ProductsTable[],2,FALSE)</f>
        <v>Toaster</v>
      </c>
      <c r="W398" s="8" t="str">
        <f>VLOOKUP(RawSalesTable[[#This Row],[Product_ID]],ProductsTable[],3,FALSE)</f>
        <v>Home</v>
      </c>
      <c r="X398" s="8">
        <f>VLOOKUP(RawSalesTable[[#This Row],[Product_ID]],ProductsTable[],5,FALSE)</f>
        <v>152.88</v>
      </c>
      <c r="Y398" s="8">
        <f>RawSalesTable[[#This Row],[Quantity]]*RawSalesTable[[#This Row],[Unit_Price]]</f>
        <v>954.33</v>
      </c>
      <c r="Z398" s="8">
        <f>RawSalesTable[[#This Row],[Gross_Sales]]*RawSalesTable[[#This Row],[Discount_Pct]]</f>
        <v>47.716500000000003</v>
      </c>
      <c r="AA398" s="8">
        <f>RawSalesTable[[#This Row],[Gross_Sales]]-RawSalesTable[[#This Row],[Discount_Amount]]</f>
        <v>906.61350000000004</v>
      </c>
      <c r="AB398" s="8">
        <f>RawSalesTable[[#This Row],[Unit_Cost]]*RawSalesTable[[#This Row],[Quantity]]</f>
        <v>458.64</v>
      </c>
      <c r="AC398" s="8">
        <f>RawSalesTable[[#This Row],[Net_Sales]]-RawSalesTable[[#This Row],[Total_Cost]]</f>
        <v>447.97350000000006</v>
      </c>
      <c r="AD398" s="9">
        <f>RawSalesTable[[#This Row],[Profit]]/RawSalesTable[[#This Row],[Net_Sales]]</f>
        <v>0.49411739401630356</v>
      </c>
      <c r="AE398" s="8">
        <f>IF(RawSalesTable[[#This Row],[Return_Status]]="Yes",1,0)</f>
        <v>0</v>
      </c>
      <c r="AF398" s="8">
        <f>YEAR(RawSalesTable[[#This Row],[Order_Date]])</f>
        <v>2025</v>
      </c>
      <c r="AG398" s="8">
        <f>MONTH(RawSalesTable[[#This Row],[Order_Date]])</f>
        <v>1</v>
      </c>
      <c r="AH398" s="8" t="str">
        <f>TEXT(RawSalesTable[[#This Row],[Order_Date]],"mmmm")</f>
        <v>janvier</v>
      </c>
      <c r="AI398" s="8" t="str">
        <f>IF(RawSalesTable[[#This Row],[Month_Number]]&lt;=3,"Q1",IF(RawSalesTable[[#This Row],[Month_Number]]&lt;=6,"Q2",IF(RawSalesTable[[#This Row],[Month_Number]]&lt;=9,"Q3","Q4")))</f>
        <v>Q1</v>
      </c>
      <c r="AJ398" s="13">
        <f>DATE(YEAR(RawSalesTable[[#This Row],[Order_Date]]),MONTH(RawSalesTable[[#This Row],[Order_Date]]),1)</f>
        <v>45658</v>
      </c>
      <c r="AK398" s="8" t="str">
        <f>VLOOKUP(RawSalesTable[[#This Row],[Customer_ID_clean]],CustomersTable[],4,FALSE)</f>
        <v>Quebec</v>
      </c>
    </row>
    <row r="399" spans="1:37">
      <c r="A399" t="s">
        <v>812</v>
      </c>
      <c r="B399" s="3">
        <v>45862</v>
      </c>
      <c r="C399" t="s">
        <v>564</v>
      </c>
      <c r="D399" t="s">
        <v>271</v>
      </c>
      <c r="E399" t="s">
        <v>565</v>
      </c>
      <c r="F399" t="s">
        <v>116</v>
      </c>
      <c r="G399" t="s">
        <v>183</v>
      </c>
      <c r="H399" t="s">
        <v>89</v>
      </c>
      <c r="I399">
        <v>2</v>
      </c>
      <c r="J399" s="2">
        <v>213.53</v>
      </c>
      <c r="K399" s="4">
        <v>0.15</v>
      </c>
      <c r="L399" t="s">
        <v>90</v>
      </c>
      <c r="M399">
        <v>7</v>
      </c>
      <c r="N399" t="s">
        <v>91</v>
      </c>
      <c r="O399" t="str">
        <f>SUBSTITUTE(PROPER(TRIM(RawSalesTable[[#This Row],[Channel_Raw]])), "Market Place", "Marketplace")</f>
        <v>Online</v>
      </c>
      <c r="P399" t="str">
        <f>TRIM(RawSalesTable[[#This Row],[Store_Raw]])</f>
        <v>Toronto Downtown</v>
      </c>
      <c r="Q399" t="str">
        <f>IF(TRIM(RawSalesTable[[#This Row],[Payment_Method_Raw]])="","Non renseigné",SUBSTITUTE(TRIM(RawSalesTable[[#This Row],[Payment_Method_Raw]]),"CC","Credit Card"))</f>
        <v>PayPal</v>
      </c>
      <c r="R399" s="8" t="str">
        <f>UPPER(PROPER(RawSalesTable[[#This Row],[Customer_ID]]))</f>
        <v>C0095</v>
      </c>
      <c r="S399" s="8" t="str">
        <f>TRIM(LEFT(RawSalesTable[[#This Row],[Customer_Info]],FIND(",",RawSalesTable[[#This Row],[Customer_Info]]) -1))</f>
        <v>Maya White</v>
      </c>
      <c r="T399" s="8" t="str">
        <f>TRIM(MID(RawSalesTable[[#This Row],[Customer_Info]],FIND(",",RawSalesTable[[#This Row],[Customer_Info]])+1,FIND(",",RawSalesTable[[#This Row],[Customer_Info]],FIND(",",RawSalesTable[[#This Row],[Customer_Info]])+1)-FIND(",",RawSalesTable[[#This Row],[Customer_Info]])-1))</f>
        <v>Quebec City</v>
      </c>
      <c r="U399" s="8" t="str">
        <f>TRIM(RIGHT(RawSalesTable[[#This Row],[Customer_Info]], LEN(RawSalesTable[[#This Row],[Customer_Info]])-FIND(",",RawSalesTable[[#This Row],[Customer_Info]],FIND(",",RawSalesTable[[#This Row],[Customer_Info]])+1)))</f>
        <v>Corporate</v>
      </c>
      <c r="V399" s="8" t="str">
        <f>VLOOKUP(RawSalesTable[[#This Row],[Product_ID]],ProductsTable[],2,FALSE)</f>
        <v>Resistance Bands</v>
      </c>
      <c r="W399" s="8" t="str">
        <f>VLOOKUP(RawSalesTable[[#This Row],[Product_ID]],ProductsTable[],3,FALSE)</f>
        <v>Fitness</v>
      </c>
      <c r="X399" s="8">
        <f>VLOOKUP(RawSalesTable[[#This Row],[Product_ID]],ProductsTable[],5,FALSE)</f>
        <v>139.19999999999999</v>
      </c>
      <c r="Y399" s="8">
        <f>RawSalesTable[[#This Row],[Quantity]]*RawSalesTable[[#This Row],[Unit_Price]]</f>
        <v>427.06</v>
      </c>
      <c r="Z399" s="8">
        <f>RawSalesTable[[#This Row],[Gross_Sales]]*RawSalesTable[[#This Row],[Discount_Pct]]</f>
        <v>64.058999999999997</v>
      </c>
      <c r="AA399" s="8">
        <f>RawSalesTable[[#This Row],[Gross_Sales]]-RawSalesTable[[#This Row],[Discount_Amount]]</f>
        <v>363.00099999999998</v>
      </c>
      <c r="AB399" s="8">
        <f>RawSalesTable[[#This Row],[Unit_Cost]]*RawSalesTable[[#This Row],[Quantity]]</f>
        <v>278.39999999999998</v>
      </c>
      <c r="AC399" s="8">
        <f>RawSalesTable[[#This Row],[Net_Sales]]-RawSalesTable[[#This Row],[Total_Cost]]</f>
        <v>84.600999999999999</v>
      </c>
      <c r="AD399" s="9">
        <f>RawSalesTable[[#This Row],[Profit]]/RawSalesTable[[#This Row],[Net_Sales]]</f>
        <v>0.23305996402213769</v>
      </c>
      <c r="AE399" s="8">
        <f>IF(RawSalesTable[[#This Row],[Return_Status]]="Yes",1,0)</f>
        <v>0</v>
      </c>
      <c r="AF399" s="8">
        <f>YEAR(RawSalesTable[[#This Row],[Order_Date]])</f>
        <v>2025</v>
      </c>
      <c r="AG399" s="8">
        <f>MONTH(RawSalesTable[[#This Row],[Order_Date]])</f>
        <v>7</v>
      </c>
      <c r="AH399" s="8" t="str">
        <f>TEXT(RawSalesTable[[#This Row],[Order_Date]],"mmmm")</f>
        <v>juillet</v>
      </c>
      <c r="AI399" s="8" t="str">
        <f>IF(RawSalesTable[[#This Row],[Month_Number]]&lt;=3,"Q1",IF(RawSalesTable[[#This Row],[Month_Number]]&lt;=6,"Q2",IF(RawSalesTable[[#This Row],[Month_Number]]&lt;=9,"Q3","Q4")))</f>
        <v>Q3</v>
      </c>
      <c r="AJ399" s="13">
        <f>DATE(YEAR(RawSalesTable[[#This Row],[Order_Date]]),MONTH(RawSalesTable[[#This Row],[Order_Date]]),1)</f>
        <v>45839</v>
      </c>
      <c r="AK399" s="8" t="str">
        <f>VLOOKUP(RawSalesTable[[#This Row],[Customer_ID_clean]],CustomersTable[],4,FALSE)</f>
        <v>Quebec</v>
      </c>
    </row>
    <row r="400" spans="1:37">
      <c r="A400" t="s">
        <v>813</v>
      </c>
      <c r="B400" s="3">
        <v>46018</v>
      </c>
      <c r="C400" t="s">
        <v>472</v>
      </c>
      <c r="D400" t="s">
        <v>252</v>
      </c>
      <c r="E400" t="s">
        <v>473</v>
      </c>
      <c r="F400" t="s">
        <v>87</v>
      </c>
      <c r="G400" t="s">
        <v>130</v>
      </c>
      <c r="H400" t="s">
        <v>89</v>
      </c>
      <c r="I400">
        <v>2</v>
      </c>
      <c r="J400" s="2">
        <v>266.48</v>
      </c>
      <c r="K400" s="4">
        <v>0.05</v>
      </c>
      <c r="L400" t="s">
        <v>98</v>
      </c>
      <c r="M400">
        <v>6</v>
      </c>
      <c r="N400" t="s">
        <v>91</v>
      </c>
      <c r="O400" t="str">
        <f>SUBSTITUTE(PROPER(TRIM(RawSalesTable[[#This Row],[Channel_Raw]])), "Market Place", "Marketplace")</f>
        <v>Online</v>
      </c>
      <c r="P400" t="str">
        <f>TRIM(RawSalesTable[[#This Row],[Store_Raw]])</f>
        <v>Online Fulfillment</v>
      </c>
      <c r="Q400" t="str">
        <f>IF(TRIM(RawSalesTable[[#This Row],[Payment_Method_Raw]])="","Non renseigné",SUBSTITUTE(TRIM(RawSalesTable[[#This Row],[Payment_Method_Raw]]),"CC","Credit Card"))</f>
        <v>Debit Card</v>
      </c>
      <c r="R400" s="8" t="str">
        <f>UPPER(PROPER(RawSalesTable[[#This Row],[Customer_ID]]))</f>
        <v>C0018</v>
      </c>
      <c r="S400" s="8" t="str">
        <f>TRIM(LEFT(RawSalesTable[[#This Row],[Customer_Info]],FIND(",",RawSalesTable[[#This Row],[Customer_Info]]) -1))</f>
        <v>Sophia Tremblay</v>
      </c>
      <c r="T400" s="8" t="str">
        <f>TRIM(MID(RawSalesTable[[#This Row],[Customer_Info]],FIND(",",RawSalesTable[[#This Row],[Customer_Info]])+1,FIND(",",RawSalesTable[[#This Row],[Customer_Info]],FIND(",",RawSalesTable[[#This Row],[Customer_Info]])+1)-FIND(",",RawSalesTable[[#This Row],[Customer_Info]])-1))</f>
        <v>Laval</v>
      </c>
      <c r="U400" s="8" t="str">
        <f>TRIM(RIGHT(RawSalesTable[[#This Row],[Customer_Info]], LEN(RawSalesTable[[#This Row],[Customer_Info]])-FIND(",",RawSalesTable[[#This Row],[Customer_Info]],FIND(",",RawSalesTable[[#This Row],[Customer_Info]])+1)))</f>
        <v>Small Business</v>
      </c>
      <c r="V400" s="8" t="str">
        <f>VLOOKUP(RawSalesTable[[#This Row],[Product_ID]],ProductsTable[],2,FALSE)</f>
        <v>Vacuum</v>
      </c>
      <c r="W400" s="8" t="str">
        <f>VLOOKUP(RawSalesTable[[#This Row],[Product_ID]],ProductsTable[],3,FALSE)</f>
        <v>Home</v>
      </c>
      <c r="X400" s="8">
        <f>VLOOKUP(RawSalesTable[[#This Row],[Product_ID]],ProductsTable[],5,FALSE)</f>
        <v>186.94</v>
      </c>
      <c r="Y400" s="8">
        <f>RawSalesTable[[#This Row],[Quantity]]*RawSalesTable[[#This Row],[Unit_Price]]</f>
        <v>532.96</v>
      </c>
      <c r="Z400" s="8">
        <f>RawSalesTable[[#This Row],[Gross_Sales]]*RawSalesTable[[#This Row],[Discount_Pct]]</f>
        <v>26.648000000000003</v>
      </c>
      <c r="AA400" s="8">
        <f>RawSalesTable[[#This Row],[Gross_Sales]]-RawSalesTable[[#This Row],[Discount_Amount]]</f>
        <v>506.31200000000001</v>
      </c>
      <c r="AB400" s="8">
        <f>RawSalesTable[[#This Row],[Unit_Cost]]*RawSalesTable[[#This Row],[Quantity]]</f>
        <v>373.88</v>
      </c>
      <c r="AC400" s="8">
        <f>RawSalesTable[[#This Row],[Net_Sales]]-RawSalesTable[[#This Row],[Total_Cost]]</f>
        <v>132.43200000000002</v>
      </c>
      <c r="AD400" s="9">
        <f>RawSalesTable[[#This Row],[Profit]]/RawSalesTable[[#This Row],[Net_Sales]]</f>
        <v>0.26156204079697898</v>
      </c>
      <c r="AE400" s="8">
        <f>IF(RawSalesTable[[#This Row],[Return_Status]]="Yes",1,0)</f>
        <v>0</v>
      </c>
      <c r="AF400" s="8">
        <f>YEAR(RawSalesTable[[#This Row],[Order_Date]])</f>
        <v>2025</v>
      </c>
      <c r="AG400" s="8">
        <f>MONTH(RawSalesTable[[#This Row],[Order_Date]])</f>
        <v>12</v>
      </c>
      <c r="AH400" s="8" t="str">
        <f>TEXT(RawSalesTable[[#This Row],[Order_Date]],"mmmm")</f>
        <v>décembre</v>
      </c>
      <c r="AI400" s="8" t="str">
        <f>IF(RawSalesTable[[#This Row],[Month_Number]]&lt;=3,"Q1",IF(RawSalesTable[[#This Row],[Month_Number]]&lt;=6,"Q2",IF(RawSalesTable[[#This Row],[Month_Number]]&lt;=9,"Q3","Q4")))</f>
        <v>Q4</v>
      </c>
      <c r="AJ400" s="13">
        <f>DATE(YEAR(RawSalesTable[[#This Row],[Order_Date]]),MONTH(RawSalesTable[[#This Row],[Order_Date]]),1)</f>
        <v>45992</v>
      </c>
      <c r="AK400" s="8" t="str">
        <f>VLOOKUP(RawSalesTable[[#This Row],[Customer_ID_clean]],CustomersTable[],4,FALSE)</f>
        <v>Quebec</v>
      </c>
    </row>
    <row r="401" spans="1:37">
      <c r="A401" t="s">
        <v>814</v>
      </c>
      <c r="B401" s="3">
        <v>45952</v>
      </c>
      <c r="C401" t="s">
        <v>290</v>
      </c>
      <c r="D401" t="s">
        <v>418</v>
      </c>
      <c r="E401" t="s">
        <v>732</v>
      </c>
      <c r="F401" t="s">
        <v>87</v>
      </c>
      <c r="G401" t="s">
        <v>183</v>
      </c>
      <c r="H401" t="s">
        <v>89</v>
      </c>
      <c r="I401">
        <v>1</v>
      </c>
      <c r="J401" s="2">
        <v>373.1</v>
      </c>
      <c r="K401" s="4">
        <v>0.1</v>
      </c>
      <c r="L401" t="s">
        <v>98</v>
      </c>
      <c r="M401">
        <v>9</v>
      </c>
      <c r="N401" t="s">
        <v>91</v>
      </c>
      <c r="O401" t="str">
        <f>SUBSTITUTE(PROPER(TRIM(RawSalesTable[[#This Row],[Channel_Raw]])), "Market Place", "Marketplace")</f>
        <v>Online</v>
      </c>
      <c r="P401" t="str">
        <f>TRIM(RawSalesTable[[#This Row],[Store_Raw]])</f>
        <v>Online Fulfillment</v>
      </c>
      <c r="Q401" t="str">
        <f>IF(TRIM(RawSalesTable[[#This Row],[Payment_Method_Raw]])="","Non renseigné",SUBSTITUTE(TRIM(RawSalesTable[[#This Row],[Payment_Method_Raw]]),"CC","Credit Card"))</f>
        <v>Debit Card</v>
      </c>
      <c r="R401" s="8" t="str">
        <f>UPPER(PROPER(RawSalesTable[[#This Row],[Customer_ID]]))</f>
        <v>C0116</v>
      </c>
      <c r="S401" s="8" t="str">
        <f>TRIM(LEFT(RawSalesTable[[#This Row],[Customer_Info]],FIND(",",RawSalesTable[[#This Row],[Customer_Info]]) -1))</f>
        <v>Lucas Brown</v>
      </c>
      <c r="T401" s="8" t="str">
        <f>TRIM(MID(RawSalesTable[[#This Row],[Customer_Info]],FIND(",",RawSalesTable[[#This Row],[Customer_Info]])+1,FIND(",",RawSalesTable[[#This Row],[Customer_Info]],FIND(",",RawSalesTable[[#This Row],[Customer_Info]])+1)-FIND(",",RawSalesTable[[#This Row],[Customer_Info]])-1))</f>
        <v>Mississauga</v>
      </c>
      <c r="U401" s="8" t="str">
        <f>TRIM(RIGHT(RawSalesTable[[#This Row],[Customer_Info]], LEN(RawSalesTable[[#This Row],[Customer_Info]])-FIND(",",RawSalesTable[[#This Row],[Customer_Info]],FIND(",",RawSalesTable[[#This Row],[Customer_Info]])+1)))</f>
        <v>Corporate</v>
      </c>
      <c r="V401" s="8" t="str">
        <f>VLOOKUP(RawSalesTable[[#This Row],[Product_ID]],ProductsTable[],2,FALSE)</f>
        <v>Foam Roller</v>
      </c>
      <c r="W401" s="8" t="str">
        <f>VLOOKUP(RawSalesTable[[#This Row],[Product_ID]],ProductsTable[],3,FALSE)</f>
        <v>Fitness</v>
      </c>
      <c r="X401" s="8">
        <f>VLOOKUP(RawSalesTable[[#This Row],[Product_ID]],ProductsTable[],5,FALSE)</f>
        <v>212.02</v>
      </c>
      <c r="Y401" s="8">
        <f>RawSalesTable[[#This Row],[Quantity]]*RawSalesTable[[#This Row],[Unit_Price]]</f>
        <v>373.1</v>
      </c>
      <c r="Z401" s="8">
        <f>RawSalesTable[[#This Row],[Gross_Sales]]*RawSalesTable[[#This Row],[Discount_Pct]]</f>
        <v>37.31</v>
      </c>
      <c r="AA401" s="8">
        <f>RawSalesTable[[#This Row],[Gross_Sales]]-RawSalesTable[[#This Row],[Discount_Amount]]</f>
        <v>335.79</v>
      </c>
      <c r="AB401" s="8">
        <f>RawSalesTable[[#This Row],[Unit_Cost]]*RawSalesTable[[#This Row],[Quantity]]</f>
        <v>212.02</v>
      </c>
      <c r="AC401" s="8">
        <f>RawSalesTable[[#This Row],[Net_Sales]]-RawSalesTable[[#This Row],[Total_Cost]]</f>
        <v>123.77000000000001</v>
      </c>
      <c r="AD401" s="9">
        <f>RawSalesTable[[#This Row],[Profit]]/RawSalesTable[[#This Row],[Net_Sales]]</f>
        <v>0.36859346615444177</v>
      </c>
      <c r="AE401" s="8">
        <f>IF(RawSalesTable[[#This Row],[Return_Status]]="Yes",1,0)</f>
        <v>0</v>
      </c>
      <c r="AF401" s="8">
        <f>YEAR(RawSalesTable[[#This Row],[Order_Date]])</f>
        <v>2025</v>
      </c>
      <c r="AG401" s="8">
        <f>MONTH(RawSalesTable[[#This Row],[Order_Date]])</f>
        <v>10</v>
      </c>
      <c r="AH401" s="8" t="str">
        <f>TEXT(RawSalesTable[[#This Row],[Order_Date]],"mmmm")</f>
        <v>octobre</v>
      </c>
      <c r="AI401" s="8" t="str">
        <f>IF(RawSalesTable[[#This Row],[Month_Number]]&lt;=3,"Q1",IF(RawSalesTable[[#This Row],[Month_Number]]&lt;=6,"Q2",IF(RawSalesTable[[#This Row],[Month_Number]]&lt;=9,"Q3","Q4")))</f>
        <v>Q4</v>
      </c>
      <c r="AJ401" s="13">
        <f>DATE(YEAR(RawSalesTable[[#This Row],[Order_Date]]),MONTH(RawSalesTable[[#This Row],[Order_Date]]),1)</f>
        <v>45931</v>
      </c>
      <c r="AK401" s="8" t="str">
        <f>VLOOKUP(RawSalesTable[[#This Row],[Customer_ID_clean]],CustomersTable[],4,FALSE)</f>
        <v>Ontario</v>
      </c>
    </row>
    <row r="402" spans="1:37">
      <c r="A402" t="s">
        <v>815</v>
      </c>
      <c r="B402" s="3">
        <v>45740</v>
      </c>
      <c r="C402" t="s">
        <v>197</v>
      </c>
      <c r="D402" t="s">
        <v>157</v>
      </c>
      <c r="E402" t="s">
        <v>198</v>
      </c>
      <c r="F402" t="s">
        <v>116</v>
      </c>
      <c r="G402" t="s">
        <v>96</v>
      </c>
      <c r="H402" t="s">
        <v>97</v>
      </c>
      <c r="I402">
        <v>4</v>
      </c>
      <c r="J402" s="2">
        <v>285.99</v>
      </c>
      <c r="K402" s="4">
        <v>0</v>
      </c>
      <c r="L402" t="s">
        <v>106</v>
      </c>
      <c r="M402">
        <v>2</v>
      </c>
      <c r="N402" t="s">
        <v>91</v>
      </c>
      <c r="O402" t="str">
        <f>SUBSTITUTE(PROPER(TRIM(RawSalesTable[[#This Row],[Channel_Raw]])), "Market Place", "Marketplace")</f>
        <v>Retail Store</v>
      </c>
      <c r="P402" t="str">
        <f>TRIM(RawSalesTable[[#This Row],[Store_Raw]])</f>
        <v>Toronto Downtown</v>
      </c>
      <c r="Q402" t="str">
        <f>IF(TRIM(RawSalesTable[[#This Row],[Payment_Method_Raw]])="","Non renseigné",SUBSTITUTE(TRIM(RawSalesTable[[#This Row],[Payment_Method_Raw]]),"CC","Credit Card"))</f>
        <v>Credit Card</v>
      </c>
      <c r="R402" s="8" t="str">
        <f>UPPER(PROPER(RawSalesTable[[#This Row],[Customer_ID]]))</f>
        <v>C0091</v>
      </c>
      <c r="S402" s="8" t="str">
        <f>TRIM(LEFT(RawSalesTable[[#This Row],[Customer_Info]],FIND(",",RawSalesTable[[#This Row],[Customer_Info]]) -1))</f>
        <v>Leo Taylor</v>
      </c>
      <c r="T402" s="8" t="str">
        <f>TRIM(MID(RawSalesTable[[#This Row],[Customer_Info]],FIND(",",RawSalesTable[[#This Row],[Customer_Info]])+1,FIND(",",RawSalesTable[[#This Row],[Customer_Info]],FIND(",",RawSalesTable[[#This Row],[Customer_Info]])+1)-FIND(",",RawSalesTable[[#This Row],[Customer_Info]])-1))</f>
        <v>Victoria</v>
      </c>
      <c r="U402" s="8" t="str">
        <f>TRIM(RIGHT(RawSalesTable[[#This Row],[Customer_Info]], LEN(RawSalesTable[[#This Row],[Customer_Info]])-FIND(",",RawSalesTable[[#This Row],[Customer_Info]],FIND(",",RawSalesTable[[#This Row],[Customer_Info]])+1)))</f>
        <v>Small Business</v>
      </c>
      <c r="V402" s="8" t="str">
        <f>VLOOKUP(RawSalesTable[[#This Row],[Product_ID]],ProductsTable[],2,FALSE)</f>
        <v>Notebook</v>
      </c>
      <c r="W402" s="8" t="str">
        <f>VLOOKUP(RawSalesTable[[#This Row],[Product_ID]],ProductsTable[],3,FALSE)</f>
        <v>Office</v>
      </c>
      <c r="X402" s="8">
        <f>VLOOKUP(RawSalesTable[[#This Row],[Product_ID]],ProductsTable[],5,FALSE)</f>
        <v>176.13</v>
      </c>
      <c r="Y402" s="8">
        <f>RawSalesTable[[#This Row],[Quantity]]*RawSalesTable[[#This Row],[Unit_Price]]</f>
        <v>1143.96</v>
      </c>
      <c r="Z402" s="8">
        <f>RawSalesTable[[#This Row],[Gross_Sales]]*RawSalesTable[[#This Row],[Discount_Pct]]</f>
        <v>0</v>
      </c>
      <c r="AA402" s="8">
        <f>RawSalesTable[[#This Row],[Gross_Sales]]-RawSalesTable[[#This Row],[Discount_Amount]]</f>
        <v>1143.96</v>
      </c>
      <c r="AB402" s="8">
        <f>RawSalesTable[[#This Row],[Unit_Cost]]*RawSalesTable[[#This Row],[Quantity]]</f>
        <v>704.52</v>
      </c>
      <c r="AC402" s="8">
        <f>RawSalesTable[[#This Row],[Net_Sales]]-RawSalesTable[[#This Row],[Total_Cost]]</f>
        <v>439.44000000000005</v>
      </c>
      <c r="AD402" s="9">
        <f>RawSalesTable[[#This Row],[Profit]]/RawSalesTable[[#This Row],[Net_Sales]]</f>
        <v>0.38413930557012488</v>
      </c>
      <c r="AE402" s="8">
        <f>IF(RawSalesTable[[#This Row],[Return_Status]]="Yes",1,0)</f>
        <v>0</v>
      </c>
      <c r="AF402" s="8">
        <f>YEAR(RawSalesTable[[#This Row],[Order_Date]])</f>
        <v>2025</v>
      </c>
      <c r="AG402" s="8">
        <f>MONTH(RawSalesTable[[#This Row],[Order_Date]])</f>
        <v>3</v>
      </c>
      <c r="AH402" s="8" t="str">
        <f>TEXT(RawSalesTable[[#This Row],[Order_Date]],"mmmm")</f>
        <v>mars</v>
      </c>
      <c r="AI402" s="8" t="str">
        <f>IF(RawSalesTable[[#This Row],[Month_Number]]&lt;=3,"Q1",IF(RawSalesTable[[#This Row],[Month_Number]]&lt;=6,"Q2",IF(RawSalesTable[[#This Row],[Month_Number]]&lt;=9,"Q3","Q4")))</f>
        <v>Q1</v>
      </c>
      <c r="AJ402" s="13">
        <f>DATE(YEAR(RawSalesTable[[#This Row],[Order_Date]]),MONTH(RawSalesTable[[#This Row],[Order_Date]]),1)</f>
        <v>45717</v>
      </c>
      <c r="AK402" s="8" t="str">
        <f>VLOOKUP(RawSalesTable[[#This Row],[Customer_ID_clean]],CustomersTable[],4,FALSE)</f>
        <v>British Columbia</v>
      </c>
    </row>
    <row r="403" spans="1:37">
      <c r="A403" t="s">
        <v>816</v>
      </c>
      <c r="B403" s="3">
        <v>45786</v>
      </c>
      <c r="C403" t="s">
        <v>487</v>
      </c>
      <c r="D403" t="s">
        <v>277</v>
      </c>
      <c r="E403" t="s">
        <v>806</v>
      </c>
      <c r="F403" t="s">
        <v>103</v>
      </c>
      <c r="G403" t="s">
        <v>117</v>
      </c>
      <c r="H403" t="s">
        <v>97</v>
      </c>
      <c r="I403">
        <v>4</v>
      </c>
      <c r="J403" s="2">
        <v>392.12</v>
      </c>
      <c r="K403" s="4">
        <v>0.2</v>
      </c>
      <c r="L403" t="s">
        <v>90</v>
      </c>
      <c r="M403">
        <v>1</v>
      </c>
      <c r="N403" t="s">
        <v>91</v>
      </c>
      <c r="O403" t="str">
        <f>SUBSTITUTE(PROPER(TRIM(RawSalesTable[[#This Row],[Channel_Raw]])), "Market Place", "Marketplace")</f>
        <v>Retail Store</v>
      </c>
      <c r="P403" t="str">
        <f>TRIM(RawSalesTable[[#This Row],[Store_Raw]])</f>
        <v>Vancouver West</v>
      </c>
      <c r="Q403" t="str">
        <f>IF(TRIM(RawSalesTable[[#This Row],[Payment_Method_Raw]])="","Non renseigné",SUBSTITUTE(TRIM(RawSalesTable[[#This Row],[Payment_Method_Raw]]),"CC","Credit Card"))</f>
        <v>PayPal</v>
      </c>
      <c r="R403" s="8" t="str">
        <f>UPPER(PROPER(RawSalesTable[[#This Row],[Customer_ID]]))</f>
        <v>C0105</v>
      </c>
      <c r="S403" s="8" t="str">
        <f>TRIM(LEFT(RawSalesTable[[#This Row],[Customer_Info]],FIND(",",RawSalesTable[[#This Row],[Customer_Info]]) -1))</f>
        <v>Liam Martin</v>
      </c>
      <c r="T403" s="8" t="str">
        <f>TRIM(MID(RawSalesTable[[#This Row],[Customer_Info]],FIND(",",RawSalesTable[[#This Row],[Customer_Info]])+1,FIND(",",RawSalesTable[[#This Row],[Customer_Info]],FIND(",",RawSalesTable[[#This Row],[Customer_Info]])+1)-FIND(",",RawSalesTable[[#This Row],[Customer_Info]])-1))</f>
        <v>Calgary</v>
      </c>
      <c r="U403" s="8" t="str">
        <f>TRIM(RIGHT(RawSalesTable[[#This Row],[Customer_Info]], LEN(RawSalesTable[[#This Row],[Customer_Info]])-FIND(",",RawSalesTable[[#This Row],[Customer_Info]],FIND(",",RawSalesTable[[#This Row],[Customer_Info]])+1)))</f>
        <v>Consumer</v>
      </c>
      <c r="V403" s="8" t="str">
        <f>VLOOKUP(RawSalesTable[[#This Row],[Product_ID]],ProductsTable[],2,FALSE)</f>
        <v>Headphones</v>
      </c>
      <c r="W403" s="8" t="str">
        <f>VLOOKUP(RawSalesTable[[#This Row],[Product_ID]],ProductsTable[],3,FALSE)</f>
        <v>Electronics</v>
      </c>
      <c r="X403" s="8">
        <f>VLOOKUP(RawSalesTable[[#This Row],[Product_ID]],ProductsTable[],5,FALSE)</f>
        <v>254.6</v>
      </c>
      <c r="Y403" s="8">
        <f>RawSalesTable[[#This Row],[Quantity]]*RawSalesTable[[#This Row],[Unit_Price]]</f>
        <v>1568.48</v>
      </c>
      <c r="Z403" s="8">
        <f>RawSalesTable[[#This Row],[Gross_Sales]]*RawSalesTable[[#This Row],[Discount_Pct]]</f>
        <v>313.69600000000003</v>
      </c>
      <c r="AA403" s="8">
        <f>RawSalesTable[[#This Row],[Gross_Sales]]-RawSalesTable[[#This Row],[Discount_Amount]]</f>
        <v>1254.7840000000001</v>
      </c>
      <c r="AB403" s="8">
        <f>RawSalesTable[[#This Row],[Unit_Cost]]*RawSalesTable[[#This Row],[Quantity]]</f>
        <v>1018.4</v>
      </c>
      <c r="AC403" s="8">
        <f>RawSalesTable[[#This Row],[Net_Sales]]-RawSalesTable[[#This Row],[Total_Cost]]</f>
        <v>236.38400000000013</v>
      </c>
      <c r="AD403" s="9">
        <f>RawSalesTable[[#This Row],[Profit]]/RawSalesTable[[#This Row],[Net_Sales]]</f>
        <v>0.18838620830358063</v>
      </c>
      <c r="AE403" s="8">
        <f>IF(RawSalesTable[[#This Row],[Return_Status]]="Yes",1,0)</f>
        <v>0</v>
      </c>
      <c r="AF403" s="8">
        <f>YEAR(RawSalesTable[[#This Row],[Order_Date]])</f>
        <v>2025</v>
      </c>
      <c r="AG403" s="8">
        <f>MONTH(RawSalesTable[[#This Row],[Order_Date]])</f>
        <v>5</v>
      </c>
      <c r="AH403" s="8" t="str">
        <f>TEXT(RawSalesTable[[#This Row],[Order_Date]],"mmmm")</f>
        <v>mai</v>
      </c>
      <c r="AI403" s="8" t="str">
        <f>IF(RawSalesTable[[#This Row],[Month_Number]]&lt;=3,"Q1",IF(RawSalesTable[[#This Row],[Month_Number]]&lt;=6,"Q2",IF(RawSalesTable[[#This Row],[Month_Number]]&lt;=9,"Q3","Q4")))</f>
        <v>Q2</v>
      </c>
      <c r="AJ403" s="13">
        <f>DATE(YEAR(RawSalesTable[[#This Row],[Order_Date]]),MONTH(RawSalesTable[[#This Row],[Order_Date]]),1)</f>
        <v>45778</v>
      </c>
      <c r="AK403" s="8" t="str">
        <f>VLOOKUP(RawSalesTable[[#This Row],[Customer_ID_clean]],CustomersTable[],4,FALSE)</f>
        <v>Alberta</v>
      </c>
    </row>
    <row r="404" spans="1:37">
      <c r="A404" t="s">
        <v>817</v>
      </c>
      <c r="B404" s="3">
        <v>45881</v>
      </c>
      <c r="C404" t="s">
        <v>396</v>
      </c>
      <c r="D404" t="s">
        <v>139</v>
      </c>
      <c r="E404" t="s">
        <v>397</v>
      </c>
      <c r="F404" t="s">
        <v>111</v>
      </c>
      <c r="G404" t="s">
        <v>171</v>
      </c>
      <c r="H404" t="s">
        <v>89</v>
      </c>
      <c r="I404">
        <v>1</v>
      </c>
      <c r="J404" s="2">
        <v>84.27</v>
      </c>
      <c r="K404" s="4">
        <v>0.1</v>
      </c>
      <c r="M404">
        <v>8</v>
      </c>
      <c r="N404" t="s">
        <v>91</v>
      </c>
      <c r="O404" t="str">
        <f>SUBSTITUTE(PROPER(TRIM(RawSalesTable[[#This Row],[Channel_Raw]])), "Market Place", "Marketplace")</f>
        <v>Online</v>
      </c>
      <c r="P404" t="str">
        <f>TRIM(RawSalesTable[[#This Row],[Store_Raw]])</f>
        <v>Montreal Central</v>
      </c>
      <c r="Q404" t="str">
        <f>IF(TRIM(RawSalesTable[[#This Row],[Payment_Method_Raw]])="","Non renseigné",SUBSTITUTE(TRIM(RawSalesTable[[#This Row],[Payment_Method_Raw]]),"CC","Credit Card"))</f>
        <v>Non renseigné</v>
      </c>
      <c r="R404" s="8" t="str">
        <f>UPPER(PROPER(RawSalesTable[[#This Row],[Customer_ID]]))</f>
        <v>C0058</v>
      </c>
      <c r="S404" s="8" t="str">
        <f>TRIM(LEFT(RawSalesTable[[#This Row],[Customer_Info]],FIND(",",RawSalesTable[[#This Row],[Customer_Info]]) -1))</f>
        <v>Mia Singh</v>
      </c>
      <c r="T404" s="8" t="str">
        <f>TRIM(MID(RawSalesTable[[#This Row],[Customer_Info]],FIND(",",RawSalesTable[[#This Row],[Customer_Info]])+1,FIND(",",RawSalesTable[[#This Row],[Customer_Info]],FIND(",",RawSalesTable[[#This Row],[Customer_Info]])+1)-FIND(",",RawSalesTable[[#This Row],[Customer_Info]])-1))</f>
        <v>Laval</v>
      </c>
      <c r="U404" s="8" t="str">
        <f>TRIM(RIGHT(RawSalesTable[[#This Row],[Customer_Info]], LEN(RawSalesTable[[#This Row],[Customer_Info]])-FIND(",",RawSalesTable[[#This Row],[Customer_Info]],FIND(",",RawSalesTable[[#This Row],[Customer_Info]])+1)))</f>
        <v>Consumer</v>
      </c>
      <c r="V404" s="8" t="str">
        <f>VLOOKUP(RawSalesTable[[#This Row],[Product_ID]],ProductsTable[],2,FALSE)</f>
        <v>Standing Desk</v>
      </c>
      <c r="W404" s="8" t="str">
        <f>VLOOKUP(RawSalesTable[[#This Row],[Product_ID]],ProductsTable[],3,FALSE)</f>
        <v>Office</v>
      </c>
      <c r="X404" s="8">
        <f>VLOOKUP(RawSalesTable[[#This Row],[Product_ID]],ProductsTable[],5,FALSE)</f>
        <v>45.17</v>
      </c>
      <c r="Y404" s="8">
        <f>RawSalesTable[[#This Row],[Quantity]]*RawSalesTable[[#This Row],[Unit_Price]]</f>
        <v>84.27</v>
      </c>
      <c r="Z404" s="8">
        <f>RawSalesTable[[#This Row],[Gross_Sales]]*RawSalesTable[[#This Row],[Discount_Pct]]</f>
        <v>8.4269999999999996</v>
      </c>
      <c r="AA404" s="8">
        <f>RawSalesTable[[#This Row],[Gross_Sales]]-RawSalesTable[[#This Row],[Discount_Amount]]</f>
        <v>75.842999999999989</v>
      </c>
      <c r="AB404" s="8">
        <f>RawSalesTable[[#This Row],[Unit_Cost]]*RawSalesTable[[#This Row],[Quantity]]</f>
        <v>45.17</v>
      </c>
      <c r="AC404" s="8">
        <f>RawSalesTable[[#This Row],[Net_Sales]]-RawSalesTable[[#This Row],[Total_Cost]]</f>
        <v>30.672999999999988</v>
      </c>
      <c r="AD404" s="9">
        <f>RawSalesTable[[#This Row],[Profit]]/RawSalesTable[[#This Row],[Net_Sales]]</f>
        <v>0.40442756747491521</v>
      </c>
      <c r="AE404" s="8">
        <f>IF(RawSalesTable[[#This Row],[Return_Status]]="Yes",1,0)</f>
        <v>0</v>
      </c>
      <c r="AF404" s="8">
        <f>YEAR(RawSalesTable[[#This Row],[Order_Date]])</f>
        <v>2025</v>
      </c>
      <c r="AG404" s="8">
        <f>MONTH(RawSalesTable[[#This Row],[Order_Date]])</f>
        <v>8</v>
      </c>
      <c r="AH404" s="8" t="str">
        <f>TEXT(RawSalesTable[[#This Row],[Order_Date]],"mmmm")</f>
        <v>août</v>
      </c>
      <c r="AI404" s="8" t="str">
        <f>IF(RawSalesTable[[#This Row],[Month_Number]]&lt;=3,"Q1",IF(RawSalesTable[[#This Row],[Month_Number]]&lt;=6,"Q2",IF(RawSalesTable[[#This Row],[Month_Number]]&lt;=9,"Q3","Q4")))</f>
        <v>Q3</v>
      </c>
      <c r="AJ404" s="13">
        <f>DATE(YEAR(RawSalesTable[[#This Row],[Order_Date]]),MONTH(RawSalesTable[[#This Row],[Order_Date]]),1)</f>
        <v>45870</v>
      </c>
      <c r="AK404" s="8" t="str">
        <f>VLOOKUP(RawSalesTable[[#This Row],[Customer_ID_clean]],CustomersTable[],4,FALSE)</f>
        <v>Quebec</v>
      </c>
    </row>
    <row r="405" spans="1:37">
      <c r="A405" t="s">
        <v>818</v>
      </c>
      <c r="B405" s="3">
        <v>45896</v>
      </c>
      <c r="C405" t="s">
        <v>203</v>
      </c>
      <c r="D405" t="s">
        <v>271</v>
      </c>
      <c r="E405" t="s">
        <v>573</v>
      </c>
      <c r="F405" t="s">
        <v>111</v>
      </c>
      <c r="G405" t="s">
        <v>183</v>
      </c>
      <c r="H405" t="s">
        <v>97</v>
      </c>
      <c r="I405">
        <v>1</v>
      </c>
      <c r="J405" s="2">
        <v>231.29</v>
      </c>
      <c r="K405" s="4">
        <v>0.05</v>
      </c>
      <c r="L405" t="s">
        <v>369</v>
      </c>
      <c r="M405">
        <v>1</v>
      </c>
      <c r="N405" t="s">
        <v>91</v>
      </c>
      <c r="O405" t="str">
        <f>SUBSTITUTE(PROPER(TRIM(RawSalesTable[[#This Row],[Channel_Raw]])), "Market Place", "Marketplace")</f>
        <v>Retail Store</v>
      </c>
      <c r="P405" t="str">
        <f>TRIM(RawSalesTable[[#This Row],[Store_Raw]])</f>
        <v>Montreal Central</v>
      </c>
      <c r="Q405" t="str">
        <f>IF(TRIM(RawSalesTable[[#This Row],[Payment_Method_Raw]])="","Non renseigné",SUBSTITUTE(TRIM(RawSalesTable[[#This Row],[Payment_Method_Raw]]),"CC","Credit Card"))</f>
        <v>Paypal</v>
      </c>
      <c r="R405" s="8" t="str">
        <f>UPPER(PROPER(RawSalesTable[[#This Row],[Customer_ID]]))</f>
        <v>C0029</v>
      </c>
      <c r="S405" s="8" t="str">
        <f>TRIM(LEFT(RawSalesTable[[#This Row],[Customer_Info]],FIND(",",RawSalesTable[[#This Row],[Customer_Info]]) -1))</f>
        <v>Olivia White</v>
      </c>
      <c r="T405" s="8" t="str">
        <f>TRIM(MID(RawSalesTable[[#This Row],[Customer_Info]],FIND(",",RawSalesTable[[#This Row],[Customer_Info]])+1,FIND(",",RawSalesTable[[#This Row],[Customer_Info]],FIND(",",RawSalesTable[[#This Row],[Customer_Info]])+1)-FIND(",",RawSalesTable[[#This Row],[Customer_Info]])-1))</f>
        <v>Victoria</v>
      </c>
      <c r="U405" s="8" t="str">
        <f>TRIM(RIGHT(RawSalesTable[[#This Row],[Customer_Info]], LEN(RawSalesTable[[#This Row],[Customer_Info]])-FIND(",",RawSalesTable[[#This Row],[Customer_Info]],FIND(",",RawSalesTable[[#This Row],[Customer_Info]])+1)))</f>
        <v>Consumer</v>
      </c>
      <c r="V405" s="8" t="str">
        <f>VLOOKUP(RawSalesTable[[#This Row],[Product_ID]],ProductsTable[],2,FALSE)</f>
        <v>Resistance Bands</v>
      </c>
      <c r="W405" s="8" t="str">
        <f>VLOOKUP(RawSalesTable[[#This Row],[Product_ID]],ProductsTable[],3,FALSE)</f>
        <v>Fitness</v>
      </c>
      <c r="X405" s="8">
        <f>VLOOKUP(RawSalesTable[[#This Row],[Product_ID]],ProductsTable[],5,FALSE)</f>
        <v>139.19999999999999</v>
      </c>
      <c r="Y405" s="8">
        <f>RawSalesTable[[#This Row],[Quantity]]*RawSalesTable[[#This Row],[Unit_Price]]</f>
        <v>231.29</v>
      </c>
      <c r="Z405" s="8">
        <f>RawSalesTable[[#This Row],[Gross_Sales]]*RawSalesTable[[#This Row],[Discount_Pct]]</f>
        <v>11.564500000000001</v>
      </c>
      <c r="AA405" s="8">
        <f>RawSalesTable[[#This Row],[Gross_Sales]]-RawSalesTable[[#This Row],[Discount_Amount]]</f>
        <v>219.72549999999998</v>
      </c>
      <c r="AB405" s="8">
        <f>RawSalesTable[[#This Row],[Unit_Cost]]*RawSalesTable[[#This Row],[Quantity]]</f>
        <v>139.19999999999999</v>
      </c>
      <c r="AC405" s="8">
        <f>RawSalesTable[[#This Row],[Net_Sales]]-RawSalesTable[[#This Row],[Total_Cost]]</f>
        <v>80.525499999999994</v>
      </c>
      <c r="AD405" s="9">
        <f>RawSalesTable[[#This Row],[Profit]]/RawSalesTable[[#This Row],[Net_Sales]]</f>
        <v>0.36648226992315414</v>
      </c>
      <c r="AE405" s="8">
        <f>IF(RawSalesTable[[#This Row],[Return_Status]]="Yes",1,0)</f>
        <v>0</v>
      </c>
      <c r="AF405" s="8">
        <f>YEAR(RawSalesTable[[#This Row],[Order_Date]])</f>
        <v>2025</v>
      </c>
      <c r="AG405" s="8">
        <f>MONTH(RawSalesTable[[#This Row],[Order_Date]])</f>
        <v>8</v>
      </c>
      <c r="AH405" s="8" t="str">
        <f>TEXT(RawSalesTable[[#This Row],[Order_Date]],"mmmm")</f>
        <v>août</v>
      </c>
      <c r="AI405" s="8" t="str">
        <f>IF(RawSalesTable[[#This Row],[Month_Number]]&lt;=3,"Q1",IF(RawSalesTable[[#This Row],[Month_Number]]&lt;=6,"Q2",IF(RawSalesTable[[#This Row],[Month_Number]]&lt;=9,"Q3","Q4")))</f>
        <v>Q3</v>
      </c>
      <c r="AJ405" s="13">
        <f>DATE(YEAR(RawSalesTable[[#This Row],[Order_Date]]),MONTH(RawSalesTable[[#This Row],[Order_Date]]),1)</f>
        <v>45870</v>
      </c>
      <c r="AK405" s="8" t="str">
        <f>VLOOKUP(RawSalesTable[[#This Row],[Customer_ID_clean]],CustomersTable[],4,FALSE)</f>
        <v>British Columbia</v>
      </c>
    </row>
    <row r="406" spans="1:37">
      <c r="A406" t="s">
        <v>819</v>
      </c>
      <c r="B406" s="3">
        <v>45920</v>
      </c>
      <c r="C406" t="s">
        <v>480</v>
      </c>
      <c r="D406" t="s">
        <v>303</v>
      </c>
      <c r="E406" t="s">
        <v>773</v>
      </c>
      <c r="F406" t="s">
        <v>87</v>
      </c>
      <c r="G406" t="s">
        <v>117</v>
      </c>
      <c r="H406" t="s">
        <v>89</v>
      </c>
      <c r="I406">
        <v>2</v>
      </c>
      <c r="J406" s="2">
        <v>158.16</v>
      </c>
      <c r="K406" s="4">
        <v>0</v>
      </c>
      <c r="L406" t="s">
        <v>369</v>
      </c>
      <c r="M406">
        <v>2</v>
      </c>
      <c r="N406" t="s">
        <v>91</v>
      </c>
      <c r="O406" t="str">
        <f>SUBSTITUTE(PROPER(TRIM(RawSalesTable[[#This Row],[Channel_Raw]])), "Market Place", "Marketplace")</f>
        <v>Online</v>
      </c>
      <c r="P406" t="str">
        <f>TRIM(RawSalesTable[[#This Row],[Store_Raw]])</f>
        <v>Online Fulfillment</v>
      </c>
      <c r="Q406" t="str">
        <f>IF(TRIM(RawSalesTable[[#This Row],[Payment_Method_Raw]])="","Non renseigné",SUBSTITUTE(TRIM(RawSalesTable[[#This Row],[Payment_Method_Raw]]),"CC","Credit Card"))</f>
        <v>Paypal</v>
      </c>
      <c r="R406" s="8" t="str">
        <f>UPPER(PROPER(RawSalesTable[[#This Row],[Customer_ID]]))</f>
        <v>C0053</v>
      </c>
      <c r="S406" s="8" t="str">
        <f>TRIM(LEFT(RawSalesTable[[#This Row],[Customer_Info]],FIND(",",RawSalesTable[[#This Row],[Customer_Info]]) -1))</f>
        <v>Ryan Lee</v>
      </c>
      <c r="T406" s="8" t="str">
        <f>TRIM(MID(RawSalesTable[[#This Row],[Customer_Info]],FIND(",",RawSalesTable[[#This Row],[Customer_Info]])+1,FIND(",",RawSalesTable[[#This Row],[Customer_Info]],FIND(",",RawSalesTable[[#This Row],[Customer_Info]])+1)-FIND(",",RawSalesTable[[#This Row],[Customer_Info]])-1))</f>
        <v>Laval</v>
      </c>
      <c r="U406" s="8" t="str">
        <f>TRIM(RIGHT(RawSalesTable[[#This Row],[Customer_Info]], LEN(RawSalesTable[[#This Row],[Customer_Info]])-FIND(",",RawSalesTable[[#This Row],[Customer_Info]],FIND(",",RawSalesTable[[#This Row],[Customer_Info]])+1)))</f>
        <v>Consumer</v>
      </c>
      <c r="V406" s="8" t="str">
        <f>VLOOKUP(RawSalesTable[[#This Row],[Product_ID]],ProductsTable[],2,FALSE)</f>
        <v>Power Bank</v>
      </c>
      <c r="W406" s="8" t="str">
        <f>VLOOKUP(RawSalesTable[[#This Row],[Product_ID]],ProductsTable[],3,FALSE)</f>
        <v>Accessories</v>
      </c>
      <c r="X406" s="8">
        <f>VLOOKUP(RawSalesTable[[#This Row],[Product_ID]],ProductsTable[],5,FALSE)</f>
        <v>76.97</v>
      </c>
      <c r="Y406" s="8">
        <f>RawSalesTable[[#This Row],[Quantity]]*RawSalesTable[[#This Row],[Unit_Price]]</f>
        <v>316.32</v>
      </c>
      <c r="Z406" s="8">
        <f>RawSalesTable[[#This Row],[Gross_Sales]]*RawSalesTable[[#This Row],[Discount_Pct]]</f>
        <v>0</v>
      </c>
      <c r="AA406" s="8">
        <f>RawSalesTable[[#This Row],[Gross_Sales]]-RawSalesTable[[#This Row],[Discount_Amount]]</f>
        <v>316.32</v>
      </c>
      <c r="AB406" s="8">
        <f>RawSalesTable[[#This Row],[Unit_Cost]]*RawSalesTable[[#This Row],[Quantity]]</f>
        <v>153.94</v>
      </c>
      <c r="AC406" s="8">
        <f>RawSalesTable[[#This Row],[Net_Sales]]-RawSalesTable[[#This Row],[Total_Cost]]</f>
        <v>162.38</v>
      </c>
      <c r="AD406" s="9">
        <f>RawSalesTable[[#This Row],[Profit]]/RawSalesTable[[#This Row],[Net_Sales]]</f>
        <v>0.51334092058674763</v>
      </c>
      <c r="AE406" s="8">
        <f>IF(RawSalesTable[[#This Row],[Return_Status]]="Yes",1,0)</f>
        <v>0</v>
      </c>
      <c r="AF406" s="8">
        <f>YEAR(RawSalesTable[[#This Row],[Order_Date]])</f>
        <v>2025</v>
      </c>
      <c r="AG406" s="8">
        <f>MONTH(RawSalesTable[[#This Row],[Order_Date]])</f>
        <v>9</v>
      </c>
      <c r="AH406" s="8" t="str">
        <f>TEXT(RawSalesTable[[#This Row],[Order_Date]],"mmmm")</f>
        <v>septembre</v>
      </c>
      <c r="AI406" s="8" t="str">
        <f>IF(RawSalesTable[[#This Row],[Month_Number]]&lt;=3,"Q1",IF(RawSalesTable[[#This Row],[Month_Number]]&lt;=6,"Q2",IF(RawSalesTable[[#This Row],[Month_Number]]&lt;=9,"Q3","Q4")))</f>
        <v>Q3</v>
      </c>
      <c r="AJ406" s="13">
        <f>DATE(YEAR(RawSalesTable[[#This Row],[Order_Date]]),MONTH(RawSalesTable[[#This Row],[Order_Date]]),1)</f>
        <v>45901</v>
      </c>
      <c r="AK406" s="8" t="str">
        <f>VLOOKUP(RawSalesTable[[#This Row],[Customer_ID_clean]],CustomersTable[],4,FALSE)</f>
        <v>Quebec</v>
      </c>
    </row>
    <row r="407" spans="1:37">
      <c r="A407" t="s">
        <v>820</v>
      </c>
      <c r="B407" s="3">
        <v>45881</v>
      </c>
      <c r="C407" t="s">
        <v>487</v>
      </c>
      <c r="D407" t="s">
        <v>249</v>
      </c>
      <c r="E407" t="s">
        <v>806</v>
      </c>
      <c r="F407" t="s">
        <v>103</v>
      </c>
      <c r="G407" t="s">
        <v>122</v>
      </c>
      <c r="H407" t="s">
        <v>105</v>
      </c>
      <c r="I407">
        <v>3</v>
      </c>
      <c r="J407" s="2">
        <v>439.62</v>
      </c>
      <c r="K407" s="4">
        <v>0</v>
      </c>
      <c r="L407" t="s">
        <v>98</v>
      </c>
      <c r="M407">
        <v>6</v>
      </c>
      <c r="N407" t="s">
        <v>91</v>
      </c>
      <c r="O407" t="str">
        <f>SUBSTITUTE(PROPER(TRIM(RawSalesTable[[#This Row],[Channel_Raw]])), "Market Place", "Marketplace")</f>
        <v>Marketplace</v>
      </c>
      <c r="P407" t="str">
        <f>TRIM(RawSalesTable[[#This Row],[Store_Raw]])</f>
        <v>Vancouver West</v>
      </c>
      <c r="Q407" t="str">
        <f>IF(TRIM(RawSalesTable[[#This Row],[Payment_Method_Raw]])="","Non renseigné",SUBSTITUTE(TRIM(RawSalesTable[[#This Row],[Payment_Method_Raw]]),"CC","Credit Card"))</f>
        <v>Debit Card</v>
      </c>
      <c r="R407" s="8" t="str">
        <f>UPPER(PROPER(RawSalesTable[[#This Row],[Customer_ID]]))</f>
        <v>C0105</v>
      </c>
      <c r="S407" s="8" t="str">
        <f>TRIM(LEFT(RawSalesTable[[#This Row],[Customer_Info]],FIND(",",RawSalesTable[[#This Row],[Customer_Info]]) -1))</f>
        <v>Liam Martin</v>
      </c>
      <c r="T407" s="8" t="str">
        <f>TRIM(MID(RawSalesTable[[#This Row],[Customer_Info]],FIND(",",RawSalesTable[[#This Row],[Customer_Info]])+1,FIND(",",RawSalesTable[[#This Row],[Customer_Info]],FIND(",",RawSalesTable[[#This Row],[Customer_Info]])+1)-FIND(",",RawSalesTable[[#This Row],[Customer_Info]])-1))</f>
        <v>Calgary</v>
      </c>
      <c r="U407" s="8" t="str">
        <f>TRIM(RIGHT(RawSalesTable[[#This Row],[Customer_Info]], LEN(RawSalesTable[[#This Row],[Customer_Info]])-FIND(",",RawSalesTable[[#This Row],[Customer_Info]],FIND(",",RawSalesTable[[#This Row],[Customer_Info]])+1)))</f>
        <v>Consumer</v>
      </c>
      <c r="V407" s="8" t="str">
        <f>VLOOKUP(RawSalesTable[[#This Row],[Product_ID]],ProductsTable[],2,FALSE)</f>
        <v>Humidifier</v>
      </c>
      <c r="W407" s="8" t="str">
        <f>VLOOKUP(RawSalesTable[[#This Row],[Product_ID]],ProductsTable[],3,FALSE)</f>
        <v>Home</v>
      </c>
      <c r="X407" s="8">
        <f>VLOOKUP(RawSalesTable[[#This Row],[Product_ID]],ProductsTable[],5,FALSE)</f>
        <v>239.67</v>
      </c>
      <c r="Y407" s="8">
        <f>RawSalesTable[[#This Row],[Quantity]]*RawSalesTable[[#This Row],[Unit_Price]]</f>
        <v>1318.8600000000001</v>
      </c>
      <c r="Z407" s="8">
        <f>RawSalesTable[[#This Row],[Gross_Sales]]*RawSalesTable[[#This Row],[Discount_Pct]]</f>
        <v>0</v>
      </c>
      <c r="AA407" s="8">
        <f>RawSalesTable[[#This Row],[Gross_Sales]]-RawSalesTable[[#This Row],[Discount_Amount]]</f>
        <v>1318.8600000000001</v>
      </c>
      <c r="AB407" s="8">
        <f>RawSalesTable[[#This Row],[Unit_Cost]]*RawSalesTable[[#This Row],[Quantity]]</f>
        <v>719.01</v>
      </c>
      <c r="AC407" s="8">
        <f>RawSalesTable[[#This Row],[Net_Sales]]-RawSalesTable[[#This Row],[Total_Cost]]</f>
        <v>599.85000000000014</v>
      </c>
      <c r="AD407" s="9">
        <f>RawSalesTable[[#This Row],[Profit]]/RawSalesTable[[#This Row],[Net_Sales]]</f>
        <v>0.45482462126381878</v>
      </c>
      <c r="AE407" s="8">
        <f>IF(RawSalesTable[[#This Row],[Return_Status]]="Yes",1,0)</f>
        <v>0</v>
      </c>
      <c r="AF407" s="8">
        <f>YEAR(RawSalesTable[[#This Row],[Order_Date]])</f>
        <v>2025</v>
      </c>
      <c r="AG407" s="8">
        <f>MONTH(RawSalesTable[[#This Row],[Order_Date]])</f>
        <v>8</v>
      </c>
      <c r="AH407" s="8" t="str">
        <f>TEXT(RawSalesTable[[#This Row],[Order_Date]],"mmmm")</f>
        <v>août</v>
      </c>
      <c r="AI407" s="8" t="str">
        <f>IF(RawSalesTable[[#This Row],[Month_Number]]&lt;=3,"Q1",IF(RawSalesTable[[#This Row],[Month_Number]]&lt;=6,"Q2",IF(RawSalesTable[[#This Row],[Month_Number]]&lt;=9,"Q3","Q4")))</f>
        <v>Q3</v>
      </c>
      <c r="AJ407" s="13">
        <f>DATE(YEAR(RawSalesTable[[#This Row],[Order_Date]]),MONTH(RawSalesTable[[#This Row],[Order_Date]]),1)</f>
        <v>45870</v>
      </c>
      <c r="AK407" s="8" t="str">
        <f>VLOOKUP(RawSalesTable[[#This Row],[Customer_ID_clean]],CustomersTable[],4,FALSE)</f>
        <v>Alberta</v>
      </c>
    </row>
    <row r="408" spans="1:37">
      <c r="A408" t="s">
        <v>821</v>
      </c>
      <c r="B408" s="3">
        <v>45697</v>
      </c>
      <c r="C408" t="s">
        <v>213</v>
      </c>
      <c r="D408" t="s">
        <v>323</v>
      </c>
      <c r="E408" t="s">
        <v>214</v>
      </c>
      <c r="F408" t="s">
        <v>145</v>
      </c>
      <c r="G408" t="s">
        <v>117</v>
      </c>
      <c r="H408" t="s">
        <v>89</v>
      </c>
      <c r="I408">
        <v>4</v>
      </c>
      <c r="J408" s="2">
        <v>329.97</v>
      </c>
      <c r="K408" s="4">
        <v>0</v>
      </c>
      <c r="L408" t="s">
        <v>369</v>
      </c>
      <c r="M408">
        <v>8</v>
      </c>
      <c r="N408" t="s">
        <v>91</v>
      </c>
      <c r="O408" t="str">
        <f>SUBSTITUTE(PROPER(TRIM(RawSalesTable[[#This Row],[Channel_Raw]])), "Market Place", "Marketplace")</f>
        <v>Online</v>
      </c>
      <c r="P408" t="str">
        <f>TRIM(RawSalesTable[[#This Row],[Store_Raw]])</f>
        <v>Calgary North</v>
      </c>
      <c r="Q408" t="str">
        <f>IF(TRIM(RawSalesTable[[#This Row],[Payment_Method_Raw]])="","Non renseigné",SUBSTITUTE(TRIM(RawSalesTable[[#This Row],[Payment_Method_Raw]]),"CC","Credit Card"))</f>
        <v>Paypal</v>
      </c>
      <c r="R408" s="8" t="str">
        <f>UPPER(PROPER(RawSalesTable[[#This Row],[Customer_ID]]))</f>
        <v>C0001</v>
      </c>
      <c r="S408" s="8" t="str">
        <f>TRIM(LEFT(RawSalesTable[[#This Row],[Customer_Info]],FIND(",",RawSalesTable[[#This Row],[Customer_Info]]) -1))</f>
        <v>Ethan Roy</v>
      </c>
      <c r="T408" s="8" t="str">
        <f>TRIM(MID(RawSalesTable[[#This Row],[Customer_Info]],FIND(",",RawSalesTable[[#This Row],[Customer_Info]])+1,FIND(",",RawSalesTable[[#This Row],[Customer_Info]],FIND(",",RawSalesTable[[#This Row],[Customer_Info]])+1)-FIND(",",RawSalesTable[[#This Row],[Customer_Info]])-1))</f>
        <v>Halifax</v>
      </c>
      <c r="U408" s="8" t="str">
        <f>TRIM(RIGHT(RawSalesTable[[#This Row],[Customer_Info]], LEN(RawSalesTable[[#This Row],[Customer_Info]])-FIND(",",RawSalesTable[[#This Row],[Customer_Info]],FIND(",",RawSalesTable[[#This Row],[Customer_Info]])+1)))</f>
        <v>Consumer</v>
      </c>
      <c r="V408" s="8" t="str">
        <f>VLOOKUP(RawSalesTable[[#This Row],[Product_ID]],ProductsTable[],2,FALSE)</f>
        <v>Toaster</v>
      </c>
      <c r="W408" s="8" t="str">
        <f>VLOOKUP(RawSalesTable[[#This Row],[Product_ID]],ProductsTable[],3,FALSE)</f>
        <v>Home</v>
      </c>
      <c r="X408" s="8">
        <f>VLOOKUP(RawSalesTable[[#This Row],[Product_ID]],ProductsTable[],5,FALSE)</f>
        <v>152.88</v>
      </c>
      <c r="Y408" s="8">
        <f>RawSalesTable[[#This Row],[Quantity]]*RawSalesTable[[#This Row],[Unit_Price]]</f>
        <v>1319.88</v>
      </c>
      <c r="Z408" s="8">
        <f>RawSalesTable[[#This Row],[Gross_Sales]]*RawSalesTable[[#This Row],[Discount_Pct]]</f>
        <v>0</v>
      </c>
      <c r="AA408" s="8">
        <f>RawSalesTable[[#This Row],[Gross_Sales]]-RawSalesTable[[#This Row],[Discount_Amount]]</f>
        <v>1319.88</v>
      </c>
      <c r="AB408" s="8">
        <f>RawSalesTable[[#This Row],[Unit_Cost]]*RawSalesTable[[#This Row],[Quantity]]</f>
        <v>611.52</v>
      </c>
      <c r="AC408" s="8">
        <f>RawSalesTable[[#This Row],[Net_Sales]]-RawSalesTable[[#This Row],[Total_Cost]]</f>
        <v>708.36000000000013</v>
      </c>
      <c r="AD408" s="9">
        <f>RawSalesTable[[#This Row],[Profit]]/RawSalesTable[[#This Row],[Net_Sales]]</f>
        <v>0.53668515319574517</v>
      </c>
      <c r="AE408" s="8">
        <f>IF(RawSalesTable[[#This Row],[Return_Status]]="Yes",1,0)</f>
        <v>0</v>
      </c>
      <c r="AF408" s="8">
        <f>YEAR(RawSalesTable[[#This Row],[Order_Date]])</f>
        <v>2025</v>
      </c>
      <c r="AG408" s="8">
        <f>MONTH(RawSalesTable[[#This Row],[Order_Date]])</f>
        <v>2</v>
      </c>
      <c r="AH408" s="8" t="str">
        <f>TEXT(RawSalesTable[[#This Row],[Order_Date]],"mmmm")</f>
        <v>février</v>
      </c>
      <c r="AI408" s="8" t="str">
        <f>IF(RawSalesTable[[#This Row],[Month_Number]]&lt;=3,"Q1",IF(RawSalesTable[[#This Row],[Month_Number]]&lt;=6,"Q2",IF(RawSalesTable[[#This Row],[Month_Number]]&lt;=9,"Q3","Q4")))</f>
        <v>Q1</v>
      </c>
      <c r="AJ408" s="13">
        <f>DATE(YEAR(RawSalesTable[[#This Row],[Order_Date]]),MONTH(RawSalesTable[[#This Row],[Order_Date]]),1)</f>
        <v>45689</v>
      </c>
      <c r="AK408" s="8" t="str">
        <f>VLOOKUP(RawSalesTable[[#This Row],[Customer_ID_clean]],CustomersTable[],4,FALSE)</f>
        <v>Nova Scotia</v>
      </c>
    </row>
    <row r="409" spans="1:37">
      <c r="A409" t="s">
        <v>822</v>
      </c>
      <c r="B409" s="3">
        <v>45838</v>
      </c>
      <c r="C409" t="s">
        <v>206</v>
      </c>
      <c r="D409" t="s">
        <v>165</v>
      </c>
      <c r="E409" t="s">
        <v>823</v>
      </c>
      <c r="F409" t="s">
        <v>87</v>
      </c>
      <c r="G409" t="s">
        <v>96</v>
      </c>
      <c r="H409" t="s">
        <v>97</v>
      </c>
      <c r="I409">
        <v>1</v>
      </c>
      <c r="J409" s="2">
        <v>105.56</v>
      </c>
      <c r="K409" s="4">
        <v>0.05</v>
      </c>
      <c r="L409" t="s">
        <v>369</v>
      </c>
      <c r="M409">
        <v>1</v>
      </c>
      <c r="N409" t="s">
        <v>91</v>
      </c>
      <c r="O409" t="str">
        <f>SUBSTITUTE(PROPER(TRIM(RawSalesTable[[#This Row],[Channel_Raw]])), "Market Place", "Marketplace")</f>
        <v>Retail Store</v>
      </c>
      <c r="P409" t="str">
        <f>TRIM(RawSalesTable[[#This Row],[Store_Raw]])</f>
        <v>Online Fulfillment</v>
      </c>
      <c r="Q409" t="str">
        <f>IF(TRIM(RawSalesTable[[#This Row],[Payment_Method_Raw]])="","Non renseigné",SUBSTITUTE(TRIM(RawSalesTable[[#This Row],[Payment_Method_Raw]]),"CC","Credit Card"))</f>
        <v>Paypal</v>
      </c>
      <c r="R409" s="8" t="str">
        <f>UPPER(PROPER(RawSalesTable[[#This Row],[Customer_ID]]))</f>
        <v>C0061</v>
      </c>
      <c r="S409" s="8" t="str">
        <f>TRIM(LEFT(RawSalesTable[[#This Row],[Customer_Info]],FIND(",",RawSalesTable[[#This Row],[Customer_Info]]) -1))</f>
        <v>Zoe Hall</v>
      </c>
      <c r="T409" s="8" t="str">
        <f>TRIM(MID(RawSalesTable[[#This Row],[Customer_Info]],FIND(",",RawSalesTable[[#This Row],[Customer_Info]])+1,FIND(",",RawSalesTable[[#This Row],[Customer_Info]],FIND(",",RawSalesTable[[#This Row],[Customer_Info]])+1)-FIND(",",RawSalesTable[[#This Row],[Customer_Info]])-1))</f>
        <v>Vancouver</v>
      </c>
      <c r="U409" s="8" t="str">
        <f>TRIM(RIGHT(RawSalesTable[[#This Row],[Customer_Info]], LEN(RawSalesTable[[#This Row],[Customer_Info]])-FIND(",",RawSalesTable[[#This Row],[Customer_Info]],FIND(",",RawSalesTable[[#This Row],[Customer_Info]])+1)))</f>
        <v>Consumer</v>
      </c>
      <c r="V409" s="8" t="str">
        <f>VLOOKUP(RawSalesTable[[#This Row],[Product_ID]],ProductsTable[],2,FALSE)</f>
        <v>Food Scale</v>
      </c>
      <c r="W409" s="8" t="str">
        <f>VLOOKUP(RawSalesTable[[#This Row],[Product_ID]],ProductsTable[],3,FALSE)</f>
        <v>Home</v>
      </c>
      <c r="X409" s="8">
        <f>VLOOKUP(RawSalesTable[[#This Row],[Product_ID]],ProductsTable[],5,FALSE)</f>
        <v>46.07</v>
      </c>
      <c r="Y409" s="8">
        <f>RawSalesTable[[#This Row],[Quantity]]*RawSalesTable[[#This Row],[Unit_Price]]</f>
        <v>105.56</v>
      </c>
      <c r="Z409" s="8">
        <f>RawSalesTable[[#This Row],[Gross_Sales]]*RawSalesTable[[#This Row],[Discount_Pct]]</f>
        <v>5.2780000000000005</v>
      </c>
      <c r="AA409" s="8">
        <f>RawSalesTable[[#This Row],[Gross_Sales]]-RawSalesTable[[#This Row],[Discount_Amount]]</f>
        <v>100.282</v>
      </c>
      <c r="AB409" s="8">
        <f>RawSalesTable[[#This Row],[Unit_Cost]]*RawSalesTable[[#This Row],[Quantity]]</f>
        <v>46.07</v>
      </c>
      <c r="AC409" s="8">
        <f>RawSalesTable[[#This Row],[Net_Sales]]-RawSalesTable[[#This Row],[Total_Cost]]</f>
        <v>54.211999999999996</v>
      </c>
      <c r="AD409" s="9">
        <f>RawSalesTable[[#This Row],[Profit]]/RawSalesTable[[#This Row],[Net_Sales]]</f>
        <v>0.54059552063181826</v>
      </c>
      <c r="AE409" s="8">
        <f>IF(RawSalesTable[[#This Row],[Return_Status]]="Yes",1,0)</f>
        <v>0</v>
      </c>
      <c r="AF409" s="8">
        <f>YEAR(RawSalesTable[[#This Row],[Order_Date]])</f>
        <v>2025</v>
      </c>
      <c r="AG409" s="8">
        <f>MONTH(RawSalesTable[[#This Row],[Order_Date]])</f>
        <v>6</v>
      </c>
      <c r="AH409" s="8" t="str">
        <f>TEXT(RawSalesTable[[#This Row],[Order_Date]],"mmmm")</f>
        <v>juin</v>
      </c>
      <c r="AI409" s="8" t="str">
        <f>IF(RawSalesTable[[#This Row],[Month_Number]]&lt;=3,"Q1",IF(RawSalesTable[[#This Row],[Month_Number]]&lt;=6,"Q2",IF(RawSalesTable[[#This Row],[Month_Number]]&lt;=9,"Q3","Q4")))</f>
        <v>Q2</v>
      </c>
      <c r="AJ409" s="13">
        <f>DATE(YEAR(RawSalesTable[[#This Row],[Order_Date]]),MONTH(RawSalesTable[[#This Row],[Order_Date]]),1)</f>
        <v>45809</v>
      </c>
      <c r="AK409" s="8" t="str">
        <f>VLOOKUP(RawSalesTable[[#This Row],[Customer_ID_clean]],CustomersTable[],4,FALSE)</f>
        <v>British Columbia</v>
      </c>
    </row>
    <row r="410" spans="1:37">
      <c r="A410" t="s">
        <v>824</v>
      </c>
      <c r="B410" s="3">
        <v>45691</v>
      </c>
      <c r="C410" t="s">
        <v>374</v>
      </c>
      <c r="D410" t="s">
        <v>249</v>
      </c>
      <c r="E410" t="s">
        <v>825</v>
      </c>
      <c r="F410" t="s">
        <v>111</v>
      </c>
      <c r="G410" t="s">
        <v>117</v>
      </c>
      <c r="H410" t="s">
        <v>105</v>
      </c>
      <c r="I410">
        <v>1</v>
      </c>
      <c r="J410" s="2">
        <v>411.6</v>
      </c>
      <c r="K410" s="4">
        <v>0</v>
      </c>
      <c r="L410" t="s">
        <v>90</v>
      </c>
      <c r="M410">
        <v>4</v>
      </c>
      <c r="N410" t="s">
        <v>91</v>
      </c>
      <c r="O410" t="str">
        <f>SUBSTITUTE(PROPER(TRIM(RawSalesTable[[#This Row],[Channel_Raw]])), "Market Place", "Marketplace")</f>
        <v>Marketplace</v>
      </c>
      <c r="P410" t="str">
        <f>TRIM(RawSalesTable[[#This Row],[Store_Raw]])</f>
        <v>Montreal Central</v>
      </c>
      <c r="Q410" t="str">
        <f>IF(TRIM(RawSalesTable[[#This Row],[Payment_Method_Raw]])="","Non renseigné",SUBSTITUTE(TRIM(RawSalesTable[[#This Row],[Payment_Method_Raw]]),"CC","Credit Card"))</f>
        <v>PayPal</v>
      </c>
      <c r="R410" s="8" t="str">
        <f>UPPER(PROPER(RawSalesTable[[#This Row],[Customer_ID]]))</f>
        <v>C0035</v>
      </c>
      <c r="S410" s="8" t="str">
        <f>TRIM(LEFT(RawSalesTable[[#This Row],[Customer_Info]],FIND(",",RawSalesTable[[#This Row],[Customer_Info]]) -1))</f>
        <v>Amelia Scott</v>
      </c>
      <c r="T410" s="8" t="str">
        <f>TRIM(MID(RawSalesTable[[#This Row],[Customer_Info]],FIND(",",RawSalesTable[[#This Row],[Customer_Info]])+1,FIND(",",RawSalesTable[[#This Row],[Customer_Info]],FIND(",",RawSalesTable[[#This Row],[Customer_Info]])+1)-FIND(",",RawSalesTable[[#This Row],[Customer_Info]])-1))</f>
        <v>Edmonton</v>
      </c>
      <c r="U410" s="8" t="str">
        <f>TRIM(RIGHT(RawSalesTable[[#This Row],[Customer_Info]], LEN(RawSalesTable[[#This Row],[Customer_Info]])-FIND(",",RawSalesTable[[#This Row],[Customer_Info]],FIND(",",RawSalesTable[[#This Row],[Customer_Info]])+1)))</f>
        <v>Small Business</v>
      </c>
      <c r="V410" s="8" t="str">
        <f>VLOOKUP(RawSalesTable[[#This Row],[Product_ID]],ProductsTable[],2,FALSE)</f>
        <v>Humidifier</v>
      </c>
      <c r="W410" s="8" t="str">
        <f>VLOOKUP(RawSalesTable[[#This Row],[Product_ID]],ProductsTable[],3,FALSE)</f>
        <v>Home</v>
      </c>
      <c r="X410" s="8">
        <f>VLOOKUP(RawSalesTable[[#This Row],[Product_ID]],ProductsTable[],5,FALSE)</f>
        <v>239.67</v>
      </c>
      <c r="Y410" s="8">
        <f>RawSalesTable[[#This Row],[Quantity]]*RawSalesTable[[#This Row],[Unit_Price]]</f>
        <v>411.6</v>
      </c>
      <c r="Z410" s="8">
        <f>RawSalesTable[[#This Row],[Gross_Sales]]*RawSalesTable[[#This Row],[Discount_Pct]]</f>
        <v>0</v>
      </c>
      <c r="AA410" s="8">
        <f>RawSalesTable[[#This Row],[Gross_Sales]]-RawSalesTable[[#This Row],[Discount_Amount]]</f>
        <v>411.6</v>
      </c>
      <c r="AB410" s="8">
        <f>RawSalesTable[[#This Row],[Unit_Cost]]*RawSalesTable[[#This Row],[Quantity]]</f>
        <v>239.67</v>
      </c>
      <c r="AC410" s="8">
        <f>RawSalesTable[[#This Row],[Net_Sales]]-RawSalesTable[[#This Row],[Total_Cost]]</f>
        <v>171.93000000000004</v>
      </c>
      <c r="AD410" s="9">
        <f>RawSalesTable[[#This Row],[Profit]]/RawSalesTable[[#This Row],[Net_Sales]]</f>
        <v>0.41771137026239075</v>
      </c>
      <c r="AE410" s="8">
        <f>IF(RawSalesTable[[#This Row],[Return_Status]]="Yes",1,0)</f>
        <v>0</v>
      </c>
      <c r="AF410" s="8">
        <f>YEAR(RawSalesTable[[#This Row],[Order_Date]])</f>
        <v>2025</v>
      </c>
      <c r="AG410" s="8">
        <f>MONTH(RawSalesTable[[#This Row],[Order_Date]])</f>
        <v>2</v>
      </c>
      <c r="AH410" s="8" t="str">
        <f>TEXT(RawSalesTable[[#This Row],[Order_Date]],"mmmm")</f>
        <v>février</v>
      </c>
      <c r="AI410" s="8" t="str">
        <f>IF(RawSalesTable[[#This Row],[Month_Number]]&lt;=3,"Q1",IF(RawSalesTable[[#This Row],[Month_Number]]&lt;=6,"Q2",IF(RawSalesTable[[#This Row],[Month_Number]]&lt;=9,"Q3","Q4")))</f>
        <v>Q1</v>
      </c>
      <c r="AJ410" s="13">
        <f>DATE(YEAR(RawSalesTable[[#This Row],[Order_Date]]),MONTH(RawSalesTable[[#This Row],[Order_Date]]),1)</f>
        <v>45689</v>
      </c>
      <c r="AK410" s="8" t="str">
        <f>VLOOKUP(RawSalesTable[[#This Row],[Customer_ID_clean]],CustomersTable[],4,FALSE)</f>
        <v>Alberta</v>
      </c>
    </row>
    <row r="411" spans="1:37">
      <c r="A411" t="s">
        <v>826</v>
      </c>
      <c r="B411" s="3">
        <v>45922</v>
      </c>
      <c r="C411" t="s">
        <v>151</v>
      </c>
      <c r="D411" t="s">
        <v>360</v>
      </c>
      <c r="E411" t="s">
        <v>827</v>
      </c>
      <c r="F411" t="s">
        <v>111</v>
      </c>
      <c r="G411" t="s">
        <v>171</v>
      </c>
      <c r="H411" t="s">
        <v>308</v>
      </c>
      <c r="I411">
        <v>1</v>
      </c>
      <c r="J411" s="2">
        <v>62.36</v>
      </c>
      <c r="K411" s="4">
        <v>0</v>
      </c>
      <c r="L411" t="s">
        <v>432</v>
      </c>
      <c r="M411">
        <v>6</v>
      </c>
      <c r="N411" t="s">
        <v>91</v>
      </c>
      <c r="O411" t="str">
        <f>SUBSTITUTE(PROPER(TRIM(RawSalesTable[[#This Row],[Channel_Raw]])), "Market Place", "Marketplace")</f>
        <v>Online</v>
      </c>
      <c r="P411" t="str">
        <f>TRIM(RawSalesTable[[#This Row],[Store_Raw]])</f>
        <v>Montreal Central</v>
      </c>
      <c r="Q411" t="str">
        <f>IF(TRIM(RawSalesTable[[#This Row],[Payment_Method_Raw]])="","Non renseigné",SUBSTITUTE(TRIM(RawSalesTable[[#This Row],[Payment_Method_Raw]]),"CC","Credit Card"))</f>
        <v>PAYPAL</v>
      </c>
      <c r="R411" s="8" t="str">
        <f>UPPER(PROPER(RawSalesTable[[#This Row],[Customer_ID]]))</f>
        <v>C0014</v>
      </c>
      <c r="S411" s="8" t="str">
        <f>TRIM(LEFT(RawSalesTable[[#This Row],[Customer_Info]],FIND(",",RawSalesTable[[#This Row],[Customer_Info]]) -1))</f>
        <v>Zoe Scott</v>
      </c>
      <c r="T411" s="8" t="str">
        <f>TRIM(MID(RawSalesTable[[#This Row],[Customer_Info]],FIND(",",RawSalesTable[[#This Row],[Customer_Info]])+1,FIND(",",RawSalesTable[[#This Row],[Customer_Info]],FIND(",",RawSalesTable[[#This Row],[Customer_Info]])+1)-FIND(",",RawSalesTable[[#This Row],[Customer_Info]])-1))</f>
        <v>Montreal</v>
      </c>
      <c r="U411" s="8" t="str">
        <f>TRIM(RIGHT(RawSalesTable[[#This Row],[Customer_Info]], LEN(RawSalesTable[[#This Row],[Customer_Info]])-FIND(",",RawSalesTable[[#This Row],[Customer_Info]],FIND(",",RawSalesTable[[#This Row],[Customer_Info]])+1)))</f>
        <v>Small Business</v>
      </c>
      <c r="V411" s="8" t="str">
        <f>VLOOKUP(RawSalesTable[[#This Row],[Product_ID]],ProductsTable[],2,FALSE)</f>
        <v>Blender</v>
      </c>
      <c r="W411" s="8" t="str">
        <f>VLOOKUP(RawSalesTable[[#This Row],[Product_ID]],ProductsTable[],3,FALSE)</f>
        <v>Home</v>
      </c>
      <c r="X411" s="8">
        <f>VLOOKUP(RawSalesTable[[#This Row],[Product_ID]],ProductsTable[],5,FALSE)</f>
        <v>37.46</v>
      </c>
      <c r="Y411" s="8">
        <f>RawSalesTable[[#This Row],[Quantity]]*RawSalesTable[[#This Row],[Unit_Price]]</f>
        <v>62.36</v>
      </c>
      <c r="Z411" s="8">
        <f>RawSalesTable[[#This Row],[Gross_Sales]]*RawSalesTable[[#This Row],[Discount_Pct]]</f>
        <v>0</v>
      </c>
      <c r="AA411" s="8">
        <f>RawSalesTable[[#This Row],[Gross_Sales]]-RawSalesTable[[#This Row],[Discount_Amount]]</f>
        <v>62.36</v>
      </c>
      <c r="AB411" s="8">
        <f>RawSalesTable[[#This Row],[Unit_Cost]]*RawSalesTable[[#This Row],[Quantity]]</f>
        <v>37.46</v>
      </c>
      <c r="AC411" s="8">
        <f>RawSalesTable[[#This Row],[Net_Sales]]-RawSalesTable[[#This Row],[Total_Cost]]</f>
        <v>24.9</v>
      </c>
      <c r="AD411" s="9">
        <f>RawSalesTable[[#This Row],[Profit]]/RawSalesTable[[#This Row],[Net_Sales]]</f>
        <v>0.39929441949967925</v>
      </c>
      <c r="AE411" s="8">
        <f>IF(RawSalesTable[[#This Row],[Return_Status]]="Yes",1,0)</f>
        <v>0</v>
      </c>
      <c r="AF411" s="8">
        <f>YEAR(RawSalesTable[[#This Row],[Order_Date]])</f>
        <v>2025</v>
      </c>
      <c r="AG411" s="8">
        <f>MONTH(RawSalesTable[[#This Row],[Order_Date]])</f>
        <v>9</v>
      </c>
      <c r="AH411" s="8" t="str">
        <f>TEXT(RawSalesTable[[#This Row],[Order_Date]],"mmmm")</f>
        <v>septembre</v>
      </c>
      <c r="AI411" s="8" t="str">
        <f>IF(RawSalesTable[[#This Row],[Month_Number]]&lt;=3,"Q1",IF(RawSalesTable[[#This Row],[Month_Number]]&lt;=6,"Q2",IF(RawSalesTable[[#This Row],[Month_Number]]&lt;=9,"Q3","Q4")))</f>
        <v>Q3</v>
      </c>
      <c r="AJ411" s="13">
        <f>DATE(YEAR(RawSalesTable[[#This Row],[Order_Date]]),MONTH(RawSalesTable[[#This Row],[Order_Date]]),1)</f>
        <v>45901</v>
      </c>
      <c r="AK411" s="8" t="str">
        <f>VLOOKUP(RawSalesTable[[#This Row],[Customer_ID_clean]],CustomersTable[],4,FALSE)</f>
        <v>Quebec</v>
      </c>
    </row>
    <row r="412" spans="1:37">
      <c r="A412" t="s">
        <v>828</v>
      </c>
      <c r="B412" s="3">
        <v>45905</v>
      </c>
      <c r="C412" t="s">
        <v>180</v>
      </c>
      <c r="D412" t="s">
        <v>85</v>
      </c>
      <c r="E412" t="s">
        <v>182</v>
      </c>
      <c r="F412" t="s">
        <v>145</v>
      </c>
      <c r="G412" t="s">
        <v>117</v>
      </c>
      <c r="H412" t="s">
        <v>89</v>
      </c>
      <c r="I412">
        <v>1</v>
      </c>
      <c r="J412" s="2">
        <v>310.61</v>
      </c>
      <c r="K412" s="4">
        <v>0.25</v>
      </c>
      <c r="L412" t="s">
        <v>106</v>
      </c>
      <c r="M412">
        <v>5</v>
      </c>
      <c r="N412" t="s">
        <v>91</v>
      </c>
      <c r="O412" t="str">
        <f>SUBSTITUTE(PROPER(TRIM(RawSalesTable[[#This Row],[Channel_Raw]])), "Market Place", "Marketplace")</f>
        <v>Online</v>
      </c>
      <c r="P412" t="str">
        <f>TRIM(RawSalesTable[[#This Row],[Store_Raw]])</f>
        <v>Calgary North</v>
      </c>
      <c r="Q412" t="str">
        <f>IF(TRIM(RawSalesTable[[#This Row],[Payment_Method_Raw]])="","Non renseigné",SUBSTITUTE(TRIM(RawSalesTable[[#This Row],[Payment_Method_Raw]]),"CC","Credit Card"))</f>
        <v>Credit Card</v>
      </c>
      <c r="R412" s="8" t="str">
        <f>UPPER(PROPER(RawSalesTable[[#This Row],[Customer_ID]]))</f>
        <v>C0085</v>
      </c>
      <c r="S412" s="8" t="str">
        <f>TRIM(LEFT(RawSalesTable[[#This Row],[Customer_Info]],FIND(",",RawSalesTable[[#This Row],[Customer_Info]]) -1))</f>
        <v>Yasmine Clark</v>
      </c>
      <c r="T412" s="8" t="str">
        <f>TRIM(MID(RawSalesTable[[#This Row],[Customer_Info]],FIND(",",RawSalesTable[[#This Row],[Customer_Info]])+1,FIND(",",RawSalesTable[[#This Row],[Customer_Info]],FIND(",",RawSalesTable[[#This Row],[Customer_Info]])+1)-FIND(",",RawSalesTable[[#This Row],[Customer_Info]])-1))</f>
        <v>Calgary</v>
      </c>
      <c r="U412" s="8" t="str">
        <f>TRIM(RIGHT(RawSalesTable[[#This Row],[Customer_Info]], LEN(RawSalesTable[[#This Row],[Customer_Info]])-FIND(",",RawSalesTable[[#This Row],[Customer_Info]],FIND(",",RawSalesTable[[#This Row],[Customer_Info]])+1)))</f>
        <v>Consumer</v>
      </c>
      <c r="V412" s="8" t="str">
        <f>VLOOKUP(RawSalesTable[[#This Row],[Product_ID]],ProductsTable[],2,FALSE)</f>
        <v>Yoga Mat</v>
      </c>
      <c r="W412" s="8" t="str">
        <f>VLOOKUP(RawSalesTable[[#This Row],[Product_ID]],ProductsTable[],3,FALSE)</f>
        <v>Fitness</v>
      </c>
      <c r="X412" s="8">
        <f>VLOOKUP(RawSalesTable[[#This Row],[Product_ID]],ProductsTable[],5,FALSE)</f>
        <v>197.33</v>
      </c>
      <c r="Y412" s="8">
        <f>RawSalesTable[[#This Row],[Quantity]]*RawSalesTable[[#This Row],[Unit_Price]]</f>
        <v>310.61</v>
      </c>
      <c r="Z412" s="8">
        <f>RawSalesTable[[#This Row],[Gross_Sales]]*RawSalesTable[[#This Row],[Discount_Pct]]</f>
        <v>77.652500000000003</v>
      </c>
      <c r="AA412" s="8">
        <f>RawSalesTable[[#This Row],[Gross_Sales]]-RawSalesTable[[#This Row],[Discount_Amount]]</f>
        <v>232.95750000000001</v>
      </c>
      <c r="AB412" s="8">
        <f>RawSalesTable[[#This Row],[Unit_Cost]]*RawSalesTable[[#This Row],[Quantity]]</f>
        <v>197.33</v>
      </c>
      <c r="AC412" s="8">
        <f>RawSalesTable[[#This Row],[Net_Sales]]-RawSalesTable[[#This Row],[Total_Cost]]</f>
        <v>35.627499999999998</v>
      </c>
      <c r="AD412" s="9">
        <f>RawSalesTable[[#This Row],[Profit]]/RawSalesTable[[#This Row],[Net_Sales]]</f>
        <v>0.15293562130431515</v>
      </c>
      <c r="AE412" s="8">
        <f>IF(RawSalesTable[[#This Row],[Return_Status]]="Yes",1,0)</f>
        <v>0</v>
      </c>
      <c r="AF412" s="8">
        <f>YEAR(RawSalesTable[[#This Row],[Order_Date]])</f>
        <v>2025</v>
      </c>
      <c r="AG412" s="8">
        <f>MONTH(RawSalesTable[[#This Row],[Order_Date]])</f>
        <v>9</v>
      </c>
      <c r="AH412" s="8" t="str">
        <f>TEXT(RawSalesTable[[#This Row],[Order_Date]],"mmmm")</f>
        <v>septembre</v>
      </c>
      <c r="AI412" s="8" t="str">
        <f>IF(RawSalesTable[[#This Row],[Month_Number]]&lt;=3,"Q1",IF(RawSalesTable[[#This Row],[Month_Number]]&lt;=6,"Q2",IF(RawSalesTable[[#This Row],[Month_Number]]&lt;=9,"Q3","Q4")))</f>
        <v>Q3</v>
      </c>
      <c r="AJ412" s="13">
        <f>DATE(YEAR(RawSalesTable[[#This Row],[Order_Date]]),MONTH(RawSalesTable[[#This Row],[Order_Date]]),1)</f>
        <v>45901</v>
      </c>
      <c r="AK412" s="8" t="str">
        <f>VLOOKUP(RawSalesTable[[#This Row],[Customer_ID_clean]],CustomersTable[],4,FALSE)</f>
        <v>Alberta</v>
      </c>
    </row>
    <row r="413" spans="1:37">
      <c r="A413" t="s">
        <v>829</v>
      </c>
      <c r="B413" s="3">
        <v>45988</v>
      </c>
      <c r="C413" t="s">
        <v>706</v>
      </c>
      <c r="D413" t="s">
        <v>136</v>
      </c>
      <c r="E413" t="s">
        <v>707</v>
      </c>
      <c r="F413" t="s">
        <v>87</v>
      </c>
      <c r="G413" t="s">
        <v>183</v>
      </c>
      <c r="H413" t="s">
        <v>89</v>
      </c>
      <c r="I413">
        <v>2</v>
      </c>
      <c r="J413" s="2">
        <v>151.38999999999999</v>
      </c>
      <c r="K413" s="4">
        <v>0.15</v>
      </c>
      <c r="L413" t="s">
        <v>106</v>
      </c>
      <c r="M413">
        <v>1</v>
      </c>
      <c r="N413" t="s">
        <v>91</v>
      </c>
      <c r="O413" t="str">
        <f>SUBSTITUTE(PROPER(TRIM(RawSalesTable[[#This Row],[Channel_Raw]])), "Market Place", "Marketplace")</f>
        <v>Online</v>
      </c>
      <c r="P413" t="str">
        <f>TRIM(RawSalesTable[[#This Row],[Store_Raw]])</f>
        <v>Online Fulfillment</v>
      </c>
      <c r="Q413" t="str">
        <f>IF(TRIM(RawSalesTable[[#This Row],[Payment_Method_Raw]])="","Non renseigné",SUBSTITUTE(TRIM(RawSalesTable[[#This Row],[Payment_Method_Raw]]),"CC","Credit Card"))</f>
        <v>Credit Card</v>
      </c>
      <c r="R413" s="8" t="str">
        <f>UPPER(PROPER(RawSalesTable[[#This Row],[Customer_ID]]))</f>
        <v>C0006</v>
      </c>
      <c r="S413" s="8" t="str">
        <f>TRIM(LEFT(RawSalesTable[[#This Row],[Customer_Info]],FIND(",",RawSalesTable[[#This Row],[Customer_Info]]) -1))</f>
        <v>Nora Wilson</v>
      </c>
      <c r="T413" s="8" t="str">
        <f>TRIM(MID(RawSalesTable[[#This Row],[Customer_Info]],FIND(",",RawSalesTable[[#This Row],[Customer_Info]])+1,FIND(",",RawSalesTable[[#This Row],[Customer_Info]],FIND(",",RawSalesTable[[#This Row],[Customer_Info]])+1)-FIND(",",RawSalesTable[[#This Row],[Customer_Info]])-1))</f>
        <v>Laval</v>
      </c>
      <c r="U413" s="8" t="str">
        <f>TRIM(RIGHT(RawSalesTable[[#This Row],[Customer_Info]], LEN(RawSalesTable[[#This Row],[Customer_Info]])-FIND(",",RawSalesTable[[#This Row],[Customer_Info]],FIND(",",RawSalesTable[[#This Row],[Customer_Info]])+1)))</f>
        <v>Consumer</v>
      </c>
      <c r="V413" s="8" t="str">
        <f>VLOOKUP(RawSalesTable[[#This Row],[Product_ID]],ProductsTable[],2,FALSE)</f>
        <v>Mouse</v>
      </c>
      <c r="W413" s="8" t="str">
        <f>VLOOKUP(RawSalesTable[[#This Row],[Product_ID]],ProductsTable[],3,FALSE)</f>
        <v>Electronics</v>
      </c>
      <c r="X413" s="8">
        <f>VLOOKUP(RawSalesTable[[#This Row],[Product_ID]],ProductsTable[],5,FALSE)</f>
        <v>106.4</v>
      </c>
      <c r="Y413" s="8">
        <f>RawSalesTable[[#This Row],[Quantity]]*RawSalesTable[[#This Row],[Unit_Price]]</f>
        <v>302.77999999999997</v>
      </c>
      <c r="Z413" s="8">
        <f>RawSalesTable[[#This Row],[Gross_Sales]]*RawSalesTable[[#This Row],[Discount_Pct]]</f>
        <v>45.416999999999994</v>
      </c>
      <c r="AA413" s="8">
        <f>RawSalesTable[[#This Row],[Gross_Sales]]-RawSalesTable[[#This Row],[Discount_Amount]]</f>
        <v>257.363</v>
      </c>
      <c r="AB413" s="8">
        <f>RawSalesTable[[#This Row],[Unit_Cost]]*RawSalesTable[[#This Row],[Quantity]]</f>
        <v>212.8</v>
      </c>
      <c r="AC413" s="8">
        <f>RawSalesTable[[#This Row],[Net_Sales]]-RawSalesTable[[#This Row],[Total_Cost]]</f>
        <v>44.562999999999988</v>
      </c>
      <c r="AD413" s="9">
        <f>RawSalesTable[[#This Row],[Profit]]/RawSalesTable[[#This Row],[Net_Sales]]</f>
        <v>0.17315231793225905</v>
      </c>
      <c r="AE413" s="8">
        <f>IF(RawSalesTable[[#This Row],[Return_Status]]="Yes",1,0)</f>
        <v>0</v>
      </c>
      <c r="AF413" s="8">
        <f>YEAR(RawSalesTable[[#This Row],[Order_Date]])</f>
        <v>2025</v>
      </c>
      <c r="AG413" s="8">
        <f>MONTH(RawSalesTable[[#This Row],[Order_Date]])</f>
        <v>11</v>
      </c>
      <c r="AH413" s="8" t="str">
        <f>TEXT(RawSalesTable[[#This Row],[Order_Date]],"mmmm")</f>
        <v>novembre</v>
      </c>
      <c r="AI413" s="8" t="str">
        <f>IF(RawSalesTable[[#This Row],[Month_Number]]&lt;=3,"Q1",IF(RawSalesTable[[#This Row],[Month_Number]]&lt;=6,"Q2",IF(RawSalesTable[[#This Row],[Month_Number]]&lt;=9,"Q3","Q4")))</f>
        <v>Q4</v>
      </c>
      <c r="AJ413" s="13">
        <f>DATE(YEAR(RawSalesTable[[#This Row],[Order_Date]]),MONTH(RawSalesTable[[#This Row],[Order_Date]]),1)</f>
        <v>45962</v>
      </c>
      <c r="AK413" s="8" t="str">
        <f>VLOOKUP(RawSalesTable[[#This Row],[Customer_ID_clean]],CustomersTable[],4,FALSE)</f>
        <v>Quebec</v>
      </c>
    </row>
    <row r="414" spans="1:37">
      <c r="A414" t="s">
        <v>830</v>
      </c>
      <c r="B414" s="3">
        <v>45788</v>
      </c>
      <c r="C414" t="s">
        <v>366</v>
      </c>
      <c r="D414" t="s">
        <v>360</v>
      </c>
      <c r="E414" t="s">
        <v>367</v>
      </c>
      <c r="F414" t="s">
        <v>116</v>
      </c>
      <c r="G414" t="s">
        <v>183</v>
      </c>
      <c r="H414" t="s">
        <v>89</v>
      </c>
      <c r="I414">
        <v>1</v>
      </c>
      <c r="J414" s="2">
        <v>67.59</v>
      </c>
      <c r="K414" s="4">
        <v>0.2</v>
      </c>
      <c r="L414" t="s">
        <v>98</v>
      </c>
      <c r="M414">
        <v>3</v>
      </c>
      <c r="N414" t="s">
        <v>91</v>
      </c>
      <c r="O414" t="str">
        <f>SUBSTITUTE(PROPER(TRIM(RawSalesTable[[#This Row],[Channel_Raw]])), "Market Place", "Marketplace")</f>
        <v>Online</v>
      </c>
      <c r="P414" t="str">
        <f>TRIM(RawSalesTable[[#This Row],[Store_Raw]])</f>
        <v>Toronto Downtown</v>
      </c>
      <c r="Q414" t="str">
        <f>IF(TRIM(RawSalesTable[[#This Row],[Payment_Method_Raw]])="","Non renseigné",SUBSTITUTE(TRIM(RawSalesTable[[#This Row],[Payment_Method_Raw]]),"CC","Credit Card"))</f>
        <v>Debit Card</v>
      </c>
      <c r="R414" s="8" t="str">
        <f>UPPER(PROPER(RawSalesTable[[#This Row],[Customer_ID]]))</f>
        <v>C0117</v>
      </c>
      <c r="S414" s="8" t="str">
        <f>TRIM(LEFT(RawSalesTable[[#This Row],[Customer_Info]],FIND(",",RawSalesTable[[#This Row],[Customer_Info]]) -1))</f>
        <v>Ethan Hall</v>
      </c>
      <c r="T414" s="8" t="str">
        <f>TRIM(MID(RawSalesTable[[#This Row],[Customer_Info]],FIND(",",RawSalesTable[[#This Row],[Customer_Info]])+1,FIND(",",RawSalesTable[[#This Row],[Customer_Info]],FIND(",",RawSalesTable[[#This Row],[Customer_Info]])+1)-FIND(",",RawSalesTable[[#This Row],[Customer_Info]])-1))</f>
        <v>Vancouver</v>
      </c>
      <c r="U414" s="8" t="str">
        <f>TRIM(RIGHT(RawSalesTable[[#This Row],[Customer_Info]], LEN(RawSalesTable[[#This Row],[Customer_Info]])-FIND(",",RawSalesTable[[#This Row],[Customer_Info]],FIND(",",RawSalesTable[[#This Row],[Customer_Info]])+1)))</f>
        <v>Consumer</v>
      </c>
      <c r="V414" s="8" t="str">
        <f>VLOOKUP(RawSalesTable[[#This Row],[Product_ID]],ProductsTable[],2,FALSE)</f>
        <v>Blender</v>
      </c>
      <c r="W414" s="8" t="str">
        <f>VLOOKUP(RawSalesTable[[#This Row],[Product_ID]],ProductsTable[],3,FALSE)</f>
        <v>Home</v>
      </c>
      <c r="X414" s="8">
        <f>VLOOKUP(RawSalesTable[[#This Row],[Product_ID]],ProductsTable[],5,FALSE)</f>
        <v>37.46</v>
      </c>
      <c r="Y414" s="8">
        <f>RawSalesTable[[#This Row],[Quantity]]*RawSalesTable[[#This Row],[Unit_Price]]</f>
        <v>67.59</v>
      </c>
      <c r="Z414" s="8">
        <f>RawSalesTable[[#This Row],[Gross_Sales]]*RawSalesTable[[#This Row],[Discount_Pct]]</f>
        <v>13.518000000000001</v>
      </c>
      <c r="AA414" s="8">
        <f>RawSalesTable[[#This Row],[Gross_Sales]]-RawSalesTable[[#This Row],[Discount_Amount]]</f>
        <v>54.072000000000003</v>
      </c>
      <c r="AB414" s="8">
        <f>RawSalesTable[[#This Row],[Unit_Cost]]*RawSalesTable[[#This Row],[Quantity]]</f>
        <v>37.46</v>
      </c>
      <c r="AC414" s="8">
        <f>RawSalesTable[[#This Row],[Net_Sales]]-RawSalesTable[[#This Row],[Total_Cost]]</f>
        <v>16.612000000000002</v>
      </c>
      <c r="AD414" s="9">
        <f>RawSalesTable[[#This Row],[Profit]]/RawSalesTable[[#This Row],[Net_Sales]]</f>
        <v>0.30722000295901764</v>
      </c>
      <c r="AE414" s="8">
        <f>IF(RawSalesTable[[#This Row],[Return_Status]]="Yes",1,0)</f>
        <v>0</v>
      </c>
      <c r="AF414" s="8">
        <f>YEAR(RawSalesTable[[#This Row],[Order_Date]])</f>
        <v>2025</v>
      </c>
      <c r="AG414" s="8">
        <f>MONTH(RawSalesTable[[#This Row],[Order_Date]])</f>
        <v>5</v>
      </c>
      <c r="AH414" s="8" t="str">
        <f>TEXT(RawSalesTable[[#This Row],[Order_Date]],"mmmm")</f>
        <v>mai</v>
      </c>
      <c r="AI414" s="8" t="str">
        <f>IF(RawSalesTable[[#This Row],[Month_Number]]&lt;=3,"Q1",IF(RawSalesTable[[#This Row],[Month_Number]]&lt;=6,"Q2",IF(RawSalesTable[[#This Row],[Month_Number]]&lt;=9,"Q3","Q4")))</f>
        <v>Q2</v>
      </c>
      <c r="AJ414" s="13">
        <f>DATE(YEAR(RawSalesTable[[#This Row],[Order_Date]]),MONTH(RawSalesTable[[#This Row],[Order_Date]]),1)</f>
        <v>45778</v>
      </c>
      <c r="AK414" s="8" t="str">
        <f>VLOOKUP(RawSalesTable[[#This Row],[Customer_ID_clean]],CustomersTable[],4,FALSE)</f>
        <v>British Columbia</v>
      </c>
    </row>
    <row r="415" spans="1:37">
      <c r="A415" t="s">
        <v>831</v>
      </c>
      <c r="B415" s="3">
        <v>45746</v>
      </c>
      <c r="C415" t="s">
        <v>597</v>
      </c>
      <c r="D415" t="s">
        <v>418</v>
      </c>
      <c r="E415" t="s">
        <v>598</v>
      </c>
      <c r="F415" t="s">
        <v>116</v>
      </c>
      <c r="G415" t="s">
        <v>183</v>
      </c>
      <c r="H415" t="s">
        <v>89</v>
      </c>
      <c r="I415">
        <v>4</v>
      </c>
      <c r="J415" s="2">
        <v>369.52</v>
      </c>
      <c r="K415" s="4">
        <v>0.05</v>
      </c>
      <c r="L415" t="s">
        <v>106</v>
      </c>
      <c r="M415">
        <v>5</v>
      </c>
      <c r="N415" t="s">
        <v>91</v>
      </c>
      <c r="O415" t="str">
        <f>SUBSTITUTE(PROPER(TRIM(RawSalesTable[[#This Row],[Channel_Raw]])), "Market Place", "Marketplace")</f>
        <v>Online</v>
      </c>
      <c r="P415" t="str">
        <f>TRIM(RawSalesTable[[#This Row],[Store_Raw]])</f>
        <v>Toronto Downtown</v>
      </c>
      <c r="Q415" t="str">
        <f>IF(TRIM(RawSalesTable[[#This Row],[Payment_Method_Raw]])="","Non renseigné",SUBSTITUTE(TRIM(RawSalesTable[[#This Row],[Payment_Method_Raw]]),"CC","Credit Card"))</f>
        <v>Credit Card</v>
      </c>
      <c r="R415" s="8" t="str">
        <f>UPPER(PROPER(RawSalesTable[[#This Row],[Customer_ID]]))</f>
        <v>C0004</v>
      </c>
      <c r="S415" s="8" t="str">
        <f>TRIM(LEFT(RawSalesTable[[#This Row],[Customer_Info]],FIND(",",RawSalesTable[[#This Row],[Customer_Info]]) -1))</f>
        <v>Mia Bennett</v>
      </c>
      <c r="T415" s="8" t="str">
        <f>TRIM(MID(RawSalesTable[[#This Row],[Customer_Info]],FIND(",",RawSalesTable[[#This Row],[Customer_Info]])+1,FIND(",",RawSalesTable[[#This Row],[Customer_Info]],FIND(",",RawSalesTable[[#This Row],[Customer_Info]])+1)-FIND(",",RawSalesTable[[#This Row],[Customer_Info]])-1))</f>
        <v>Laval</v>
      </c>
      <c r="U415" s="8" t="str">
        <f>TRIM(RIGHT(RawSalesTable[[#This Row],[Customer_Info]], LEN(RawSalesTable[[#This Row],[Customer_Info]])-FIND(",",RawSalesTable[[#This Row],[Customer_Info]],FIND(",",RawSalesTable[[#This Row],[Customer_Info]])+1)))</f>
        <v>Consumer</v>
      </c>
      <c r="V415" s="8" t="str">
        <f>VLOOKUP(RawSalesTable[[#This Row],[Product_ID]],ProductsTable[],2,FALSE)</f>
        <v>Foam Roller</v>
      </c>
      <c r="W415" s="8" t="str">
        <f>VLOOKUP(RawSalesTable[[#This Row],[Product_ID]],ProductsTable[],3,FALSE)</f>
        <v>Fitness</v>
      </c>
      <c r="X415" s="8">
        <f>VLOOKUP(RawSalesTable[[#This Row],[Product_ID]],ProductsTable[],5,FALSE)</f>
        <v>212.02</v>
      </c>
      <c r="Y415" s="8">
        <f>RawSalesTable[[#This Row],[Quantity]]*RawSalesTable[[#This Row],[Unit_Price]]</f>
        <v>1478.08</v>
      </c>
      <c r="Z415" s="8">
        <f>RawSalesTable[[#This Row],[Gross_Sales]]*RawSalesTable[[#This Row],[Discount_Pct]]</f>
        <v>73.903999999999996</v>
      </c>
      <c r="AA415" s="8">
        <f>RawSalesTable[[#This Row],[Gross_Sales]]-RawSalesTable[[#This Row],[Discount_Amount]]</f>
        <v>1404.1759999999999</v>
      </c>
      <c r="AB415" s="8">
        <f>RawSalesTable[[#This Row],[Unit_Cost]]*RawSalesTable[[#This Row],[Quantity]]</f>
        <v>848.08</v>
      </c>
      <c r="AC415" s="8">
        <f>RawSalesTable[[#This Row],[Net_Sales]]-RawSalesTable[[#This Row],[Total_Cost]]</f>
        <v>556.09599999999989</v>
      </c>
      <c r="AD415" s="9">
        <f>RawSalesTable[[#This Row],[Profit]]/RawSalesTable[[#This Row],[Net_Sales]]</f>
        <v>0.39603012727749221</v>
      </c>
      <c r="AE415" s="8">
        <f>IF(RawSalesTable[[#This Row],[Return_Status]]="Yes",1,0)</f>
        <v>0</v>
      </c>
      <c r="AF415" s="8">
        <f>YEAR(RawSalesTable[[#This Row],[Order_Date]])</f>
        <v>2025</v>
      </c>
      <c r="AG415" s="8">
        <f>MONTH(RawSalesTable[[#This Row],[Order_Date]])</f>
        <v>3</v>
      </c>
      <c r="AH415" s="8" t="str">
        <f>TEXT(RawSalesTable[[#This Row],[Order_Date]],"mmmm")</f>
        <v>mars</v>
      </c>
      <c r="AI415" s="8" t="str">
        <f>IF(RawSalesTable[[#This Row],[Month_Number]]&lt;=3,"Q1",IF(RawSalesTable[[#This Row],[Month_Number]]&lt;=6,"Q2",IF(RawSalesTable[[#This Row],[Month_Number]]&lt;=9,"Q3","Q4")))</f>
        <v>Q1</v>
      </c>
      <c r="AJ415" s="13">
        <f>DATE(YEAR(RawSalesTable[[#This Row],[Order_Date]]),MONTH(RawSalesTable[[#This Row],[Order_Date]]),1)</f>
        <v>45717</v>
      </c>
      <c r="AK415" s="8" t="str">
        <f>VLOOKUP(RawSalesTable[[#This Row],[Customer_ID_clean]],CustomersTable[],4,FALSE)</f>
        <v>Quebec</v>
      </c>
    </row>
    <row r="416" spans="1:37">
      <c r="A416" t="s">
        <v>832</v>
      </c>
      <c r="B416" s="3">
        <v>45786</v>
      </c>
      <c r="C416" t="s">
        <v>189</v>
      </c>
      <c r="D416" t="s">
        <v>143</v>
      </c>
      <c r="E416" t="s">
        <v>457</v>
      </c>
      <c r="F416" t="s">
        <v>103</v>
      </c>
      <c r="G416" t="s">
        <v>88</v>
      </c>
      <c r="H416" t="s">
        <v>89</v>
      </c>
      <c r="I416">
        <v>1</v>
      </c>
      <c r="J416" s="2">
        <v>273.12</v>
      </c>
      <c r="K416" s="4">
        <v>0</v>
      </c>
      <c r="L416" t="s">
        <v>90</v>
      </c>
      <c r="M416">
        <v>1</v>
      </c>
      <c r="N416" t="s">
        <v>91</v>
      </c>
      <c r="O416" t="str">
        <f>SUBSTITUTE(PROPER(TRIM(RawSalesTable[[#This Row],[Channel_Raw]])), "Market Place", "Marketplace")</f>
        <v>Online</v>
      </c>
      <c r="P416" t="str">
        <f>TRIM(RawSalesTable[[#This Row],[Store_Raw]])</f>
        <v>Vancouver West</v>
      </c>
      <c r="Q416" t="str">
        <f>IF(TRIM(RawSalesTable[[#This Row],[Payment_Method_Raw]])="","Non renseigné",SUBSTITUTE(TRIM(RawSalesTable[[#This Row],[Payment_Method_Raw]]),"CC","Credit Card"))</f>
        <v>PayPal</v>
      </c>
      <c r="R416" s="8" t="str">
        <f>UPPER(PROPER(RawSalesTable[[#This Row],[Customer_ID]]))</f>
        <v>C0054</v>
      </c>
      <c r="S416" s="8" t="str">
        <f>TRIM(LEFT(RawSalesTable[[#This Row],[Customer_Info]],FIND(",",RawSalesTable[[#This Row],[Customer_Info]]) -1))</f>
        <v>Maya Hall</v>
      </c>
      <c r="T416" s="8" t="str">
        <f>TRIM(MID(RawSalesTable[[#This Row],[Customer_Info]],FIND(",",RawSalesTable[[#This Row],[Customer_Info]])+1,FIND(",",RawSalesTable[[#This Row],[Customer_Info]],FIND(",",RawSalesTable[[#This Row],[Customer_Info]])+1)-FIND(",",RawSalesTable[[#This Row],[Customer_Info]])-1))</f>
        <v>Surrey</v>
      </c>
      <c r="U416" s="8" t="str">
        <f>TRIM(RIGHT(RawSalesTable[[#This Row],[Customer_Info]], LEN(RawSalesTable[[#This Row],[Customer_Info]])-FIND(",",RawSalesTable[[#This Row],[Customer_Info]],FIND(",",RawSalesTable[[#This Row],[Customer_Info]])+1)))</f>
        <v>Small Business</v>
      </c>
      <c r="V416" s="8" t="str">
        <f>VLOOKUP(RawSalesTable[[#This Row],[Product_ID]],ProductsTable[],2,FALSE)</f>
        <v>Water Bottle</v>
      </c>
      <c r="W416" s="8" t="str">
        <f>VLOOKUP(RawSalesTable[[#This Row],[Product_ID]],ProductsTable[],3,FALSE)</f>
        <v>Accessories</v>
      </c>
      <c r="X416" s="8">
        <f>VLOOKUP(RawSalesTable[[#This Row],[Product_ID]],ProductsTable[],5,FALSE)</f>
        <v>119.16</v>
      </c>
      <c r="Y416" s="8">
        <f>RawSalesTable[[#This Row],[Quantity]]*RawSalesTable[[#This Row],[Unit_Price]]</f>
        <v>273.12</v>
      </c>
      <c r="Z416" s="8">
        <f>RawSalesTable[[#This Row],[Gross_Sales]]*RawSalesTable[[#This Row],[Discount_Pct]]</f>
        <v>0</v>
      </c>
      <c r="AA416" s="8">
        <f>RawSalesTable[[#This Row],[Gross_Sales]]-RawSalesTable[[#This Row],[Discount_Amount]]</f>
        <v>273.12</v>
      </c>
      <c r="AB416" s="8">
        <f>RawSalesTable[[#This Row],[Unit_Cost]]*RawSalesTable[[#This Row],[Quantity]]</f>
        <v>119.16</v>
      </c>
      <c r="AC416" s="8">
        <f>RawSalesTable[[#This Row],[Net_Sales]]-RawSalesTable[[#This Row],[Total_Cost]]</f>
        <v>153.96</v>
      </c>
      <c r="AD416" s="9">
        <f>RawSalesTable[[#This Row],[Profit]]/RawSalesTable[[#This Row],[Net_Sales]]</f>
        <v>0.56370826010544817</v>
      </c>
      <c r="AE416" s="8">
        <f>IF(RawSalesTable[[#This Row],[Return_Status]]="Yes",1,0)</f>
        <v>0</v>
      </c>
      <c r="AF416" s="8">
        <f>YEAR(RawSalesTable[[#This Row],[Order_Date]])</f>
        <v>2025</v>
      </c>
      <c r="AG416" s="8">
        <f>MONTH(RawSalesTable[[#This Row],[Order_Date]])</f>
        <v>5</v>
      </c>
      <c r="AH416" s="8" t="str">
        <f>TEXT(RawSalesTable[[#This Row],[Order_Date]],"mmmm")</f>
        <v>mai</v>
      </c>
      <c r="AI416" s="8" t="str">
        <f>IF(RawSalesTable[[#This Row],[Month_Number]]&lt;=3,"Q1",IF(RawSalesTable[[#This Row],[Month_Number]]&lt;=6,"Q2",IF(RawSalesTable[[#This Row],[Month_Number]]&lt;=9,"Q3","Q4")))</f>
        <v>Q2</v>
      </c>
      <c r="AJ416" s="13">
        <f>DATE(YEAR(RawSalesTable[[#This Row],[Order_Date]]),MONTH(RawSalesTable[[#This Row],[Order_Date]]),1)</f>
        <v>45778</v>
      </c>
      <c r="AK416" s="8" t="str">
        <f>VLOOKUP(RawSalesTable[[#This Row],[Customer_ID_clean]],CustomersTable[],4,FALSE)</f>
        <v>British Columbia</v>
      </c>
    </row>
    <row r="417" spans="1:37">
      <c r="A417" t="s">
        <v>833</v>
      </c>
      <c r="B417" s="3">
        <v>45857</v>
      </c>
      <c r="C417" t="s">
        <v>124</v>
      </c>
      <c r="D417" t="s">
        <v>261</v>
      </c>
      <c r="E417" t="s">
        <v>126</v>
      </c>
      <c r="F417" t="s">
        <v>111</v>
      </c>
      <c r="G417" t="s">
        <v>171</v>
      </c>
      <c r="H417" t="s">
        <v>97</v>
      </c>
      <c r="I417">
        <v>1</v>
      </c>
      <c r="J417" s="2">
        <v>265.35000000000002</v>
      </c>
      <c r="K417" s="4">
        <v>0.15</v>
      </c>
      <c r="L417" t="s">
        <v>90</v>
      </c>
      <c r="M417">
        <v>0</v>
      </c>
      <c r="N417" t="s">
        <v>91</v>
      </c>
      <c r="O417" t="str">
        <f>SUBSTITUTE(PROPER(TRIM(RawSalesTable[[#This Row],[Channel_Raw]])), "Market Place", "Marketplace")</f>
        <v>Retail Store</v>
      </c>
      <c r="P417" t="str">
        <f>TRIM(RawSalesTable[[#This Row],[Store_Raw]])</f>
        <v>Montreal Central</v>
      </c>
      <c r="Q417" t="str">
        <f>IF(TRIM(RawSalesTable[[#This Row],[Payment_Method_Raw]])="","Non renseigné",SUBSTITUTE(TRIM(RawSalesTable[[#This Row],[Payment_Method_Raw]]),"CC","Credit Card"))</f>
        <v>PayPal</v>
      </c>
      <c r="R417" s="8" t="str">
        <f>UPPER(PROPER(RawSalesTable[[#This Row],[Customer_ID]]))</f>
        <v>C0021</v>
      </c>
      <c r="S417" s="8" t="str">
        <f>TRIM(LEFT(RawSalesTable[[#This Row],[Customer_Info]],FIND(",",RawSalesTable[[#This Row],[Customer_Info]]) -1))</f>
        <v>Nora King</v>
      </c>
      <c r="T417" s="8" t="str">
        <f>TRIM(MID(RawSalesTable[[#This Row],[Customer_Info]],FIND(",",RawSalesTable[[#This Row],[Customer_Info]])+1,FIND(",",RawSalesTable[[#This Row],[Customer_Info]],FIND(",",RawSalesTable[[#This Row],[Customer_Info]])+1)-FIND(",",RawSalesTable[[#This Row],[Customer_Info]])-1))</f>
        <v>Halifax</v>
      </c>
      <c r="U417" s="8" t="str">
        <f>TRIM(RIGHT(RawSalesTable[[#This Row],[Customer_Info]], LEN(RawSalesTable[[#This Row],[Customer_Info]])-FIND(",",RawSalesTable[[#This Row],[Customer_Info]],FIND(",",RawSalesTable[[#This Row],[Customer_Info]])+1)))</f>
        <v>Corporate</v>
      </c>
      <c r="V417" s="8" t="str">
        <f>VLOOKUP(RawSalesTable[[#This Row],[Product_ID]],ProductsTable[],2,FALSE)</f>
        <v>Dumbbell Set</v>
      </c>
      <c r="W417" s="8" t="str">
        <f>VLOOKUP(RawSalesTable[[#This Row],[Product_ID]],ProductsTable[],3,FALSE)</f>
        <v>Fitness</v>
      </c>
      <c r="X417" s="8">
        <f>VLOOKUP(RawSalesTable[[#This Row],[Product_ID]],ProductsTable[],5,FALSE)</f>
        <v>131.72999999999999</v>
      </c>
      <c r="Y417" s="8">
        <f>RawSalesTable[[#This Row],[Quantity]]*RawSalesTable[[#This Row],[Unit_Price]]</f>
        <v>265.35000000000002</v>
      </c>
      <c r="Z417" s="8">
        <f>RawSalesTable[[#This Row],[Gross_Sales]]*RawSalesTable[[#This Row],[Discount_Pct]]</f>
        <v>39.802500000000002</v>
      </c>
      <c r="AA417" s="8">
        <f>RawSalesTable[[#This Row],[Gross_Sales]]-RawSalesTable[[#This Row],[Discount_Amount]]</f>
        <v>225.54750000000001</v>
      </c>
      <c r="AB417" s="8">
        <f>RawSalesTable[[#This Row],[Unit_Cost]]*RawSalesTable[[#This Row],[Quantity]]</f>
        <v>131.72999999999999</v>
      </c>
      <c r="AC417" s="8">
        <f>RawSalesTable[[#This Row],[Net_Sales]]-RawSalesTable[[#This Row],[Total_Cost]]</f>
        <v>93.817500000000024</v>
      </c>
      <c r="AD417" s="9">
        <f>RawSalesTable[[#This Row],[Profit]]/RawSalesTable[[#This Row],[Net_Sales]]</f>
        <v>0.41595451069065281</v>
      </c>
      <c r="AE417" s="8">
        <f>IF(RawSalesTable[[#This Row],[Return_Status]]="Yes",1,0)</f>
        <v>0</v>
      </c>
      <c r="AF417" s="8">
        <f>YEAR(RawSalesTable[[#This Row],[Order_Date]])</f>
        <v>2025</v>
      </c>
      <c r="AG417" s="8">
        <f>MONTH(RawSalesTable[[#This Row],[Order_Date]])</f>
        <v>7</v>
      </c>
      <c r="AH417" s="8" t="str">
        <f>TEXT(RawSalesTable[[#This Row],[Order_Date]],"mmmm")</f>
        <v>juillet</v>
      </c>
      <c r="AI417" s="8" t="str">
        <f>IF(RawSalesTable[[#This Row],[Month_Number]]&lt;=3,"Q1",IF(RawSalesTable[[#This Row],[Month_Number]]&lt;=6,"Q2",IF(RawSalesTable[[#This Row],[Month_Number]]&lt;=9,"Q3","Q4")))</f>
        <v>Q3</v>
      </c>
      <c r="AJ417" s="13">
        <f>DATE(YEAR(RawSalesTable[[#This Row],[Order_Date]]),MONTH(RawSalesTable[[#This Row],[Order_Date]]),1)</f>
        <v>45839</v>
      </c>
      <c r="AK417" s="8" t="str">
        <f>VLOOKUP(RawSalesTable[[#This Row],[Customer_ID_clean]],CustomersTable[],4,FALSE)</f>
        <v>Nova Scotia</v>
      </c>
    </row>
    <row r="418" spans="1:37">
      <c r="A418" t="s">
        <v>834</v>
      </c>
      <c r="B418" s="3">
        <v>46011</v>
      </c>
      <c r="C418" t="s">
        <v>84</v>
      </c>
      <c r="D418" t="s">
        <v>120</v>
      </c>
      <c r="E418" t="s">
        <v>86</v>
      </c>
      <c r="F418" t="s">
        <v>145</v>
      </c>
      <c r="G418" t="s">
        <v>96</v>
      </c>
      <c r="H418" t="s">
        <v>89</v>
      </c>
      <c r="I418">
        <v>4</v>
      </c>
      <c r="J418" s="2">
        <v>369.84</v>
      </c>
      <c r="K418" s="4">
        <v>0.15</v>
      </c>
      <c r="L418" t="s">
        <v>106</v>
      </c>
      <c r="M418">
        <v>9</v>
      </c>
      <c r="N418" t="s">
        <v>91</v>
      </c>
      <c r="O418" t="str">
        <f>SUBSTITUTE(PROPER(TRIM(RawSalesTable[[#This Row],[Channel_Raw]])), "Market Place", "Marketplace")</f>
        <v>Online</v>
      </c>
      <c r="P418" t="str">
        <f>TRIM(RawSalesTable[[#This Row],[Store_Raw]])</f>
        <v>Calgary North</v>
      </c>
      <c r="Q418" t="str">
        <f>IF(TRIM(RawSalesTable[[#This Row],[Payment_Method_Raw]])="","Non renseigné",SUBSTITUTE(TRIM(RawSalesTable[[#This Row],[Payment_Method_Raw]]),"CC","Credit Card"))</f>
        <v>Credit Card</v>
      </c>
      <c r="R418" s="8" t="str">
        <f>UPPER(PROPER(RawSalesTable[[#This Row],[Customer_ID]]))</f>
        <v>C0113</v>
      </c>
      <c r="S418" s="8" t="str">
        <f>TRIM(LEFT(RawSalesTable[[#This Row],[Customer_Info]],FIND(",",RawSalesTable[[#This Row],[Customer_Info]]) -1))</f>
        <v>Olivia Johnson</v>
      </c>
      <c r="T418" s="8" t="str">
        <f>TRIM(MID(RawSalesTable[[#This Row],[Customer_Info]],FIND(",",RawSalesTable[[#This Row],[Customer_Info]])+1,FIND(",",RawSalesTable[[#This Row],[Customer_Info]],FIND(",",RawSalesTable[[#This Row],[Customer_Info]])+1)-FIND(",",RawSalesTable[[#This Row],[Customer_Info]])-1))</f>
        <v>Surrey</v>
      </c>
      <c r="U418" s="8" t="str">
        <f>TRIM(RIGHT(RawSalesTable[[#This Row],[Customer_Info]], LEN(RawSalesTable[[#This Row],[Customer_Info]])-FIND(",",RawSalesTable[[#This Row],[Customer_Info]],FIND(",",RawSalesTable[[#This Row],[Customer_Info]])+1)))</f>
        <v>Consumer</v>
      </c>
      <c r="V418" s="8" t="str">
        <f>VLOOKUP(RawSalesTable[[#This Row],[Product_ID]],ProductsTable[],2,FALSE)</f>
        <v>Desk Organizer</v>
      </c>
      <c r="W418" s="8" t="str">
        <f>VLOOKUP(RawSalesTable[[#This Row],[Product_ID]],ProductsTable[],3,FALSE)</f>
        <v>Office</v>
      </c>
      <c r="X418" s="8">
        <f>VLOOKUP(RawSalesTable[[#This Row],[Product_ID]],ProductsTable[],5,FALSE)</f>
        <v>235.76</v>
      </c>
      <c r="Y418" s="8">
        <f>RawSalesTable[[#This Row],[Quantity]]*RawSalesTable[[#This Row],[Unit_Price]]</f>
        <v>1479.36</v>
      </c>
      <c r="Z418" s="8">
        <f>RawSalesTable[[#This Row],[Gross_Sales]]*RawSalesTable[[#This Row],[Discount_Pct]]</f>
        <v>221.90399999999997</v>
      </c>
      <c r="AA418" s="8">
        <f>RawSalesTable[[#This Row],[Gross_Sales]]-RawSalesTable[[#This Row],[Discount_Amount]]</f>
        <v>1257.4559999999999</v>
      </c>
      <c r="AB418" s="8">
        <f>RawSalesTable[[#This Row],[Unit_Cost]]*RawSalesTable[[#This Row],[Quantity]]</f>
        <v>943.04</v>
      </c>
      <c r="AC418" s="8">
        <f>RawSalesTable[[#This Row],[Net_Sales]]-RawSalesTable[[#This Row],[Total_Cost]]</f>
        <v>314.41599999999994</v>
      </c>
      <c r="AD418" s="9">
        <f>RawSalesTable[[#This Row],[Profit]]/RawSalesTable[[#This Row],[Net_Sales]]</f>
        <v>0.25004135333562366</v>
      </c>
      <c r="AE418" s="8">
        <f>IF(RawSalesTable[[#This Row],[Return_Status]]="Yes",1,0)</f>
        <v>0</v>
      </c>
      <c r="AF418" s="8">
        <f>YEAR(RawSalesTable[[#This Row],[Order_Date]])</f>
        <v>2025</v>
      </c>
      <c r="AG418" s="8">
        <f>MONTH(RawSalesTable[[#This Row],[Order_Date]])</f>
        <v>12</v>
      </c>
      <c r="AH418" s="8" t="str">
        <f>TEXT(RawSalesTable[[#This Row],[Order_Date]],"mmmm")</f>
        <v>décembre</v>
      </c>
      <c r="AI418" s="8" t="str">
        <f>IF(RawSalesTable[[#This Row],[Month_Number]]&lt;=3,"Q1",IF(RawSalesTable[[#This Row],[Month_Number]]&lt;=6,"Q2",IF(RawSalesTable[[#This Row],[Month_Number]]&lt;=9,"Q3","Q4")))</f>
        <v>Q4</v>
      </c>
      <c r="AJ418" s="13">
        <f>DATE(YEAR(RawSalesTable[[#This Row],[Order_Date]]),MONTH(RawSalesTable[[#This Row],[Order_Date]]),1)</f>
        <v>45992</v>
      </c>
      <c r="AK418" s="8" t="str">
        <f>VLOOKUP(RawSalesTable[[#This Row],[Customer_ID_clean]],CustomersTable[],4,FALSE)</f>
        <v>British Columbia</v>
      </c>
    </row>
    <row r="419" spans="1:37">
      <c r="A419" t="s">
        <v>835</v>
      </c>
      <c r="B419" s="3">
        <v>45924</v>
      </c>
      <c r="C419" t="s">
        <v>379</v>
      </c>
      <c r="D419" t="s">
        <v>125</v>
      </c>
      <c r="E419" t="s">
        <v>380</v>
      </c>
      <c r="F419" t="s">
        <v>145</v>
      </c>
      <c r="G419" t="s">
        <v>96</v>
      </c>
      <c r="H419" t="s">
        <v>89</v>
      </c>
      <c r="I419">
        <v>1</v>
      </c>
      <c r="J419" s="2">
        <v>54.86</v>
      </c>
      <c r="K419" s="4">
        <v>0</v>
      </c>
      <c r="L419" t="s">
        <v>106</v>
      </c>
      <c r="M419">
        <v>2</v>
      </c>
      <c r="N419" t="s">
        <v>91</v>
      </c>
      <c r="O419" t="str">
        <f>SUBSTITUTE(PROPER(TRIM(RawSalesTable[[#This Row],[Channel_Raw]])), "Market Place", "Marketplace")</f>
        <v>Online</v>
      </c>
      <c r="P419" t="str">
        <f>TRIM(RawSalesTable[[#This Row],[Store_Raw]])</f>
        <v>Calgary North</v>
      </c>
      <c r="Q419" t="str">
        <f>IF(TRIM(RawSalesTable[[#This Row],[Payment_Method_Raw]])="","Non renseigné",SUBSTITUTE(TRIM(RawSalesTable[[#This Row],[Payment_Method_Raw]]),"CC","Credit Card"))</f>
        <v>Credit Card</v>
      </c>
      <c r="R419" s="8" t="str">
        <f>UPPER(PROPER(RawSalesTable[[#This Row],[Customer_ID]]))</f>
        <v>C0072</v>
      </c>
      <c r="S419" s="8" t="str">
        <f>TRIM(LEFT(RawSalesTable[[#This Row],[Customer_Info]],FIND(",",RawSalesTable[[#This Row],[Customer_Info]]) -1))</f>
        <v>Ryan Bennett</v>
      </c>
      <c r="T419" s="8" t="str">
        <f>TRIM(MID(RawSalesTable[[#This Row],[Customer_Info]],FIND(",",RawSalesTable[[#This Row],[Customer_Info]])+1,FIND(",",RawSalesTable[[#This Row],[Customer_Info]],FIND(",",RawSalesTable[[#This Row],[Customer_Info]])+1)-FIND(",",RawSalesTable[[#This Row],[Customer_Info]])-1))</f>
        <v>Montreal</v>
      </c>
      <c r="U419" s="8" t="str">
        <f>TRIM(RIGHT(RawSalesTable[[#This Row],[Customer_Info]], LEN(RawSalesTable[[#This Row],[Customer_Info]])-FIND(",",RawSalesTable[[#This Row],[Customer_Info]],FIND(",",RawSalesTable[[#This Row],[Customer_Info]])+1)))</f>
        <v>Corporate</v>
      </c>
      <c r="V419" s="8" t="str">
        <f>VLOOKUP(RawSalesTable[[#This Row],[Product_ID]],ProductsTable[],2,FALSE)</f>
        <v>Kettlebell</v>
      </c>
      <c r="W419" s="8" t="str">
        <f>VLOOKUP(RawSalesTable[[#This Row],[Product_ID]],ProductsTable[],3,FALSE)</f>
        <v>Fitness</v>
      </c>
      <c r="X419" s="8">
        <f>VLOOKUP(RawSalesTable[[#This Row],[Product_ID]],ProductsTable[],5,FALSE)</f>
        <v>25.97</v>
      </c>
      <c r="Y419" s="8">
        <f>RawSalesTable[[#This Row],[Quantity]]*RawSalesTable[[#This Row],[Unit_Price]]</f>
        <v>54.86</v>
      </c>
      <c r="Z419" s="8">
        <f>RawSalesTable[[#This Row],[Gross_Sales]]*RawSalesTable[[#This Row],[Discount_Pct]]</f>
        <v>0</v>
      </c>
      <c r="AA419" s="8">
        <f>RawSalesTable[[#This Row],[Gross_Sales]]-RawSalesTable[[#This Row],[Discount_Amount]]</f>
        <v>54.86</v>
      </c>
      <c r="AB419" s="8">
        <f>RawSalesTable[[#This Row],[Unit_Cost]]*RawSalesTable[[#This Row],[Quantity]]</f>
        <v>25.97</v>
      </c>
      <c r="AC419" s="8">
        <f>RawSalesTable[[#This Row],[Net_Sales]]-RawSalesTable[[#This Row],[Total_Cost]]</f>
        <v>28.89</v>
      </c>
      <c r="AD419" s="9">
        <f>RawSalesTable[[#This Row],[Profit]]/RawSalesTable[[#This Row],[Net_Sales]]</f>
        <v>0.52661319722931099</v>
      </c>
      <c r="AE419" s="8">
        <f>IF(RawSalesTable[[#This Row],[Return_Status]]="Yes",1,0)</f>
        <v>0</v>
      </c>
      <c r="AF419" s="8">
        <f>YEAR(RawSalesTable[[#This Row],[Order_Date]])</f>
        <v>2025</v>
      </c>
      <c r="AG419" s="8">
        <f>MONTH(RawSalesTable[[#This Row],[Order_Date]])</f>
        <v>9</v>
      </c>
      <c r="AH419" s="8" t="str">
        <f>TEXT(RawSalesTable[[#This Row],[Order_Date]],"mmmm")</f>
        <v>septembre</v>
      </c>
      <c r="AI419" s="8" t="str">
        <f>IF(RawSalesTable[[#This Row],[Month_Number]]&lt;=3,"Q1",IF(RawSalesTable[[#This Row],[Month_Number]]&lt;=6,"Q2",IF(RawSalesTable[[#This Row],[Month_Number]]&lt;=9,"Q3","Q4")))</f>
        <v>Q3</v>
      </c>
      <c r="AJ419" s="13">
        <f>DATE(YEAR(RawSalesTable[[#This Row],[Order_Date]]),MONTH(RawSalesTable[[#This Row],[Order_Date]]),1)</f>
        <v>45901</v>
      </c>
      <c r="AK419" s="8" t="str">
        <f>VLOOKUP(RawSalesTable[[#This Row],[Customer_ID_clean]],CustomersTable[],4,FALSE)</f>
        <v>Quebec</v>
      </c>
    </row>
    <row r="420" spans="1:37">
      <c r="A420" t="s">
        <v>836</v>
      </c>
      <c r="B420" s="3">
        <v>45747</v>
      </c>
      <c r="C420" t="s">
        <v>466</v>
      </c>
      <c r="D420" t="s">
        <v>249</v>
      </c>
      <c r="E420" t="s">
        <v>467</v>
      </c>
      <c r="F420" t="s">
        <v>103</v>
      </c>
      <c r="G420" t="s">
        <v>88</v>
      </c>
      <c r="H420" t="s">
        <v>89</v>
      </c>
      <c r="I420">
        <v>2</v>
      </c>
      <c r="J420" s="2">
        <v>405.32</v>
      </c>
      <c r="K420" s="4">
        <v>0</v>
      </c>
      <c r="L420" t="s">
        <v>106</v>
      </c>
      <c r="M420">
        <v>5</v>
      </c>
      <c r="N420" t="s">
        <v>91</v>
      </c>
      <c r="O420" t="str">
        <f>SUBSTITUTE(PROPER(TRIM(RawSalesTable[[#This Row],[Channel_Raw]])), "Market Place", "Marketplace")</f>
        <v>Online</v>
      </c>
      <c r="P420" t="str">
        <f>TRIM(RawSalesTable[[#This Row],[Store_Raw]])</f>
        <v>Vancouver West</v>
      </c>
      <c r="Q420" t="str">
        <f>IF(TRIM(RawSalesTable[[#This Row],[Payment_Method_Raw]])="","Non renseigné",SUBSTITUTE(TRIM(RawSalesTable[[#This Row],[Payment_Method_Raw]]),"CC","Credit Card"))</f>
        <v>Credit Card</v>
      </c>
      <c r="R420" s="8" t="str">
        <f>UPPER(PROPER(RawSalesTable[[#This Row],[Customer_ID]]))</f>
        <v>C0096</v>
      </c>
      <c r="S420" s="8" t="str">
        <f>TRIM(LEFT(RawSalesTable[[#This Row],[Customer_Info]],FIND(",",RawSalesTable[[#This Row],[Customer_Info]]) -1))</f>
        <v>Ryan Roy</v>
      </c>
      <c r="T420" s="8" t="str">
        <f>TRIM(MID(RawSalesTable[[#This Row],[Customer_Info]],FIND(",",RawSalesTable[[#This Row],[Customer_Info]])+1,FIND(",",RawSalesTable[[#This Row],[Customer_Info]],FIND(",",RawSalesTable[[#This Row],[Customer_Info]])+1)-FIND(",",RawSalesTable[[#This Row],[Customer_Info]])-1))</f>
        <v>Laval</v>
      </c>
      <c r="U420" s="8" t="str">
        <f>TRIM(RIGHT(RawSalesTable[[#This Row],[Customer_Info]], LEN(RawSalesTable[[#This Row],[Customer_Info]])-FIND(",",RawSalesTable[[#This Row],[Customer_Info]],FIND(",",RawSalesTable[[#This Row],[Customer_Info]])+1)))</f>
        <v>Corporate</v>
      </c>
      <c r="V420" s="8" t="str">
        <f>VLOOKUP(RawSalesTable[[#This Row],[Product_ID]],ProductsTable[],2,FALSE)</f>
        <v>Humidifier</v>
      </c>
      <c r="W420" s="8" t="str">
        <f>VLOOKUP(RawSalesTable[[#This Row],[Product_ID]],ProductsTable[],3,FALSE)</f>
        <v>Home</v>
      </c>
      <c r="X420" s="8">
        <f>VLOOKUP(RawSalesTable[[#This Row],[Product_ID]],ProductsTable[],5,FALSE)</f>
        <v>239.67</v>
      </c>
      <c r="Y420" s="8">
        <f>RawSalesTable[[#This Row],[Quantity]]*RawSalesTable[[#This Row],[Unit_Price]]</f>
        <v>810.64</v>
      </c>
      <c r="Z420" s="8">
        <f>RawSalesTable[[#This Row],[Gross_Sales]]*RawSalesTable[[#This Row],[Discount_Pct]]</f>
        <v>0</v>
      </c>
      <c r="AA420" s="8">
        <f>RawSalesTable[[#This Row],[Gross_Sales]]-RawSalesTable[[#This Row],[Discount_Amount]]</f>
        <v>810.64</v>
      </c>
      <c r="AB420" s="8">
        <f>RawSalesTable[[#This Row],[Unit_Cost]]*RawSalesTable[[#This Row],[Quantity]]</f>
        <v>479.34</v>
      </c>
      <c r="AC420" s="8">
        <f>RawSalesTable[[#This Row],[Net_Sales]]-RawSalesTable[[#This Row],[Total_Cost]]</f>
        <v>331.3</v>
      </c>
      <c r="AD420" s="9">
        <f>RawSalesTable[[#This Row],[Profit]]/RawSalesTable[[#This Row],[Net_Sales]]</f>
        <v>0.40868943057337415</v>
      </c>
      <c r="AE420" s="8">
        <f>IF(RawSalesTable[[#This Row],[Return_Status]]="Yes",1,0)</f>
        <v>0</v>
      </c>
      <c r="AF420" s="8">
        <f>YEAR(RawSalesTable[[#This Row],[Order_Date]])</f>
        <v>2025</v>
      </c>
      <c r="AG420" s="8">
        <f>MONTH(RawSalesTable[[#This Row],[Order_Date]])</f>
        <v>3</v>
      </c>
      <c r="AH420" s="8" t="str">
        <f>TEXT(RawSalesTable[[#This Row],[Order_Date]],"mmmm")</f>
        <v>mars</v>
      </c>
      <c r="AI420" s="8" t="str">
        <f>IF(RawSalesTable[[#This Row],[Month_Number]]&lt;=3,"Q1",IF(RawSalesTable[[#This Row],[Month_Number]]&lt;=6,"Q2",IF(RawSalesTable[[#This Row],[Month_Number]]&lt;=9,"Q3","Q4")))</f>
        <v>Q1</v>
      </c>
      <c r="AJ420" s="13">
        <f>DATE(YEAR(RawSalesTable[[#This Row],[Order_Date]]),MONTH(RawSalesTable[[#This Row],[Order_Date]]),1)</f>
        <v>45717</v>
      </c>
      <c r="AK420" s="8" t="str">
        <f>VLOOKUP(RawSalesTable[[#This Row],[Customer_ID_clean]],CustomersTable[],4,FALSE)</f>
        <v>Quebec</v>
      </c>
    </row>
    <row r="421" spans="1:37">
      <c r="A421" t="s">
        <v>837</v>
      </c>
      <c r="B421" s="3">
        <v>45779</v>
      </c>
      <c r="C421" t="s">
        <v>516</v>
      </c>
      <c r="D421" t="s">
        <v>210</v>
      </c>
      <c r="E421" t="s">
        <v>517</v>
      </c>
      <c r="F421" t="s">
        <v>111</v>
      </c>
      <c r="G421" t="s">
        <v>130</v>
      </c>
      <c r="H421" t="s">
        <v>89</v>
      </c>
      <c r="I421">
        <v>2</v>
      </c>
      <c r="J421" s="2">
        <v>316.13</v>
      </c>
      <c r="K421" s="4">
        <v>0</v>
      </c>
      <c r="L421" t="s">
        <v>106</v>
      </c>
      <c r="M421">
        <v>6</v>
      </c>
      <c r="N421" t="s">
        <v>147</v>
      </c>
      <c r="O421" t="str">
        <f>SUBSTITUTE(PROPER(TRIM(RawSalesTable[[#This Row],[Channel_Raw]])), "Market Place", "Marketplace")</f>
        <v>Online</v>
      </c>
      <c r="P421" t="str">
        <f>TRIM(RawSalesTable[[#This Row],[Store_Raw]])</f>
        <v>Montreal Central</v>
      </c>
      <c r="Q421" t="str">
        <f>IF(TRIM(RawSalesTable[[#This Row],[Payment_Method_Raw]])="","Non renseigné",SUBSTITUTE(TRIM(RawSalesTable[[#This Row],[Payment_Method_Raw]]),"CC","Credit Card"))</f>
        <v>Credit Card</v>
      </c>
      <c r="R421" s="8" t="str">
        <f>UPPER(PROPER(RawSalesTable[[#This Row],[Customer_ID]]))</f>
        <v>C0120</v>
      </c>
      <c r="S421" s="8" t="str">
        <f>TRIM(LEFT(RawSalesTable[[#This Row],[Customer_Info]],FIND(",",RawSalesTable[[#This Row],[Customer_Info]]) -1))</f>
        <v>Ethan King</v>
      </c>
      <c r="T421" s="8" t="str">
        <f>TRIM(MID(RawSalesTable[[#This Row],[Customer_Info]],FIND(",",RawSalesTable[[#This Row],[Customer_Info]])+1,FIND(",",RawSalesTable[[#This Row],[Customer_Info]],FIND(",",RawSalesTable[[#This Row],[Customer_Info]])+1)-FIND(",",RawSalesTable[[#This Row],[Customer_Info]])-1))</f>
        <v>Mississauga</v>
      </c>
      <c r="U421" s="8" t="str">
        <f>TRIM(RIGHT(RawSalesTable[[#This Row],[Customer_Info]], LEN(RawSalesTable[[#This Row],[Customer_Info]])-FIND(",",RawSalesTable[[#This Row],[Customer_Info]],FIND(",",RawSalesTable[[#This Row],[Customer_Info]])+1)))</f>
        <v>Small Business</v>
      </c>
      <c r="V421" s="8" t="str">
        <f>VLOOKUP(RawSalesTable[[#This Row],[Product_ID]],ProductsTable[],2,FALSE)</f>
        <v>Desk Pad</v>
      </c>
      <c r="W421" s="8" t="str">
        <f>VLOOKUP(RawSalesTable[[#This Row],[Product_ID]],ProductsTable[],3,FALSE)</f>
        <v>Accessories</v>
      </c>
      <c r="X421" s="8">
        <f>VLOOKUP(RawSalesTable[[#This Row],[Product_ID]],ProductsTable[],5,FALSE)</f>
        <v>177.57</v>
      </c>
      <c r="Y421" s="8">
        <f>RawSalesTable[[#This Row],[Quantity]]*RawSalesTable[[#This Row],[Unit_Price]]</f>
        <v>632.26</v>
      </c>
      <c r="Z421" s="8">
        <f>RawSalesTable[[#This Row],[Gross_Sales]]*RawSalesTable[[#This Row],[Discount_Pct]]</f>
        <v>0</v>
      </c>
      <c r="AA421" s="8">
        <f>RawSalesTable[[#This Row],[Gross_Sales]]-RawSalesTable[[#This Row],[Discount_Amount]]</f>
        <v>632.26</v>
      </c>
      <c r="AB421" s="8">
        <f>RawSalesTable[[#This Row],[Unit_Cost]]*RawSalesTable[[#This Row],[Quantity]]</f>
        <v>355.14</v>
      </c>
      <c r="AC421" s="8">
        <f>RawSalesTable[[#This Row],[Net_Sales]]-RawSalesTable[[#This Row],[Total_Cost]]</f>
        <v>277.12</v>
      </c>
      <c r="AD421" s="9">
        <f>RawSalesTable[[#This Row],[Profit]]/RawSalesTable[[#This Row],[Net_Sales]]</f>
        <v>0.43830069907949265</v>
      </c>
      <c r="AE421" s="8">
        <f>IF(RawSalesTable[[#This Row],[Return_Status]]="Yes",1,0)</f>
        <v>1</v>
      </c>
      <c r="AF421" s="8">
        <f>YEAR(RawSalesTable[[#This Row],[Order_Date]])</f>
        <v>2025</v>
      </c>
      <c r="AG421" s="8">
        <f>MONTH(RawSalesTable[[#This Row],[Order_Date]])</f>
        <v>5</v>
      </c>
      <c r="AH421" s="8" t="str">
        <f>TEXT(RawSalesTable[[#This Row],[Order_Date]],"mmmm")</f>
        <v>mai</v>
      </c>
      <c r="AI421" s="8" t="str">
        <f>IF(RawSalesTable[[#This Row],[Month_Number]]&lt;=3,"Q1",IF(RawSalesTable[[#This Row],[Month_Number]]&lt;=6,"Q2",IF(RawSalesTable[[#This Row],[Month_Number]]&lt;=9,"Q3","Q4")))</f>
        <v>Q2</v>
      </c>
      <c r="AJ421" s="13">
        <f>DATE(YEAR(RawSalesTable[[#This Row],[Order_Date]]),MONTH(RawSalesTable[[#This Row],[Order_Date]]),1)</f>
        <v>45778</v>
      </c>
      <c r="AK421" s="8" t="str">
        <f>VLOOKUP(RawSalesTable[[#This Row],[Customer_ID_clean]],CustomersTable[],4,FALSE)</f>
        <v>Ontario</v>
      </c>
    </row>
    <row r="422" spans="1:37">
      <c r="A422" t="s">
        <v>838</v>
      </c>
      <c r="B422" s="3">
        <v>45941</v>
      </c>
      <c r="C422" t="s">
        <v>177</v>
      </c>
      <c r="D422" t="s">
        <v>261</v>
      </c>
      <c r="E422" t="s">
        <v>178</v>
      </c>
      <c r="F422" t="s">
        <v>103</v>
      </c>
      <c r="G422" t="s">
        <v>104</v>
      </c>
      <c r="H422" t="s">
        <v>89</v>
      </c>
      <c r="I422">
        <v>4</v>
      </c>
      <c r="J422" s="2">
        <v>245.77</v>
      </c>
      <c r="K422" s="4">
        <v>0</v>
      </c>
      <c r="L422" t="s">
        <v>154</v>
      </c>
      <c r="M422">
        <v>9</v>
      </c>
      <c r="N422" t="s">
        <v>91</v>
      </c>
      <c r="O422" t="str">
        <f>SUBSTITUTE(PROPER(TRIM(RawSalesTable[[#This Row],[Channel_Raw]])), "Market Place", "Marketplace")</f>
        <v>Online</v>
      </c>
      <c r="P422" t="str">
        <f>TRIM(RawSalesTable[[#This Row],[Store_Raw]])</f>
        <v>Vancouver West</v>
      </c>
      <c r="Q422" t="str">
        <f>IF(TRIM(RawSalesTable[[#This Row],[Payment_Method_Raw]])="","Non renseigné",SUBSTITUTE(TRIM(RawSalesTable[[#This Row],[Payment_Method_Raw]]),"CC","Credit Card"))</f>
        <v>Gift Card</v>
      </c>
      <c r="R422" s="8" t="str">
        <f>UPPER(PROPER(RawSalesTable[[#This Row],[Customer_ID]]))</f>
        <v>C0041</v>
      </c>
      <c r="S422" s="8" t="str">
        <f>TRIM(LEFT(RawSalesTable[[#This Row],[Customer_Info]],FIND(",",RawSalesTable[[#This Row],[Customer_Info]]) -1))</f>
        <v>Amine Chen</v>
      </c>
      <c r="T422" s="8" t="str">
        <f>TRIM(MID(RawSalesTable[[#This Row],[Customer_Info]],FIND(",",RawSalesTable[[#This Row],[Customer_Info]])+1,FIND(",",RawSalesTable[[#This Row],[Customer_Info]],FIND(",",RawSalesTable[[#This Row],[Customer_Info]])+1)-FIND(",",RawSalesTable[[#This Row],[Customer_Info]])-1))</f>
        <v>Halifax</v>
      </c>
      <c r="U422" s="8" t="str">
        <f>TRIM(RIGHT(RawSalesTable[[#This Row],[Customer_Info]], LEN(RawSalesTable[[#This Row],[Customer_Info]])-FIND(",",RawSalesTable[[#This Row],[Customer_Info]],FIND(",",RawSalesTable[[#This Row],[Customer_Info]])+1)))</f>
        <v>Small Business</v>
      </c>
      <c r="V422" s="8" t="str">
        <f>VLOOKUP(RawSalesTable[[#This Row],[Product_ID]],ProductsTable[],2,FALSE)</f>
        <v>Dumbbell Set</v>
      </c>
      <c r="W422" s="8" t="str">
        <f>VLOOKUP(RawSalesTable[[#This Row],[Product_ID]],ProductsTable[],3,FALSE)</f>
        <v>Fitness</v>
      </c>
      <c r="X422" s="8">
        <f>VLOOKUP(RawSalesTable[[#This Row],[Product_ID]],ProductsTable[],5,FALSE)</f>
        <v>131.72999999999999</v>
      </c>
      <c r="Y422" s="8">
        <f>RawSalesTable[[#This Row],[Quantity]]*RawSalesTable[[#This Row],[Unit_Price]]</f>
        <v>983.08</v>
      </c>
      <c r="Z422" s="8">
        <f>RawSalesTable[[#This Row],[Gross_Sales]]*RawSalesTable[[#This Row],[Discount_Pct]]</f>
        <v>0</v>
      </c>
      <c r="AA422" s="8">
        <f>RawSalesTable[[#This Row],[Gross_Sales]]-RawSalesTable[[#This Row],[Discount_Amount]]</f>
        <v>983.08</v>
      </c>
      <c r="AB422" s="8">
        <f>RawSalesTable[[#This Row],[Unit_Cost]]*RawSalesTable[[#This Row],[Quantity]]</f>
        <v>526.91999999999996</v>
      </c>
      <c r="AC422" s="8">
        <f>RawSalesTable[[#This Row],[Net_Sales]]-RawSalesTable[[#This Row],[Total_Cost]]</f>
        <v>456.16000000000008</v>
      </c>
      <c r="AD422" s="9">
        <f>RawSalesTable[[#This Row],[Profit]]/RawSalesTable[[#This Row],[Net_Sales]]</f>
        <v>0.46401106725800551</v>
      </c>
      <c r="AE422" s="8">
        <f>IF(RawSalesTable[[#This Row],[Return_Status]]="Yes",1,0)</f>
        <v>0</v>
      </c>
      <c r="AF422" s="8">
        <f>YEAR(RawSalesTable[[#This Row],[Order_Date]])</f>
        <v>2025</v>
      </c>
      <c r="AG422" s="8">
        <f>MONTH(RawSalesTable[[#This Row],[Order_Date]])</f>
        <v>10</v>
      </c>
      <c r="AH422" s="8" t="str">
        <f>TEXT(RawSalesTable[[#This Row],[Order_Date]],"mmmm")</f>
        <v>octobre</v>
      </c>
      <c r="AI422" s="8" t="str">
        <f>IF(RawSalesTable[[#This Row],[Month_Number]]&lt;=3,"Q1",IF(RawSalesTable[[#This Row],[Month_Number]]&lt;=6,"Q2",IF(RawSalesTable[[#This Row],[Month_Number]]&lt;=9,"Q3","Q4")))</f>
        <v>Q4</v>
      </c>
      <c r="AJ422" s="13">
        <f>DATE(YEAR(RawSalesTable[[#This Row],[Order_Date]]),MONTH(RawSalesTable[[#This Row],[Order_Date]]),1)</f>
        <v>45931</v>
      </c>
      <c r="AK422" s="8" t="str">
        <f>VLOOKUP(RawSalesTable[[#This Row],[Customer_ID_clean]],CustomersTable[],4,FALSE)</f>
        <v>Nova Scotia</v>
      </c>
    </row>
    <row r="423" spans="1:37">
      <c r="A423" t="s">
        <v>839</v>
      </c>
      <c r="B423" s="3">
        <v>45972</v>
      </c>
      <c r="C423" t="s">
        <v>220</v>
      </c>
      <c r="D423" t="s">
        <v>139</v>
      </c>
      <c r="E423" t="s">
        <v>222</v>
      </c>
      <c r="F423" t="s">
        <v>87</v>
      </c>
      <c r="G423" t="s">
        <v>117</v>
      </c>
      <c r="H423" t="s">
        <v>105</v>
      </c>
      <c r="I423">
        <v>1</v>
      </c>
      <c r="J423" s="2">
        <v>85.38</v>
      </c>
      <c r="K423" s="4">
        <v>0</v>
      </c>
      <c r="L423" t="s">
        <v>106</v>
      </c>
      <c r="M423">
        <v>7</v>
      </c>
      <c r="N423" t="s">
        <v>91</v>
      </c>
      <c r="O423" t="str">
        <f>SUBSTITUTE(PROPER(TRIM(RawSalesTable[[#This Row],[Channel_Raw]])), "Market Place", "Marketplace")</f>
        <v>Marketplace</v>
      </c>
      <c r="P423" t="str">
        <f>TRIM(RawSalesTable[[#This Row],[Store_Raw]])</f>
        <v>Online Fulfillment</v>
      </c>
      <c r="Q423" t="str">
        <f>IF(TRIM(RawSalesTable[[#This Row],[Payment_Method_Raw]])="","Non renseigné",SUBSTITUTE(TRIM(RawSalesTable[[#This Row],[Payment_Method_Raw]]),"CC","Credit Card"))</f>
        <v>Credit Card</v>
      </c>
      <c r="R423" s="8" t="str">
        <f>UPPER(PROPER(RawSalesTable[[#This Row],[Customer_ID]]))</f>
        <v>C0067</v>
      </c>
      <c r="S423" s="8" t="str">
        <f>TRIM(LEFT(RawSalesTable[[#This Row],[Customer_Info]],FIND(",",RawSalesTable[[#This Row],[Customer_Info]]) -1))</f>
        <v>Leo Bennett</v>
      </c>
      <c r="T423" s="8" t="str">
        <f>TRIM(MID(RawSalesTable[[#This Row],[Customer_Info]],FIND(",",RawSalesTable[[#This Row],[Customer_Info]])+1,FIND(",",RawSalesTable[[#This Row],[Customer_Info]],FIND(",",RawSalesTable[[#This Row],[Customer_Info]])+1)-FIND(",",RawSalesTable[[#This Row],[Customer_Info]])-1))</f>
        <v>Mississauga</v>
      </c>
      <c r="U423" s="8" t="str">
        <f>TRIM(RIGHT(RawSalesTable[[#This Row],[Customer_Info]], LEN(RawSalesTable[[#This Row],[Customer_Info]])-FIND(",",RawSalesTable[[#This Row],[Customer_Info]],FIND(",",RawSalesTable[[#This Row],[Customer_Info]])+1)))</f>
        <v>Consumer</v>
      </c>
      <c r="V423" s="8" t="str">
        <f>VLOOKUP(RawSalesTable[[#This Row],[Product_ID]],ProductsTable[],2,FALSE)</f>
        <v>Standing Desk</v>
      </c>
      <c r="W423" s="8" t="str">
        <f>VLOOKUP(RawSalesTable[[#This Row],[Product_ID]],ProductsTable[],3,FALSE)</f>
        <v>Office</v>
      </c>
      <c r="X423" s="8">
        <f>VLOOKUP(RawSalesTable[[#This Row],[Product_ID]],ProductsTable[],5,FALSE)</f>
        <v>45.17</v>
      </c>
      <c r="Y423" s="8">
        <f>RawSalesTable[[#This Row],[Quantity]]*RawSalesTable[[#This Row],[Unit_Price]]</f>
        <v>85.38</v>
      </c>
      <c r="Z423" s="8">
        <f>RawSalesTable[[#This Row],[Gross_Sales]]*RawSalesTable[[#This Row],[Discount_Pct]]</f>
        <v>0</v>
      </c>
      <c r="AA423" s="8">
        <f>RawSalesTable[[#This Row],[Gross_Sales]]-RawSalesTable[[#This Row],[Discount_Amount]]</f>
        <v>85.38</v>
      </c>
      <c r="AB423" s="8">
        <f>RawSalesTable[[#This Row],[Unit_Cost]]*RawSalesTable[[#This Row],[Quantity]]</f>
        <v>45.17</v>
      </c>
      <c r="AC423" s="8">
        <f>RawSalesTable[[#This Row],[Net_Sales]]-RawSalesTable[[#This Row],[Total_Cost]]</f>
        <v>40.209999999999994</v>
      </c>
      <c r="AD423" s="9">
        <f>RawSalesTable[[#This Row],[Profit]]/RawSalesTable[[#This Row],[Net_Sales]]</f>
        <v>0.47095338486765048</v>
      </c>
      <c r="AE423" s="8">
        <f>IF(RawSalesTable[[#This Row],[Return_Status]]="Yes",1,0)</f>
        <v>0</v>
      </c>
      <c r="AF423" s="8">
        <f>YEAR(RawSalesTable[[#This Row],[Order_Date]])</f>
        <v>2025</v>
      </c>
      <c r="AG423" s="8">
        <f>MONTH(RawSalesTable[[#This Row],[Order_Date]])</f>
        <v>11</v>
      </c>
      <c r="AH423" s="8" t="str">
        <f>TEXT(RawSalesTable[[#This Row],[Order_Date]],"mmmm")</f>
        <v>novembre</v>
      </c>
      <c r="AI423" s="8" t="str">
        <f>IF(RawSalesTable[[#This Row],[Month_Number]]&lt;=3,"Q1",IF(RawSalesTable[[#This Row],[Month_Number]]&lt;=6,"Q2",IF(RawSalesTable[[#This Row],[Month_Number]]&lt;=9,"Q3","Q4")))</f>
        <v>Q4</v>
      </c>
      <c r="AJ423" s="13">
        <f>DATE(YEAR(RawSalesTable[[#This Row],[Order_Date]]),MONTH(RawSalesTable[[#This Row],[Order_Date]]),1)</f>
        <v>45962</v>
      </c>
      <c r="AK423" s="8" t="str">
        <f>VLOOKUP(RawSalesTable[[#This Row],[Customer_ID_clean]],CustomersTable[],4,FALSE)</f>
        <v>Ontario</v>
      </c>
    </row>
    <row r="424" spans="1:37">
      <c r="A424" t="s">
        <v>840</v>
      </c>
      <c r="B424" s="3">
        <v>45740</v>
      </c>
      <c r="C424" t="s">
        <v>268</v>
      </c>
      <c r="D424" t="s">
        <v>94</v>
      </c>
      <c r="E424" t="s">
        <v>269</v>
      </c>
      <c r="F424" t="s">
        <v>111</v>
      </c>
      <c r="G424" t="s">
        <v>117</v>
      </c>
      <c r="H424" t="s">
        <v>89</v>
      </c>
      <c r="I424">
        <v>1</v>
      </c>
      <c r="J424" s="2">
        <v>303.56</v>
      </c>
      <c r="K424" s="4">
        <v>0</v>
      </c>
      <c r="L424" t="s">
        <v>154</v>
      </c>
      <c r="M424">
        <v>4</v>
      </c>
      <c r="N424" t="s">
        <v>91</v>
      </c>
      <c r="O424" t="str">
        <f>SUBSTITUTE(PROPER(TRIM(RawSalesTable[[#This Row],[Channel_Raw]])), "Market Place", "Marketplace")</f>
        <v>Online</v>
      </c>
      <c r="P424" t="str">
        <f>TRIM(RawSalesTable[[#This Row],[Store_Raw]])</f>
        <v>Montreal Central</v>
      </c>
      <c r="Q424" t="str">
        <f>IF(TRIM(RawSalesTable[[#This Row],[Payment_Method_Raw]])="","Non renseigné",SUBSTITUTE(TRIM(RawSalesTable[[#This Row],[Payment_Method_Raw]]),"CC","Credit Card"))</f>
        <v>Gift Card</v>
      </c>
      <c r="R424" s="8" t="str">
        <f>UPPER(PROPER(RawSalesTable[[#This Row],[Customer_ID]]))</f>
        <v>C0043</v>
      </c>
      <c r="S424" s="8" t="str">
        <f>TRIM(LEFT(RawSalesTable[[#This Row],[Customer_Info]],FIND(",",RawSalesTable[[#This Row],[Customer_Info]]) -1))</f>
        <v>Ava Brown</v>
      </c>
      <c r="T424" s="8" t="str">
        <f>TRIM(MID(RawSalesTable[[#This Row],[Customer_Info]],FIND(",",RawSalesTable[[#This Row],[Customer_Info]])+1,FIND(",",RawSalesTable[[#This Row],[Customer_Info]],FIND(",",RawSalesTable[[#This Row],[Customer_Info]])+1)-FIND(",",RawSalesTable[[#This Row],[Customer_Info]])-1))</f>
        <v>Ottawa</v>
      </c>
      <c r="U424" s="8" t="str">
        <f>TRIM(RIGHT(RawSalesTable[[#This Row],[Customer_Info]], LEN(RawSalesTable[[#This Row],[Customer_Info]])-FIND(",",RawSalesTable[[#This Row],[Customer_Info]],FIND(",",RawSalesTable[[#This Row],[Customer_Info]])+1)))</f>
        <v>Small Business</v>
      </c>
      <c r="V424" s="8" t="str">
        <f>VLOOKUP(RawSalesTable[[#This Row],[Product_ID]],ProductsTable[],2,FALSE)</f>
        <v>Backpack</v>
      </c>
      <c r="W424" s="8" t="str">
        <f>VLOOKUP(RawSalesTable[[#This Row],[Product_ID]],ProductsTable[],3,FALSE)</f>
        <v>Accessories</v>
      </c>
      <c r="X424" s="8">
        <f>VLOOKUP(RawSalesTable[[#This Row],[Product_ID]],ProductsTable[],5,FALSE)</f>
        <v>152.55000000000001</v>
      </c>
      <c r="Y424" s="8">
        <f>RawSalesTable[[#This Row],[Quantity]]*RawSalesTable[[#This Row],[Unit_Price]]</f>
        <v>303.56</v>
      </c>
      <c r="Z424" s="8">
        <f>RawSalesTable[[#This Row],[Gross_Sales]]*RawSalesTable[[#This Row],[Discount_Pct]]</f>
        <v>0</v>
      </c>
      <c r="AA424" s="8">
        <f>RawSalesTable[[#This Row],[Gross_Sales]]-RawSalesTable[[#This Row],[Discount_Amount]]</f>
        <v>303.56</v>
      </c>
      <c r="AB424" s="8">
        <f>RawSalesTable[[#This Row],[Unit_Cost]]*RawSalesTable[[#This Row],[Quantity]]</f>
        <v>152.55000000000001</v>
      </c>
      <c r="AC424" s="8">
        <f>RawSalesTable[[#This Row],[Net_Sales]]-RawSalesTable[[#This Row],[Total_Cost]]</f>
        <v>151.01</v>
      </c>
      <c r="AD424" s="9">
        <f>RawSalesTable[[#This Row],[Profit]]/RawSalesTable[[#This Row],[Net_Sales]]</f>
        <v>0.49746343391751213</v>
      </c>
      <c r="AE424" s="8">
        <f>IF(RawSalesTable[[#This Row],[Return_Status]]="Yes",1,0)</f>
        <v>0</v>
      </c>
      <c r="AF424" s="8">
        <f>YEAR(RawSalesTable[[#This Row],[Order_Date]])</f>
        <v>2025</v>
      </c>
      <c r="AG424" s="8">
        <f>MONTH(RawSalesTable[[#This Row],[Order_Date]])</f>
        <v>3</v>
      </c>
      <c r="AH424" s="8" t="str">
        <f>TEXT(RawSalesTable[[#This Row],[Order_Date]],"mmmm")</f>
        <v>mars</v>
      </c>
      <c r="AI424" s="8" t="str">
        <f>IF(RawSalesTable[[#This Row],[Month_Number]]&lt;=3,"Q1",IF(RawSalesTable[[#This Row],[Month_Number]]&lt;=6,"Q2",IF(RawSalesTable[[#This Row],[Month_Number]]&lt;=9,"Q3","Q4")))</f>
        <v>Q1</v>
      </c>
      <c r="AJ424" s="13">
        <f>DATE(YEAR(RawSalesTable[[#This Row],[Order_Date]]),MONTH(RawSalesTable[[#This Row],[Order_Date]]),1)</f>
        <v>45717</v>
      </c>
      <c r="AK424" s="8" t="str">
        <f>VLOOKUP(RawSalesTable[[#This Row],[Customer_ID_clean]],CustomersTable[],4,FALSE)</f>
        <v>Ontario</v>
      </c>
    </row>
    <row r="425" spans="1:37">
      <c r="A425" t="s">
        <v>841</v>
      </c>
      <c r="B425" s="3">
        <v>45809</v>
      </c>
      <c r="C425" t="s">
        <v>480</v>
      </c>
      <c r="D425" t="s">
        <v>143</v>
      </c>
      <c r="E425" t="s">
        <v>481</v>
      </c>
      <c r="F425" t="s">
        <v>103</v>
      </c>
      <c r="G425" t="s">
        <v>183</v>
      </c>
      <c r="H425" t="s">
        <v>308</v>
      </c>
      <c r="I425">
        <v>2</v>
      </c>
      <c r="J425" s="2">
        <v>276.93</v>
      </c>
      <c r="K425" s="4">
        <v>0.25</v>
      </c>
      <c r="L425" t="s">
        <v>521</v>
      </c>
      <c r="M425">
        <v>1</v>
      </c>
      <c r="N425" t="s">
        <v>91</v>
      </c>
      <c r="O425" t="str">
        <f>SUBSTITUTE(PROPER(TRIM(RawSalesTable[[#This Row],[Channel_Raw]])), "Market Place", "Marketplace")</f>
        <v>Online</v>
      </c>
      <c r="P425" t="str">
        <f>TRIM(RawSalesTable[[#This Row],[Store_Raw]])</f>
        <v>Vancouver West</v>
      </c>
      <c r="Q425" t="str">
        <f>IF(TRIM(RawSalesTable[[#This Row],[Payment_Method_Raw]])="","Non renseigné",SUBSTITUTE(TRIM(RawSalesTable[[#This Row],[Payment_Method_Raw]]),"CC","Credit Card"))</f>
        <v>debit card</v>
      </c>
      <c r="R425" s="8" t="str">
        <f>UPPER(PROPER(RawSalesTable[[#This Row],[Customer_ID]]))</f>
        <v>C0053</v>
      </c>
      <c r="S425" s="8" t="str">
        <f>TRIM(LEFT(RawSalesTable[[#This Row],[Customer_Info]],FIND(",",RawSalesTable[[#This Row],[Customer_Info]]) -1))</f>
        <v>Ryan Lee</v>
      </c>
      <c r="T425" s="8" t="str">
        <f>TRIM(MID(RawSalesTable[[#This Row],[Customer_Info]],FIND(",",RawSalesTable[[#This Row],[Customer_Info]])+1,FIND(",",RawSalesTable[[#This Row],[Customer_Info]],FIND(",",RawSalesTable[[#This Row],[Customer_Info]])+1)-FIND(",",RawSalesTable[[#This Row],[Customer_Info]])-1))</f>
        <v>Laval</v>
      </c>
      <c r="U425" s="8" t="str">
        <f>TRIM(RIGHT(RawSalesTable[[#This Row],[Customer_Info]], LEN(RawSalesTable[[#This Row],[Customer_Info]])-FIND(",",RawSalesTable[[#This Row],[Customer_Info]],FIND(",",RawSalesTable[[#This Row],[Customer_Info]])+1)))</f>
        <v>Consumer</v>
      </c>
      <c r="V425" s="8" t="str">
        <f>VLOOKUP(RawSalesTable[[#This Row],[Product_ID]],ProductsTable[],2,FALSE)</f>
        <v>Water Bottle</v>
      </c>
      <c r="W425" s="8" t="str">
        <f>VLOOKUP(RawSalesTable[[#This Row],[Product_ID]],ProductsTable[],3,FALSE)</f>
        <v>Accessories</v>
      </c>
      <c r="X425" s="8">
        <f>VLOOKUP(RawSalesTable[[#This Row],[Product_ID]],ProductsTable[],5,FALSE)</f>
        <v>119.16</v>
      </c>
      <c r="Y425" s="8">
        <f>RawSalesTable[[#This Row],[Quantity]]*RawSalesTable[[#This Row],[Unit_Price]]</f>
        <v>553.86</v>
      </c>
      <c r="Z425" s="8">
        <f>RawSalesTable[[#This Row],[Gross_Sales]]*RawSalesTable[[#This Row],[Discount_Pct]]</f>
        <v>138.465</v>
      </c>
      <c r="AA425" s="8">
        <f>RawSalesTable[[#This Row],[Gross_Sales]]-RawSalesTable[[#This Row],[Discount_Amount]]</f>
        <v>415.39499999999998</v>
      </c>
      <c r="AB425" s="8">
        <f>RawSalesTable[[#This Row],[Unit_Cost]]*RawSalesTable[[#This Row],[Quantity]]</f>
        <v>238.32</v>
      </c>
      <c r="AC425" s="8">
        <f>RawSalesTable[[#This Row],[Net_Sales]]-RawSalesTable[[#This Row],[Total_Cost]]</f>
        <v>177.07499999999999</v>
      </c>
      <c r="AD425" s="9">
        <f>RawSalesTable[[#This Row],[Profit]]/RawSalesTable[[#This Row],[Net_Sales]]</f>
        <v>0.42628100964142562</v>
      </c>
      <c r="AE425" s="8">
        <f>IF(RawSalesTable[[#This Row],[Return_Status]]="Yes",1,0)</f>
        <v>0</v>
      </c>
      <c r="AF425" s="8">
        <f>YEAR(RawSalesTable[[#This Row],[Order_Date]])</f>
        <v>2025</v>
      </c>
      <c r="AG425" s="8">
        <f>MONTH(RawSalesTable[[#This Row],[Order_Date]])</f>
        <v>6</v>
      </c>
      <c r="AH425" s="8" t="str">
        <f>TEXT(RawSalesTable[[#This Row],[Order_Date]],"mmmm")</f>
        <v>juin</v>
      </c>
      <c r="AI425" s="8" t="str">
        <f>IF(RawSalesTable[[#This Row],[Month_Number]]&lt;=3,"Q1",IF(RawSalesTable[[#This Row],[Month_Number]]&lt;=6,"Q2",IF(RawSalesTable[[#This Row],[Month_Number]]&lt;=9,"Q3","Q4")))</f>
        <v>Q2</v>
      </c>
      <c r="AJ425" s="13">
        <f>DATE(YEAR(RawSalesTable[[#This Row],[Order_Date]]),MONTH(RawSalesTable[[#This Row],[Order_Date]]),1)</f>
        <v>45809</v>
      </c>
      <c r="AK425" s="8" t="str">
        <f>VLOOKUP(RawSalesTable[[#This Row],[Customer_ID_clean]],CustomersTable[],4,FALSE)</f>
        <v>Quebec</v>
      </c>
    </row>
    <row r="426" spans="1:37">
      <c r="A426" t="s">
        <v>842</v>
      </c>
      <c r="B426" s="3">
        <v>45980</v>
      </c>
      <c r="C426" t="s">
        <v>706</v>
      </c>
      <c r="D426" t="s">
        <v>360</v>
      </c>
      <c r="E426" t="s">
        <v>843</v>
      </c>
      <c r="F426" t="s">
        <v>87</v>
      </c>
      <c r="G426" t="s">
        <v>130</v>
      </c>
      <c r="H426" t="s">
        <v>97</v>
      </c>
      <c r="I426">
        <v>1</v>
      </c>
      <c r="J426" s="2">
        <v>65.44</v>
      </c>
      <c r="K426" s="4">
        <v>0.1</v>
      </c>
      <c r="L426" t="s">
        <v>106</v>
      </c>
      <c r="M426">
        <v>4</v>
      </c>
      <c r="N426" t="s">
        <v>91</v>
      </c>
      <c r="O426" t="str">
        <f>SUBSTITUTE(PROPER(TRIM(RawSalesTable[[#This Row],[Channel_Raw]])), "Market Place", "Marketplace")</f>
        <v>Retail Store</v>
      </c>
      <c r="P426" t="str">
        <f>TRIM(RawSalesTable[[#This Row],[Store_Raw]])</f>
        <v>Online Fulfillment</v>
      </c>
      <c r="Q426" t="str">
        <f>IF(TRIM(RawSalesTable[[#This Row],[Payment_Method_Raw]])="","Non renseigné",SUBSTITUTE(TRIM(RawSalesTable[[#This Row],[Payment_Method_Raw]]),"CC","Credit Card"))</f>
        <v>Credit Card</v>
      </c>
      <c r="R426" s="8" t="str">
        <f>UPPER(PROPER(RawSalesTable[[#This Row],[Customer_ID]]))</f>
        <v>C0006</v>
      </c>
      <c r="S426" s="8" t="str">
        <f>TRIM(LEFT(RawSalesTable[[#This Row],[Customer_Info]],FIND(",",RawSalesTable[[#This Row],[Customer_Info]]) -1))</f>
        <v>Nora Wilson</v>
      </c>
      <c r="T426" s="8" t="str">
        <f>TRIM(MID(RawSalesTable[[#This Row],[Customer_Info]],FIND(",",RawSalesTable[[#This Row],[Customer_Info]])+1,FIND(",",RawSalesTable[[#This Row],[Customer_Info]],FIND(",",RawSalesTable[[#This Row],[Customer_Info]])+1)-FIND(",",RawSalesTable[[#This Row],[Customer_Info]])-1))</f>
        <v>Laval</v>
      </c>
      <c r="U426" s="8" t="str">
        <f>TRIM(RIGHT(RawSalesTable[[#This Row],[Customer_Info]], LEN(RawSalesTable[[#This Row],[Customer_Info]])-FIND(",",RawSalesTable[[#This Row],[Customer_Info]],FIND(",",RawSalesTable[[#This Row],[Customer_Info]])+1)))</f>
        <v>Consumer</v>
      </c>
      <c r="V426" s="8" t="str">
        <f>VLOOKUP(RawSalesTable[[#This Row],[Product_ID]],ProductsTable[],2,FALSE)</f>
        <v>Blender</v>
      </c>
      <c r="W426" s="8" t="str">
        <f>VLOOKUP(RawSalesTable[[#This Row],[Product_ID]],ProductsTable[],3,FALSE)</f>
        <v>Home</v>
      </c>
      <c r="X426" s="8">
        <f>VLOOKUP(RawSalesTable[[#This Row],[Product_ID]],ProductsTable[],5,FALSE)</f>
        <v>37.46</v>
      </c>
      <c r="Y426" s="8">
        <f>RawSalesTable[[#This Row],[Quantity]]*RawSalesTable[[#This Row],[Unit_Price]]</f>
        <v>65.44</v>
      </c>
      <c r="Z426" s="8">
        <f>RawSalesTable[[#This Row],[Gross_Sales]]*RawSalesTable[[#This Row],[Discount_Pct]]</f>
        <v>6.5440000000000005</v>
      </c>
      <c r="AA426" s="8">
        <f>RawSalesTable[[#This Row],[Gross_Sales]]-RawSalesTable[[#This Row],[Discount_Amount]]</f>
        <v>58.896000000000001</v>
      </c>
      <c r="AB426" s="8">
        <f>RawSalesTable[[#This Row],[Unit_Cost]]*RawSalesTable[[#This Row],[Quantity]]</f>
        <v>37.46</v>
      </c>
      <c r="AC426" s="8">
        <f>RawSalesTable[[#This Row],[Net_Sales]]-RawSalesTable[[#This Row],[Total_Cost]]</f>
        <v>21.436</v>
      </c>
      <c r="AD426" s="9">
        <f>RawSalesTable[[#This Row],[Profit]]/RawSalesTable[[#This Row],[Net_Sales]]</f>
        <v>0.3639635968486824</v>
      </c>
      <c r="AE426" s="8">
        <f>IF(RawSalesTable[[#This Row],[Return_Status]]="Yes",1,0)</f>
        <v>0</v>
      </c>
      <c r="AF426" s="8">
        <f>YEAR(RawSalesTable[[#This Row],[Order_Date]])</f>
        <v>2025</v>
      </c>
      <c r="AG426" s="8">
        <f>MONTH(RawSalesTable[[#This Row],[Order_Date]])</f>
        <v>11</v>
      </c>
      <c r="AH426" s="8" t="str">
        <f>TEXT(RawSalesTable[[#This Row],[Order_Date]],"mmmm")</f>
        <v>novembre</v>
      </c>
      <c r="AI426" s="8" t="str">
        <f>IF(RawSalesTable[[#This Row],[Month_Number]]&lt;=3,"Q1",IF(RawSalesTable[[#This Row],[Month_Number]]&lt;=6,"Q2",IF(RawSalesTable[[#This Row],[Month_Number]]&lt;=9,"Q3","Q4")))</f>
        <v>Q4</v>
      </c>
      <c r="AJ426" s="13">
        <f>DATE(YEAR(RawSalesTable[[#This Row],[Order_Date]]),MONTH(RawSalesTable[[#This Row],[Order_Date]]),1)</f>
        <v>45962</v>
      </c>
      <c r="AK426" s="8" t="str">
        <f>VLOOKUP(RawSalesTable[[#This Row],[Customer_ID_clean]],CustomersTable[],4,FALSE)</f>
        <v>Quebec</v>
      </c>
    </row>
    <row r="427" spans="1:37">
      <c r="A427" t="s">
        <v>844</v>
      </c>
      <c r="B427" s="3">
        <v>45892</v>
      </c>
      <c r="C427" t="s">
        <v>173</v>
      </c>
      <c r="D427" t="s">
        <v>194</v>
      </c>
      <c r="E427" t="s">
        <v>175</v>
      </c>
      <c r="F427" t="s">
        <v>145</v>
      </c>
      <c r="G427" t="s">
        <v>183</v>
      </c>
      <c r="H427" t="s">
        <v>97</v>
      </c>
      <c r="I427">
        <v>2</v>
      </c>
      <c r="J427" s="2">
        <v>206.15</v>
      </c>
      <c r="K427" s="4">
        <v>0.1</v>
      </c>
      <c r="L427" t="s">
        <v>98</v>
      </c>
      <c r="M427">
        <v>3</v>
      </c>
      <c r="N427" t="s">
        <v>91</v>
      </c>
      <c r="O427" t="str">
        <f>SUBSTITUTE(PROPER(TRIM(RawSalesTable[[#This Row],[Channel_Raw]])), "Market Place", "Marketplace")</f>
        <v>Retail Store</v>
      </c>
      <c r="P427" t="str">
        <f>TRIM(RawSalesTable[[#This Row],[Store_Raw]])</f>
        <v>Calgary North</v>
      </c>
      <c r="Q427" t="str">
        <f>IF(TRIM(RawSalesTable[[#This Row],[Payment_Method_Raw]])="","Non renseigné",SUBSTITUTE(TRIM(RawSalesTable[[#This Row],[Payment_Method_Raw]]),"CC","Credit Card"))</f>
        <v>Debit Card</v>
      </c>
      <c r="R427" s="8" t="str">
        <f>UPPER(PROPER(RawSalesTable[[#This Row],[Customer_ID]]))</f>
        <v>C0077</v>
      </c>
      <c r="S427" s="8" t="str">
        <f>TRIM(LEFT(RawSalesTable[[#This Row],[Customer_Info]],FIND(",",RawSalesTable[[#This Row],[Customer_Info]]) -1))</f>
        <v>Amine Taylor</v>
      </c>
      <c r="T427" s="8" t="str">
        <f>TRIM(MID(RawSalesTable[[#This Row],[Customer_Info]],FIND(",",RawSalesTable[[#This Row],[Customer_Info]])+1,FIND(",",RawSalesTable[[#This Row],[Customer_Info]],FIND(",",RawSalesTable[[#This Row],[Customer_Info]])+1)-FIND(",",RawSalesTable[[#This Row],[Customer_Info]])-1))</f>
        <v>Surrey</v>
      </c>
      <c r="U427" s="8" t="str">
        <f>TRIM(RIGHT(RawSalesTable[[#This Row],[Customer_Info]], LEN(RawSalesTable[[#This Row],[Customer_Info]])-FIND(",",RawSalesTable[[#This Row],[Customer_Info]],FIND(",",RawSalesTable[[#This Row],[Customer_Info]])+1)))</f>
        <v>Small Business</v>
      </c>
      <c r="V427" s="8" t="str">
        <f>VLOOKUP(RawSalesTable[[#This Row],[Product_ID]],ProductsTable[],2,FALSE)</f>
        <v>Jump Rope</v>
      </c>
      <c r="W427" s="8" t="str">
        <f>VLOOKUP(RawSalesTable[[#This Row],[Product_ID]],ProductsTable[],3,FALSE)</f>
        <v>Fitness</v>
      </c>
      <c r="X427" s="8">
        <f>VLOOKUP(RawSalesTable[[#This Row],[Product_ID]],ProductsTable[],5,FALSE)</f>
        <v>101</v>
      </c>
      <c r="Y427" s="8">
        <f>RawSalesTable[[#This Row],[Quantity]]*RawSalesTable[[#This Row],[Unit_Price]]</f>
        <v>412.3</v>
      </c>
      <c r="Z427" s="8">
        <f>RawSalesTable[[#This Row],[Gross_Sales]]*RawSalesTable[[#This Row],[Discount_Pct]]</f>
        <v>41.230000000000004</v>
      </c>
      <c r="AA427" s="8">
        <f>RawSalesTable[[#This Row],[Gross_Sales]]-RawSalesTable[[#This Row],[Discount_Amount]]</f>
        <v>371.07</v>
      </c>
      <c r="AB427" s="8">
        <f>RawSalesTable[[#This Row],[Unit_Cost]]*RawSalesTable[[#This Row],[Quantity]]</f>
        <v>202</v>
      </c>
      <c r="AC427" s="8">
        <f>RawSalesTable[[#This Row],[Net_Sales]]-RawSalesTable[[#This Row],[Total_Cost]]</f>
        <v>169.07</v>
      </c>
      <c r="AD427" s="9">
        <f>RawSalesTable[[#This Row],[Profit]]/RawSalesTable[[#This Row],[Net_Sales]]</f>
        <v>0.4556283181070957</v>
      </c>
      <c r="AE427" s="8">
        <f>IF(RawSalesTable[[#This Row],[Return_Status]]="Yes",1,0)</f>
        <v>0</v>
      </c>
      <c r="AF427" s="8">
        <f>YEAR(RawSalesTable[[#This Row],[Order_Date]])</f>
        <v>2025</v>
      </c>
      <c r="AG427" s="8">
        <f>MONTH(RawSalesTable[[#This Row],[Order_Date]])</f>
        <v>8</v>
      </c>
      <c r="AH427" s="8" t="str">
        <f>TEXT(RawSalesTable[[#This Row],[Order_Date]],"mmmm")</f>
        <v>août</v>
      </c>
      <c r="AI427" s="8" t="str">
        <f>IF(RawSalesTable[[#This Row],[Month_Number]]&lt;=3,"Q1",IF(RawSalesTable[[#This Row],[Month_Number]]&lt;=6,"Q2",IF(RawSalesTable[[#This Row],[Month_Number]]&lt;=9,"Q3","Q4")))</f>
        <v>Q3</v>
      </c>
      <c r="AJ427" s="13">
        <f>DATE(YEAR(RawSalesTable[[#This Row],[Order_Date]]),MONTH(RawSalesTable[[#This Row],[Order_Date]]),1)</f>
        <v>45870</v>
      </c>
      <c r="AK427" s="8" t="str">
        <f>VLOOKUP(RawSalesTable[[#This Row],[Customer_ID_clean]],CustomersTable[],4,FALSE)</f>
        <v>British Columbia</v>
      </c>
    </row>
    <row r="428" spans="1:37">
      <c r="A428" t="s">
        <v>845</v>
      </c>
      <c r="B428" s="3">
        <v>45877</v>
      </c>
      <c r="C428" t="s">
        <v>500</v>
      </c>
      <c r="D428" t="s">
        <v>271</v>
      </c>
      <c r="E428" t="s">
        <v>846</v>
      </c>
      <c r="F428" t="s">
        <v>116</v>
      </c>
      <c r="G428" t="s">
        <v>183</v>
      </c>
      <c r="H428" t="s">
        <v>97</v>
      </c>
      <c r="I428">
        <v>2</v>
      </c>
      <c r="J428" s="2">
        <v>212.26</v>
      </c>
      <c r="K428" s="4">
        <v>0.1</v>
      </c>
      <c r="L428" t="s">
        <v>106</v>
      </c>
      <c r="M428">
        <v>0</v>
      </c>
      <c r="N428" t="s">
        <v>91</v>
      </c>
      <c r="O428" t="str">
        <f>SUBSTITUTE(PROPER(TRIM(RawSalesTable[[#This Row],[Channel_Raw]])), "Market Place", "Marketplace")</f>
        <v>Retail Store</v>
      </c>
      <c r="P428" t="str">
        <f>TRIM(RawSalesTable[[#This Row],[Store_Raw]])</f>
        <v>Toronto Downtown</v>
      </c>
      <c r="Q428" t="str">
        <f>IF(TRIM(RawSalesTable[[#This Row],[Payment_Method_Raw]])="","Non renseigné",SUBSTITUTE(TRIM(RawSalesTable[[#This Row],[Payment_Method_Raw]]),"CC","Credit Card"))</f>
        <v>Credit Card</v>
      </c>
      <c r="R428" s="8" t="str">
        <f>UPPER(PROPER(RawSalesTable[[#This Row],[Customer_ID]]))</f>
        <v>C0059</v>
      </c>
      <c r="S428" s="8" t="str">
        <f>TRIM(LEFT(RawSalesTable[[#This Row],[Customer_Info]],FIND(",",RawSalesTable[[#This Row],[Customer_Info]]) -1))</f>
        <v>Lucas Chen</v>
      </c>
      <c r="T428" s="8" t="str">
        <f>TRIM(MID(RawSalesTable[[#This Row],[Customer_Info]],FIND(",",RawSalesTable[[#This Row],[Customer_Info]])+1,FIND(",",RawSalesTable[[#This Row],[Customer_Info]],FIND(",",RawSalesTable[[#This Row],[Customer_Info]])+1)-FIND(",",RawSalesTable[[#This Row],[Customer_Info]])-1))</f>
        <v>Vancouver</v>
      </c>
      <c r="U428" s="8" t="str">
        <f>TRIM(RIGHT(RawSalesTable[[#This Row],[Customer_Info]], LEN(RawSalesTable[[#This Row],[Customer_Info]])-FIND(",",RawSalesTable[[#This Row],[Customer_Info]],FIND(",",RawSalesTable[[#This Row],[Customer_Info]])+1)))</f>
        <v>Corporate</v>
      </c>
      <c r="V428" s="8" t="str">
        <f>VLOOKUP(RawSalesTable[[#This Row],[Product_ID]],ProductsTable[],2,FALSE)</f>
        <v>Resistance Bands</v>
      </c>
      <c r="W428" s="8" t="str">
        <f>VLOOKUP(RawSalesTable[[#This Row],[Product_ID]],ProductsTable[],3,FALSE)</f>
        <v>Fitness</v>
      </c>
      <c r="X428" s="8">
        <f>VLOOKUP(RawSalesTable[[#This Row],[Product_ID]],ProductsTable[],5,FALSE)</f>
        <v>139.19999999999999</v>
      </c>
      <c r="Y428" s="8">
        <f>RawSalesTable[[#This Row],[Quantity]]*RawSalesTable[[#This Row],[Unit_Price]]</f>
        <v>424.52</v>
      </c>
      <c r="Z428" s="8">
        <f>RawSalesTable[[#This Row],[Gross_Sales]]*RawSalesTable[[#This Row],[Discount_Pct]]</f>
        <v>42.451999999999998</v>
      </c>
      <c r="AA428" s="8">
        <f>RawSalesTable[[#This Row],[Gross_Sales]]-RawSalesTable[[#This Row],[Discount_Amount]]</f>
        <v>382.06799999999998</v>
      </c>
      <c r="AB428" s="8">
        <f>RawSalesTable[[#This Row],[Unit_Cost]]*RawSalesTable[[#This Row],[Quantity]]</f>
        <v>278.39999999999998</v>
      </c>
      <c r="AC428" s="8">
        <f>RawSalesTable[[#This Row],[Net_Sales]]-RawSalesTable[[#This Row],[Total_Cost]]</f>
        <v>103.66800000000001</v>
      </c>
      <c r="AD428" s="9">
        <f>RawSalesTable[[#This Row],[Profit]]/RawSalesTable[[#This Row],[Net_Sales]]</f>
        <v>0.27133389867772234</v>
      </c>
      <c r="AE428" s="8">
        <f>IF(RawSalesTable[[#This Row],[Return_Status]]="Yes",1,0)</f>
        <v>0</v>
      </c>
      <c r="AF428" s="8">
        <f>YEAR(RawSalesTable[[#This Row],[Order_Date]])</f>
        <v>2025</v>
      </c>
      <c r="AG428" s="8">
        <f>MONTH(RawSalesTable[[#This Row],[Order_Date]])</f>
        <v>8</v>
      </c>
      <c r="AH428" s="8" t="str">
        <f>TEXT(RawSalesTable[[#This Row],[Order_Date]],"mmmm")</f>
        <v>août</v>
      </c>
      <c r="AI428" s="8" t="str">
        <f>IF(RawSalesTable[[#This Row],[Month_Number]]&lt;=3,"Q1",IF(RawSalesTable[[#This Row],[Month_Number]]&lt;=6,"Q2",IF(RawSalesTable[[#This Row],[Month_Number]]&lt;=9,"Q3","Q4")))</f>
        <v>Q3</v>
      </c>
      <c r="AJ428" s="13">
        <f>DATE(YEAR(RawSalesTable[[#This Row],[Order_Date]]),MONTH(RawSalesTable[[#This Row],[Order_Date]]),1)</f>
        <v>45870</v>
      </c>
      <c r="AK428" s="8" t="str">
        <f>VLOOKUP(RawSalesTable[[#This Row],[Customer_ID_clean]],CustomersTable[],4,FALSE)</f>
        <v>British Columbia</v>
      </c>
    </row>
    <row r="429" spans="1:37">
      <c r="A429" t="s">
        <v>847</v>
      </c>
      <c r="B429" s="3">
        <v>45801</v>
      </c>
      <c r="C429" t="s">
        <v>209</v>
      </c>
      <c r="D429" t="s">
        <v>303</v>
      </c>
      <c r="E429" t="s">
        <v>211</v>
      </c>
      <c r="F429" t="s">
        <v>103</v>
      </c>
      <c r="G429" t="s">
        <v>183</v>
      </c>
      <c r="H429" t="s">
        <v>478</v>
      </c>
      <c r="I429">
        <v>1</v>
      </c>
      <c r="J429" s="2">
        <v>165.6</v>
      </c>
      <c r="K429" s="4">
        <v>0.2</v>
      </c>
      <c r="L429" t="s">
        <v>98</v>
      </c>
      <c r="M429">
        <v>4</v>
      </c>
      <c r="N429" t="s">
        <v>91</v>
      </c>
      <c r="O429" t="str">
        <f>SUBSTITUTE(PROPER(TRIM(RawSalesTable[[#This Row],[Channel_Raw]])), "Market Place", "Marketplace")</f>
        <v>Marketplace</v>
      </c>
      <c r="P429" t="str">
        <f>TRIM(RawSalesTable[[#This Row],[Store_Raw]])</f>
        <v>Vancouver West</v>
      </c>
      <c r="Q429" t="str">
        <f>IF(TRIM(RawSalesTable[[#This Row],[Payment_Method_Raw]])="","Non renseigné",SUBSTITUTE(TRIM(RawSalesTable[[#This Row],[Payment_Method_Raw]]),"CC","Credit Card"))</f>
        <v>Debit Card</v>
      </c>
      <c r="R429" s="8" t="str">
        <f>UPPER(PROPER(RawSalesTable[[#This Row],[Customer_ID]]))</f>
        <v>C0005</v>
      </c>
      <c r="S429" s="8" t="str">
        <f>TRIM(LEFT(RawSalesTable[[#This Row],[Customer_Info]],FIND(",",RawSalesTable[[#This Row],[Customer_Info]]) -1))</f>
        <v>Yasmine Taylor</v>
      </c>
      <c r="T429" s="8" t="str">
        <f>TRIM(MID(RawSalesTable[[#This Row],[Customer_Info]],FIND(",",RawSalesTable[[#This Row],[Customer_Info]])+1,FIND(",",RawSalesTable[[#This Row],[Customer_Info]],FIND(",",RawSalesTable[[#This Row],[Customer_Info]])+1)-FIND(",",RawSalesTable[[#This Row],[Customer_Info]])-1))</f>
        <v>Calgary</v>
      </c>
      <c r="U429" s="8" t="str">
        <f>TRIM(RIGHT(RawSalesTable[[#This Row],[Customer_Info]], LEN(RawSalesTable[[#This Row],[Customer_Info]])-FIND(",",RawSalesTable[[#This Row],[Customer_Info]],FIND(",",RawSalesTable[[#This Row],[Customer_Info]])+1)))</f>
        <v>Consumer</v>
      </c>
      <c r="V429" s="8" t="str">
        <f>VLOOKUP(RawSalesTable[[#This Row],[Product_ID]],ProductsTable[],2,FALSE)</f>
        <v>Power Bank</v>
      </c>
      <c r="W429" s="8" t="str">
        <f>VLOOKUP(RawSalesTable[[#This Row],[Product_ID]],ProductsTable[],3,FALSE)</f>
        <v>Accessories</v>
      </c>
      <c r="X429" s="8">
        <f>VLOOKUP(RawSalesTable[[#This Row],[Product_ID]],ProductsTable[],5,FALSE)</f>
        <v>76.97</v>
      </c>
      <c r="Y429" s="8">
        <f>RawSalesTable[[#This Row],[Quantity]]*RawSalesTable[[#This Row],[Unit_Price]]</f>
        <v>165.6</v>
      </c>
      <c r="Z429" s="8">
        <f>RawSalesTable[[#This Row],[Gross_Sales]]*RawSalesTable[[#This Row],[Discount_Pct]]</f>
        <v>33.119999999999997</v>
      </c>
      <c r="AA429" s="8">
        <f>RawSalesTable[[#This Row],[Gross_Sales]]-RawSalesTable[[#This Row],[Discount_Amount]]</f>
        <v>132.47999999999999</v>
      </c>
      <c r="AB429" s="8">
        <f>RawSalesTable[[#This Row],[Unit_Cost]]*RawSalesTable[[#This Row],[Quantity]]</f>
        <v>76.97</v>
      </c>
      <c r="AC429" s="8">
        <f>RawSalesTable[[#This Row],[Net_Sales]]-RawSalesTable[[#This Row],[Total_Cost]]</f>
        <v>55.509999999999991</v>
      </c>
      <c r="AD429" s="9">
        <f>RawSalesTable[[#This Row],[Profit]]/RawSalesTable[[#This Row],[Net_Sales]]</f>
        <v>0.41900664251207725</v>
      </c>
      <c r="AE429" s="8">
        <f>IF(RawSalesTable[[#This Row],[Return_Status]]="Yes",1,0)</f>
        <v>0</v>
      </c>
      <c r="AF429" s="8">
        <f>YEAR(RawSalesTable[[#This Row],[Order_Date]])</f>
        <v>2025</v>
      </c>
      <c r="AG429" s="8">
        <f>MONTH(RawSalesTable[[#This Row],[Order_Date]])</f>
        <v>5</v>
      </c>
      <c r="AH429" s="8" t="str">
        <f>TEXT(RawSalesTable[[#This Row],[Order_Date]],"mmmm")</f>
        <v>mai</v>
      </c>
      <c r="AI429" s="8" t="str">
        <f>IF(RawSalesTable[[#This Row],[Month_Number]]&lt;=3,"Q1",IF(RawSalesTable[[#This Row],[Month_Number]]&lt;=6,"Q2",IF(RawSalesTable[[#This Row],[Month_Number]]&lt;=9,"Q3","Q4")))</f>
        <v>Q2</v>
      </c>
      <c r="AJ429" s="13">
        <f>DATE(YEAR(RawSalesTable[[#This Row],[Order_Date]]),MONTH(RawSalesTable[[#This Row],[Order_Date]]),1)</f>
        <v>45778</v>
      </c>
      <c r="AK429" s="8" t="str">
        <f>VLOOKUP(RawSalesTable[[#This Row],[Customer_ID_clean]],CustomersTable[],4,FALSE)</f>
        <v>Alberta</v>
      </c>
    </row>
    <row r="430" spans="1:37">
      <c r="A430" t="s">
        <v>848</v>
      </c>
      <c r="B430" s="3">
        <v>45743</v>
      </c>
      <c r="C430" t="s">
        <v>225</v>
      </c>
      <c r="D430" t="s">
        <v>249</v>
      </c>
      <c r="E430" t="s">
        <v>227</v>
      </c>
      <c r="F430" t="s">
        <v>849</v>
      </c>
      <c r="G430" t="s">
        <v>88</v>
      </c>
      <c r="H430" t="s">
        <v>97</v>
      </c>
      <c r="I430">
        <v>1</v>
      </c>
      <c r="J430" s="2">
        <v>394.3</v>
      </c>
      <c r="K430" s="4">
        <v>0</v>
      </c>
      <c r="L430" t="s">
        <v>106</v>
      </c>
      <c r="M430">
        <v>4</v>
      </c>
      <c r="N430" t="s">
        <v>91</v>
      </c>
      <c r="O430" t="str">
        <f>SUBSTITUTE(PROPER(TRIM(RawSalesTable[[#This Row],[Channel_Raw]])), "Market Place", "Marketplace")</f>
        <v>Retail Store</v>
      </c>
      <c r="P430" t="str">
        <f>TRIM(RawSalesTable[[#This Row],[Store_Raw]])</f>
        <v>Calgary North</v>
      </c>
      <c r="Q430" t="str">
        <f>IF(TRIM(RawSalesTable[[#This Row],[Payment_Method_Raw]])="","Non renseigné",SUBSTITUTE(TRIM(RawSalesTable[[#This Row],[Payment_Method_Raw]]),"CC","Credit Card"))</f>
        <v>Credit Card</v>
      </c>
      <c r="R430" s="8" t="str">
        <f>UPPER(PROPER(RawSalesTable[[#This Row],[Customer_ID]]))</f>
        <v>C0110</v>
      </c>
      <c r="S430" s="8" t="str">
        <f>TRIM(LEFT(RawSalesTable[[#This Row],[Customer_Info]],FIND(",",RawSalesTable[[#This Row],[Customer_Info]]) -1))</f>
        <v>Sarah Smith</v>
      </c>
      <c r="T430" s="8" t="str">
        <f>TRIM(MID(RawSalesTable[[#This Row],[Customer_Info]],FIND(",",RawSalesTable[[#This Row],[Customer_Info]])+1,FIND(",",RawSalesTable[[#This Row],[Customer_Info]],FIND(",",RawSalesTable[[#This Row],[Customer_Info]])+1)-FIND(",",RawSalesTable[[#This Row],[Customer_Info]])-1))</f>
        <v>Laval</v>
      </c>
      <c r="U430" s="8" t="str">
        <f>TRIM(RIGHT(RawSalesTable[[#This Row],[Customer_Info]], LEN(RawSalesTable[[#This Row],[Customer_Info]])-FIND(",",RawSalesTable[[#This Row],[Customer_Info]],FIND(",",RawSalesTable[[#This Row],[Customer_Info]])+1)))</f>
        <v>Consumer</v>
      </c>
      <c r="V430" s="8" t="str">
        <f>VLOOKUP(RawSalesTable[[#This Row],[Product_ID]],ProductsTable[],2,FALSE)</f>
        <v>Humidifier</v>
      </c>
      <c r="W430" s="8" t="str">
        <f>VLOOKUP(RawSalesTable[[#This Row],[Product_ID]],ProductsTable[],3,FALSE)</f>
        <v>Home</v>
      </c>
      <c r="X430" s="8">
        <f>VLOOKUP(RawSalesTable[[#This Row],[Product_ID]],ProductsTable[],5,FALSE)</f>
        <v>239.67</v>
      </c>
      <c r="Y430" s="8">
        <f>RawSalesTable[[#This Row],[Quantity]]*RawSalesTable[[#This Row],[Unit_Price]]</f>
        <v>394.3</v>
      </c>
      <c r="Z430" s="8">
        <f>RawSalesTable[[#This Row],[Gross_Sales]]*RawSalesTable[[#This Row],[Discount_Pct]]</f>
        <v>0</v>
      </c>
      <c r="AA430" s="8">
        <f>RawSalesTable[[#This Row],[Gross_Sales]]-RawSalesTable[[#This Row],[Discount_Amount]]</f>
        <v>394.3</v>
      </c>
      <c r="AB430" s="8">
        <f>RawSalesTable[[#This Row],[Unit_Cost]]*RawSalesTable[[#This Row],[Quantity]]</f>
        <v>239.67</v>
      </c>
      <c r="AC430" s="8">
        <f>RawSalesTable[[#This Row],[Net_Sales]]-RawSalesTable[[#This Row],[Total_Cost]]</f>
        <v>154.63000000000002</v>
      </c>
      <c r="AD430" s="9">
        <f>RawSalesTable[[#This Row],[Profit]]/RawSalesTable[[#This Row],[Net_Sales]]</f>
        <v>0.39216332741567339</v>
      </c>
      <c r="AE430" s="8">
        <f>IF(RawSalesTable[[#This Row],[Return_Status]]="Yes",1,0)</f>
        <v>0</v>
      </c>
      <c r="AF430" s="8">
        <f>YEAR(RawSalesTable[[#This Row],[Order_Date]])</f>
        <v>2025</v>
      </c>
      <c r="AG430" s="8">
        <f>MONTH(RawSalesTable[[#This Row],[Order_Date]])</f>
        <v>3</v>
      </c>
      <c r="AH430" s="8" t="str">
        <f>TEXT(RawSalesTable[[#This Row],[Order_Date]],"mmmm")</f>
        <v>mars</v>
      </c>
      <c r="AI430" s="8" t="str">
        <f>IF(RawSalesTable[[#This Row],[Month_Number]]&lt;=3,"Q1",IF(RawSalesTable[[#This Row],[Month_Number]]&lt;=6,"Q2",IF(RawSalesTable[[#This Row],[Month_Number]]&lt;=9,"Q3","Q4")))</f>
        <v>Q1</v>
      </c>
      <c r="AJ430" s="13">
        <f>DATE(YEAR(RawSalesTable[[#This Row],[Order_Date]]),MONTH(RawSalesTable[[#This Row],[Order_Date]]),1)</f>
        <v>45717</v>
      </c>
      <c r="AK430" s="8" t="str">
        <f>VLOOKUP(RawSalesTable[[#This Row],[Customer_ID_clean]],CustomersTable[],4,FALSE)</f>
        <v>Quebec</v>
      </c>
    </row>
    <row r="431" spans="1:37">
      <c r="A431" t="s">
        <v>850</v>
      </c>
      <c r="B431" s="3">
        <v>45747</v>
      </c>
      <c r="C431" t="s">
        <v>851</v>
      </c>
      <c r="D431" t="s">
        <v>271</v>
      </c>
      <c r="E431" t="s">
        <v>852</v>
      </c>
      <c r="F431" t="s">
        <v>116</v>
      </c>
      <c r="G431" t="s">
        <v>183</v>
      </c>
      <c r="H431" t="s">
        <v>233</v>
      </c>
      <c r="I431">
        <v>1</v>
      </c>
      <c r="J431" s="2">
        <v>236.77</v>
      </c>
      <c r="K431" s="4">
        <v>0.1</v>
      </c>
      <c r="L431" t="s">
        <v>106</v>
      </c>
      <c r="M431">
        <v>0</v>
      </c>
      <c r="N431" t="s">
        <v>91</v>
      </c>
      <c r="O431" t="str">
        <f>SUBSTITUTE(PROPER(TRIM(RawSalesTable[[#This Row],[Channel_Raw]])), "Market Place", "Marketplace")</f>
        <v>Retail Store</v>
      </c>
      <c r="P431" t="str">
        <f>TRIM(RawSalesTable[[#This Row],[Store_Raw]])</f>
        <v>Toronto Downtown</v>
      </c>
      <c r="Q431" t="str">
        <f>IF(TRIM(RawSalesTable[[#This Row],[Payment_Method_Raw]])="","Non renseigné",SUBSTITUTE(TRIM(RawSalesTable[[#This Row],[Payment_Method_Raw]]),"CC","Credit Card"))</f>
        <v>Credit Card</v>
      </c>
      <c r="R431" s="8" t="str">
        <f>UPPER(PROPER(RawSalesTable[[#This Row],[Customer_ID]]))</f>
        <v>C0026</v>
      </c>
      <c r="S431" s="8" t="str">
        <f>TRIM(LEFT(RawSalesTable[[#This Row],[Customer_Info]],FIND(",",RawSalesTable[[#This Row],[Customer_Info]]) -1))</f>
        <v>Adam Hall</v>
      </c>
      <c r="T431" s="8" t="str">
        <f>TRIM(MID(RawSalesTable[[#This Row],[Customer_Info]],FIND(",",RawSalesTable[[#This Row],[Customer_Info]])+1,FIND(",",RawSalesTable[[#This Row],[Customer_Info]],FIND(",",RawSalesTable[[#This Row],[Customer_Info]])+1)-FIND(",",RawSalesTable[[#This Row],[Customer_Info]])-1))</f>
        <v>Surrey</v>
      </c>
      <c r="U431" s="8" t="str">
        <f>TRIM(RIGHT(RawSalesTable[[#This Row],[Customer_Info]], LEN(RawSalesTable[[#This Row],[Customer_Info]])-FIND(",",RawSalesTable[[#This Row],[Customer_Info]],FIND(",",RawSalesTable[[#This Row],[Customer_Info]])+1)))</f>
        <v>Corporate</v>
      </c>
      <c r="V431" s="8" t="str">
        <f>VLOOKUP(RawSalesTable[[#This Row],[Product_ID]],ProductsTable[],2,FALSE)</f>
        <v>Resistance Bands</v>
      </c>
      <c r="W431" s="8" t="str">
        <f>VLOOKUP(RawSalesTable[[#This Row],[Product_ID]],ProductsTable[],3,FALSE)</f>
        <v>Fitness</v>
      </c>
      <c r="X431" s="8">
        <f>VLOOKUP(RawSalesTable[[#This Row],[Product_ID]],ProductsTable[],5,FALSE)</f>
        <v>139.19999999999999</v>
      </c>
      <c r="Y431" s="8">
        <f>RawSalesTable[[#This Row],[Quantity]]*RawSalesTable[[#This Row],[Unit_Price]]</f>
        <v>236.77</v>
      </c>
      <c r="Z431" s="8">
        <f>RawSalesTable[[#This Row],[Gross_Sales]]*RawSalesTable[[#This Row],[Discount_Pct]]</f>
        <v>23.677000000000003</v>
      </c>
      <c r="AA431" s="8">
        <f>RawSalesTable[[#This Row],[Gross_Sales]]-RawSalesTable[[#This Row],[Discount_Amount]]</f>
        <v>213.09300000000002</v>
      </c>
      <c r="AB431" s="8">
        <f>RawSalesTable[[#This Row],[Unit_Cost]]*RawSalesTable[[#This Row],[Quantity]]</f>
        <v>139.19999999999999</v>
      </c>
      <c r="AC431" s="8">
        <f>RawSalesTable[[#This Row],[Net_Sales]]-RawSalesTable[[#This Row],[Total_Cost]]</f>
        <v>73.893000000000029</v>
      </c>
      <c r="AD431" s="9">
        <f>RawSalesTable[[#This Row],[Profit]]/RawSalesTable[[#This Row],[Net_Sales]]</f>
        <v>0.34676408891892285</v>
      </c>
      <c r="AE431" s="8">
        <f>IF(RawSalesTable[[#This Row],[Return_Status]]="Yes",1,0)</f>
        <v>0</v>
      </c>
      <c r="AF431" s="8">
        <f>YEAR(RawSalesTable[[#This Row],[Order_Date]])</f>
        <v>2025</v>
      </c>
      <c r="AG431" s="8">
        <f>MONTH(RawSalesTable[[#This Row],[Order_Date]])</f>
        <v>3</v>
      </c>
      <c r="AH431" s="8" t="str">
        <f>TEXT(RawSalesTable[[#This Row],[Order_Date]],"mmmm")</f>
        <v>mars</v>
      </c>
      <c r="AI431" s="8" t="str">
        <f>IF(RawSalesTable[[#This Row],[Month_Number]]&lt;=3,"Q1",IF(RawSalesTable[[#This Row],[Month_Number]]&lt;=6,"Q2",IF(RawSalesTable[[#This Row],[Month_Number]]&lt;=9,"Q3","Q4")))</f>
        <v>Q1</v>
      </c>
      <c r="AJ431" s="13">
        <f>DATE(YEAR(RawSalesTable[[#This Row],[Order_Date]]),MONTH(RawSalesTable[[#This Row],[Order_Date]]),1)</f>
        <v>45717</v>
      </c>
      <c r="AK431" s="8" t="str">
        <f>VLOOKUP(RawSalesTable[[#This Row],[Customer_ID_clean]],CustomersTable[],4,FALSE)</f>
        <v>British Columbia</v>
      </c>
    </row>
    <row r="432" spans="1:37">
      <c r="A432" t="s">
        <v>853</v>
      </c>
      <c r="B432" s="3">
        <v>45992</v>
      </c>
      <c r="C432" t="s">
        <v>661</v>
      </c>
      <c r="D432" t="s">
        <v>503</v>
      </c>
      <c r="E432" t="s">
        <v>662</v>
      </c>
      <c r="F432" t="s">
        <v>87</v>
      </c>
      <c r="G432" t="s">
        <v>104</v>
      </c>
      <c r="H432" t="s">
        <v>97</v>
      </c>
      <c r="I432">
        <v>1</v>
      </c>
      <c r="J432" s="2">
        <v>123.65</v>
      </c>
      <c r="K432" s="4">
        <v>0.2</v>
      </c>
      <c r="L432" t="s">
        <v>253</v>
      </c>
      <c r="M432">
        <v>3</v>
      </c>
      <c r="N432" t="s">
        <v>91</v>
      </c>
      <c r="O432" t="str">
        <f>SUBSTITUTE(PROPER(TRIM(RawSalesTable[[#This Row],[Channel_Raw]])), "Market Place", "Marketplace")</f>
        <v>Retail Store</v>
      </c>
      <c r="P432" t="str">
        <f>TRIM(RawSalesTable[[#This Row],[Store_Raw]])</f>
        <v>Online Fulfillment</v>
      </c>
      <c r="Q432" t="str">
        <f>IF(TRIM(RawSalesTable[[#This Row],[Payment_Method_Raw]])="","Non renseigné",SUBSTITUTE(TRIM(RawSalesTable[[#This Row],[Payment_Method_Raw]]),"CC","Credit Card"))</f>
        <v>Credit Card</v>
      </c>
      <c r="R432" s="8" t="str">
        <f>UPPER(PROPER(RawSalesTable[[#This Row],[Customer_ID]]))</f>
        <v>C0111</v>
      </c>
      <c r="S432" s="8" t="str">
        <f>TRIM(LEFT(RawSalesTable[[#This Row],[Customer_Info]],FIND(",",RawSalesTable[[#This Row],[Customer_Info]]) -1))</f>
        <v>Noah Khan</v>
      </c>
      <c r="T432" s="8" t="str">
        <f>TRIM(MID(RawSalesTable[[#This Row],[Customer_Info]],FIND(",",RawSalesTable[[#This Row],[Customer_Info]])+1,FIND(",",RawSalesTable[[#This Row],[Customer_Info]],FIND(",",RawSalesTable[[#This Row],[Customer_Info]])+1)-FIND(",",RawSalesTable[[#This Row],[Customer_Info]])-1))</f>
        <v>Halifax</v>
      </c>
      <c r="U432" s="8" t="str">
        <f>TRIM(RIGHT(RawSalesTable[[#This Row],[Customer_Info]], LEN(RawSalesTable[[#This Row],[Customer_Info]])-FIND(",",RawSalesTable[[#This Row],[Customer_Info]],FIND(",",RawSalesTable[[#This Row],[Customer_Info]])+1)))</f>
        <v>Consumer</v>
      </c>
      <c r="V432" s="8" t="str">
        <f>VLOOKUP(RawSalesTable[[#This Row],[Product_ID]],ProductsTable[],2,FALSE)</f>
        <v>Whiteboard</v>
      </c>
      <c r="W432" s="8" t="str">
        <f>VLOOKUP(RawSalesTable[[#This Row],[Product_ID]],ProductsTable[],3,FALSE)</f>
        <v>Office</v>
      </c>
      <c r="X432" s="8">
        <f>VLOOKUP(RawSalesTable[[#This Row],[Product_ID]],ProductsTable[],5,FALSE)</f>
        <v>85.73</v>
      </c>
      <c r="Y432" s="8">
        <f>RawSalesTable[[#This Row],[Quantity]]*RawSalesTable[[#This Row],[Unit_Price]]</f>
        <v>123.65</v>
      </c>
      <c r="Z432" s="8">
        <f>RawSalesTable[[#This Row],[Gross_Sales]]*RawSalesTable[[#This Row],[Discount_Pct]]</f>
        <v>24.730000000000004</v>
      </c>
      <c r="AA432" s="8">
        <f>RawSalesTable[[#This Row],[Gross_Sales]]-RawSalesTable[[#This Row],[Discount_Amount]]</f>
        <v>98.92</v>
      </c>
      <c r="AB432" s="8">
        <f>RawSalesTable[[#This Row],[Unit_Cost]]*RawSalesTable[[#This Row],[Quantity]]</f>
        <v>85.73</v>
      </c>
      <c r="AC432" s="8">
        <f>RawSalesTable[[#This Row],[Net_Sales]]-RawSalesTable[[#This Row],[Total_Cost]]</f>
        <v>13.189999999999998</v>
      </c>
      <c r="AD432" s="9">
        <f>RawSalesTable[[#This Row],[Profit]]/RawSalesTable[[#This Row],[Net_Sales]]</f>
        <v>0.13334007278608975</v>
      </c>
      <c r="AE432" s="8">
        <f>IF(RawSalesTable[[#This Row],[Return_Status]]="Yes",1,0)</f>
        <v>0</v>
      </c>
      <c r="AF432" s="8">
        <f>YEAR(RawSalesTable[[#This Row],[Order_Date]])</f>
        <v>2025</v>
      </c>
      <c r="AG432" s="8">
        <f>MONTH(RawSalesTable[[#This Row],[Order_Date]])</f>
        <v>12</v>
      </c>
      <c r="AH432" s="8" t="str">
        <f>TEXT(RawSalesTable[[#This Row],[Order_Date]],"mmmm")</f>
        <v>décembre</v>
      </c>
      <c r="AI432" s="8" t="str">
        <f>IF(RawSalesTable[[#This Row],[Month_Number]]&lt;=3,"Q1",IF(RawSalesTable[[#This Row],[Month_Number]]&lt;=6,"Q2",IF(RawSalesTable[[#This Row],[Month_Number]]&lt;=9,"Q3","Q4")))</f>
        <v>Q4</v>
      </c>
      <c r="AJ432" s="13">
        <f>DATE(YEAR(RawSalesTable[[#This Row],[Order_Date]]),MONTH(RawSalesTable[[#This Row],[Order_Date]]),1)</f>
        <v>45992</v>
      </c>
      <c r="AK432" s="8" t="str">
        <f>VLOOKUP(RawSalesTable[[#This Row],[Customer_ID_clean]],CustomersTable[],4,FALSE)</f>
        <v>Nova Scotia</v>
      </c>
    </row>
    <row r="433" spans="1:37">
      <c r="A433" t="s">
        <v>854</v>
      </c>
      <c r="B433" s="3">
        <v>45970</v>
      </c>
      <c r="C433" t="s">
        <v>220</v>
      </c>
      <c r="D433" t="s">
        <v>133</v>
      </c>
      <c r="E433" t="s">
        <v>222</v>
      </c>
      <c r="F433" t="s">
        <v>145</v>
      </c>
      <c r="G433" t="s">
        <v>183</v>
      </c>
      <c r="H433" t="s">
        <v>97</v>
      </c>
      <c r="I433">
        <v>4</v>
      </c>
      <c r="J433" s="2">
        <v>342.63</v>
      </c>
      <c r="K433" s="4">
        <v>0.05</v>
      </c>
      <c r="L433" t="s">
        <v>106</v>
      </c>
      <c r="M433">
        <v>2</v>
      </c>
      <c r="N433" t="s">
        <v>91</v>
      </c>
      <c r="O433" t="str">
        <f>SUBSTITUTE(PROPER(TRIM(RawSalesTable[[#This Row],[Channel_Raw]])), "Market Place", "Marketplace")</f>
        <v>Retail Store</v>
      </c>
      <c r="P433" t="str">
        <f>TRIM(RawSalesTable[[#This Row],[Store_Raw]])</f>
        <v>Calgary North</v>
      </c>
      <c r="Q433" t="str">
        <f>IF(TRIM(RawSalesTable[[#This Row],[Payment_Method_Raw]])="","Non renseigné",SUBSTITUTE(TRIM(RawSalesTable[[#This Row],[Payment_Method_Raw]]),"CC","Credit Card"))</f>
        <v>Credit Card</v>
      </c>
      <c r="R433" s="8" t="str">
        <f>UPPER(PROPER(RawSalesTable[[#This Row],[Customer_ID]]))</f>
        <v>C0067</v>
      </c>
      <c r="S433" s="8" t="str">
        <f>TRIM(LEFT(RawSalesTable[[#This Row],[Customer_Info]],FIND(",",RawSalesTable[[#This Row],[Customer_Info]]) -1))</f>
        <v>Leo Bennett</v>
      </c>
      <c r="T433" s="8" t="str">
        <f>TRIM(MID(RawSalesTable[[#This Row],[Customer_Info]],FIND(",",RawSalesTable[[#This Row],[Customer_Info]])+1,FIND(",",RawSalesTable[[#This Row],[Customer_Info]],FIND(",",RawSalesTable[[#This Row],[Customer_Info]])+1)-FIND(",",RawSalesTable[[#This Row],[Customer_Info]])-1))</f>
        <v>Mississauga</v>
      </c>
      <c r="U433" s="8" t="str">
        <f>TRIM(RIGHT(RawSalesTable[[#This Row],[Customer_Info]], LEN(RawSalesTable[[#This Row],[Customer_Info]])-FIND(",",RawSalesTable[[#This Row],[Customer_Info]],FIND(",",RawSalesTable[[#This Row],[Customer_Info]])+1)))</f>
        <v>Consumer</v>
      </c>
      <c r="V433" s="8" t="str">
        <f>VLOOKUP(RawSalesTable[[#This Row],[Product_ID]],ProductsTable[],2,FALSE)</f>
        <v>Travel Adapter</v>
      </c>
      <c r="W433" s="8" t="str">
        <f>VLOOKUP(RawSalesTable[[#This Row],[Product_ID]],ProductsTable[],3,FALSE)</f>
        <v>Accessories</v>
      </c>
      <c r="X433" s="8">
        <f>VLOOKUP(RawSalesTable[[#This Row],[Product_ID]],ProductsTable[],5,FALSE)</f>
        <v>229.86</v>
      </c>
      <c r="Y433" s="8">
        <f>RawSalesTable[[#This Row],[Quantity]]*RawSalesTable[[#This Row],[Unit_Price]]</f>
        <v>1370.52</v>
      </c>
      <c r="Z433" s="8">
        <f>RawSalesTable[[#This Row],[Gross_Sales]]*RawSalesTable[[#This Row],[Discount_Pct]]</f>
        <v>68.525999999999996</v>
      </c>
      <c r="AA433" s="8">
        <f>RawSalesTable[[#This Row],[Gross_Sales]]-RawSalesTable[[#This Row],[Discount_Amount]]</f>
        <v>1301.9939999999999</v>
      </c>
      <c r="AB433" s="8">
        <f>RawSalesTable[[#This Row],[Unit_Cost]]*RawSalesTable[[#This Row],[Quantity]]</f>
        <v>919.44</v>
      </c>
      <c r="AC433" s="8">
        <f>RawSalesTable[[#This Row],[Net_Sales]]-RawSalesTable[[#This Row],[Total_Cost]]</f>
        <v>382.55399999999986</v>
      </c>
      <c r="AD433" s="9">
        <f>RawSalesTable[[#This Row],[Profit]]/RawSalesTable[[#This Row],[Net_Sales]]</f>
        <v>0.29382163051442622</v>
      </c>
      <c r="AE433" s="8">
        <f>IF(RawSalesTable[[#This Row],[Return_Status]]="Yes",1,0)</f>
        <v>0</v>
      </c>
      <c r="AF433" s="8">
        <f>YEAR(RawSalesTable[[#This Row],[Order_Date]])</f>
        <v>2025</v>
      </c>
      <c r="AG433" s="8">
        <f>MONTH(RawSalesTable[[#This Row],[Order_Date]])</f>
        <v>11</v>
      </c>
      <c r="AH433" s="8" t="str">
        <f>TEXT(RawSalesTable[[#This Row],[Order_Date]],"mmmm")</f>
        <v>novembre</v>
      </c>
      <c r="AI433" s="8" t="str">
        <f>IF(RawSalesTable[[#This Row],[Month_Number]]&lt;=3,"Q1",IF(RawSalesTable[[#This Row],[Month_Number]]&lt;=6,"Q2",IF(RawSalesTable[[#This Row],[Month_Number]]&lt;=9,"Q3","Q4")))</f>
        <v>Q4</v>
      </c>
      <c r="AJ433" s="13">
        <f>DATE(YEAR(RawSalesTable[[#This Row],[Order_Date]]),MONTH(RawSalesTable[[#This Row],[Order_Date]]),1)</f>
        <v>45962</v>
      </c>
      <c r="AK433" s="8" t="str">
        <f>VLOOKUP(RawSalesTable[[#This Row],[Customer_ID_clean]],CustomersTable[],4,FALSE)</f>
        <v>Ontario</v>
      </c>
    </row>
    <row r="434" spans="1:37">
      <c r="A434" t="s">
        <v>855</v>
      </c>
      <c r="B434" s="3">
        <v>45881</v>
      </c>
      <c r="C434" t="s">
        <v>209</v>
      </c>
      <c r="D434" t="s">
        <v>520</v>
      </c>
      <c r="E434" t="s">
        <v>211</v>
      </c>
      <c r="F434" t="s">
        <v>87</v>
      </c>
      <c r="G434" t="s">
        <v>171</v>
      </c>
      <c r="H434" t="s">
        <v>97</v>
      </c>
      <c r="I434">
        <v>3</v>
      </c>
      <c r="J434" s="2">
        <v>380.43</v>
      </c>
      <c r="K434" s="4">
        <v>0</v>
      </c>
      <c r="L434" t="s">
        <v>98</v>
      </c>
      <c r="M434">
        <v>1</v>
      </c>
      <c r="N434" t="s">
        <v>147</v>
      </c>
      <c r="O434" t="str">
        <f>SUBSTITUTE(PROPER(TRIM(RawSalesTable[[#This Row],[Channel_Raw]])), "Market Place", "Marketplace")</f>
        <v>Retail Store</v>
      </c>
      <c r="P434" t="str">
        <f>TRIM(RawSalesTable[[#This Row],[Store_Raw]])</f>
        <v>Online Fulfillment</v>
      </c>
      <c r="Q434" t="str">
        <f>IF(TRIM(RawSalesTable[[#This Row],[Payment_Method_Raw]])="","Non renseigné",SUBSTITUTE(TRIM(RawSalesTable[[#This Row],[Payment_Method_Raw]]),"CC","Credit Card"))</f>
        <v>Debit Card</v>
      </c>
      <c r="R434" s="8" t="str">
        <f>UPPER(PROPER(RawSalesTable[[#This Row],[Customer_ID]]))</f>
        <v>C0005</v>
      </c>
      <c r="S434" s="8" t="str">
        <f>TRIM(LEFT(RawSalesTable[[#This Row],[Customer_Info]],FIND(",",RawSalesTable[[#This Row],[Customer_Info]]) -1))</f>
        <v>Yasmine Taylor</v>
      </c>
      <c r="T434" s="8" t="str">
        <f>TRIM(MID(RawSalesTable[[#This Row],[Customer_Info]],FIND(",",RawSalesTable[[#This Row],[Customer_Info]])+1,FIND(",",RawSalesTable[[#This Row],[Customer_Info]],FIND(",",RawSalesTable[[#This Row],[Customer_Info]])+1)-FIND(",",RawSalesTable[[#This Row],[Customer_Info]])-1))</f>
        <v>Calgary</v>
      </c>
      <c r="U434" s="8" t="str">
        <f>TRIM(RIGHT(RawSalesTable[[#This Row],[Customer_Info]], LEN(RawSalesTable[[#This Row],[Customer_Info]])-FIND(",",RawSalesTable[[#This Row],[Customer_Info]],FIND(",",RawSalesTable[[#This Row],[Customer_Info]])+1)))</f>
        <v>Consumer</v>
      </c>
      <c r="V434" s="8" t="str">
        <f>VLOOKUP(RawSalesTable[[#This Row],[Product_ID]],ProductsTable[],2,FALSE)</f>
        <v>Coffee Maker</v>
      </c>
      <c r="W434" s="8" t="str">
        <f>VLOOKUP(RawSalesTable[[#This Row],[Product_ID]],ProductsTable[],3,FALSE)</f>
        <v>Home</v>
      </c>
      <c r="X434" s="8">
        <f>VLOOKUP(RawSalesTable[[#This Row],[Product_ID]],ProductsTable[],5,FALSE)</f>
        <v>241.16</v>
      </c>
      <c r="Y434" s="8">
        <f>RawSalesTable[[#This Row],[Quantity]]*RawSalesTable[[#This Row],[Unit_Price]]</f>
        <v>1141.29</v>
      </c>
      <c r="Z434" s="8">
        <f>RawSalesTable[[#This Row],[Gross_Sales]]*RawSalesTable[[#This Row],[Discount_Pct]]</f>
        <v>0</v>
      </c>
      <c r="AA434" s="8">
        <f>RawSalesTable[[#This Row],[Gross_Sales]]-RawSalesTable[[#This Row],[Discount_Amount]]</f>
        <v>1141.29</v>
      </c>
      <c r="AB434" s="8">
        <f>RawSalesTable[[#This Row],[Unit_Cost]]*RawSalesTable[[#This Row],[Quantity]]</f>
        <v>723.48</v>
      </c>
      <c r="AC434" s="8">
        <f>RawSalesTable[[#This Row],[Net_Sales]]-RawSalesTable[[#This Row],[Total_Cost]]</f>
        <v>417.80999999999995</v>
      </c>
      <c r="AD434" s="9">
        <f>RawSalesTable[[#This Row],[Profit]]/RawSalesTable[[#This Row],[Net_Sales]]</f>
        <v>0.36608574507793806</v>
      </c>
      <c r="AE434" s="8">
        <f>IF(RawSalesTable[[#This Row],[Return_Status]]="Yes",1,0)</f>
        <v>1</v>
      </c>
      <c r="AF434" s="8">
        <f>YEAR(RawSalesTable[[#This Row],[Order_Date]])</f>
        <v>2025</v>
      </c>
      <c r="AG434" s="8">
        <f>MONTH(RawSalesTable[[#This Row],[Order_Date]])</f>
        <v>8</v>
      </c>
      <c r="AH434" s="8" t="str">
        <f>TEXT(RawSalesTable[[#This Row],[Order_Date]],"mmmm")</f>
        <v>août</v>
      </c>
      <c r="AI434" s="8" t="str">
        <f>IF(RawSalesTable[[#This Row],[Month_Number]]&lt;=3,"Q1",IF(RawSalesTable[[#This Row],[Month_Number]]&lt;=6,"Q2",IF(RawSalesTable[[#This Row],[Month_Number]]&lt;=9,"Q3","Q4")))</f>
        <v>Q3</v>
      </c>
      <c r="AJ434" s="13">
        <f>DATE(YEAR(RawSalesTable[[#This Row],[Order_Date]]),MONTH(RawSalesTable[[#This Row],[Order_Date]]),1)</f>
        <v>45870</v>
      </c>
      <c r="AK434" s="8" t="str">
        <f>VLOOKUP(RawSalesTable[[#This Row],[Customer_ID_clean]],CustomersTable[],4,FALSE)</f>
        <v>Alberta</v>
      </c>
    </row>
    <row r="435" spans="1:37">
      <c r="A435" t="s">
        <v>856</v>
      </c>
      <c r="B435" s="3">
        <v>45840</v>
      </c>
      <c r="C435" t="s">
        <v>472</v>
      </c>
      <c r="D435" t="s">
        <v>277</v>
      </c>
      <c r="E435" t="s">
        <v>473</v>
      </c>
      <c r="F435" t="s">
        <v>87</v>
      </c>
      <c r="G435" t="s">
        <v>130</v>
      </c>
      <c r="H435" t="s">
        <v>228</v>
      </c>
      <c r="I435">
        <v>2</v>
      </c>
      <c r="J435" s="2">
        <v>351.69</v>
      </c>
      <c r="K435" s="4">
        <v>0</v>
      </c>
      <c r="L435" t="s">
        <v>106</v>
      </c>
      <c r="M435">
        <v>2</v>
      </c>
      <c r="N435" t="s">
        <v>91</v>
      </c>
      <c r="O435" t="str">
        <f>SUBSTITUTE(PROPER(TRIM(RawSalesTable[[#This Row],[Channel_Raw]])), "Market Place", "Marketplace")</f>
        <v>Online</v>
      </c>
      <c r="P435" t="str">
        <f>TRIM(RawSalesTable[[#This Row],[Store_Raw]])</f>
        <v>Online Fulfillment</v>
      </c>
      <c r="Q435" t="str">
        <f>IF(TRIM(RawSalesTable[[#This Row],[Payment_Method_Raw]])="","Non renseigné",SUBSTITUTE(TRIM(RawSalesTable[[#This Row],[Payment_Method_Raw]]),"CC","Credit Card"))</f>
        <v>Credit Card</v>
      </c>
      <c r="R435" s="8" t="str">
        <f>UPPER(PROPER(RawSalesTable[[#This Row],[Customer_ID]]))</f>
        <v>C0018</v>
      </c>
      <c r="S435" s="8" t="str">
        <f>TRIM(LEFT(RawSalesTable[[#This Row],[Customer_Info]],FIND(",",RawSalesTable[[#This Row],[Customer_Info]]) -1))</f>
        <v>Sophia Tremblay</v>
      </c>
      <c r="T435" s="8" t="str">
        <f>TRIM(MID(RawSalesTable[[#This Row],[Customer_Info]],FIND(",",RawSalesTable[[#This Row],[Customer_Info]])+1,FIND(",",RawSalesTable[[#This Row],[Customer_Info]],FIND(",",RawSalesTable[[#This Row],[Customer_Info]])+1)-FIND(",",RawSalesTable[[#This Row],[Customer_Info]])-1))</f>
        <v>Laval</v>
      </c>
      <c r="U435" s="8" t="str">
        <f>TRIM(RIGHT(RawSalesTable[[#This Row],[Customer_Info]], LEN(RawSalesTable[[#This Row],[Customer_Info]])-FIND(",",RawSalesTable[[#This Row],[Customer_Info]],FIND(",",RawSalesTable[[#This Row],[Customer_Info]])+1)))</f>
        <v>Small Business</v>
      </c>
      <c r="V435" s="8" t="str">
        <f>VLOOKUP(RawSalesTable[[#This Row],[Product_ID]],ProductsTable[],2,FALSE)</f>
        <v>Headphones</v>
      </c>
      <c r="W435" s="8" t="str">
        <f>VLOOKUP(RawSalesTable[[#This Row],[Product_ID]],ProductsTable[],3,FALSE)</f>
        <v>Electronics</v>
      </c>
      <c r="X435" s="8">
        <f>VLOOKUP(RawSalesTable[[#This Row],[Product_ID]],ProductsTable[],5,FALSE)</f>
        <v>254.6</v>
      </c>
      <c r="Y435" s="8">
        <f>RawSalesTable[[#This Row],[Quantity]]*RawSalesTable[[#This Row],[Unit_Price]]</f>
        <v>703.38</v>
      </c>
      <c r="Z435" s="8">
        <f>RawSalesTable[[#This Row],[Gross_Sales]]*RawSalesTable[[#This Row],[Discount_Pct]]</f>
        <v>0</v>
      </c>
      <c r="AA435" s="8">
        <f>RawSalesTable[[#This Row],[Gross_Sales]]-RawSalesTable[[#This Row],[Discount_Amount]]</f>
        <v>703.38</v>
      </c>
      <c r="AB435" s="8">
        <f>RawSalesTable[[#This Row],[Unit_Cost]]*RawSalesTable[[#This Row],[Quantity]]</f>
        <v>509.2</v>
      </c>
      <c r="AC435" s="8">
        <f>RawSalesTable[[#This Row],[Net_Sales]]-RawSalesTable[[#This Row],[Total_Cost]]</f>
        <v>194.18</v>
      </c>
      <c r="AD435" s="9">
        <f>RawSalesTable[[#This Row],[Profit]]/RawSalesTable[[#This Row],[Net_Sales]]</f>
        <v>0.27606699081577529</v>
      </c>
      <c r="AE435" s="8">
        <f>IF(RawSalesTable[[#This Row],[Return_Status]]="Yes",1,0)</f>
        <v>0</v>
      </c>
      <c r="AF435" s="8">
        <f>YEAR(RawSalesTable[[#This Row],[Order_Date]])</f>
        <v>2025</v>
      </c>
      <c r="AG435" s="8">
        <f>MONTH(RawSalesTable[[#This Row],[Order_Date]])</f>
        <v>7</v>
      </c>
      <c r="AH435" s="8" t="str">
        <f>TEXT(RawSalesTable[[#This Row],[Order_Date]],"mmmm")</f>
        <v>juillet</v>
      </c>
      <c r="AI435" s="8" t="str">
        <f>IF(RawSalesTable[[#This Row],[Month_Number]]&lt;=3,"Q1",IF(RawSalesTable[[#This Row],[Month_Number]]&lt;=6,"Q2",IF(RawSalesTable[[#This Row],[Month_Number]]&lt;=9,"Q3","Q4")))</f>
        <v>Q3</v>
      </c>
      <c r="AJ435" s="13">
        <f>DATE(YEAR(RawSalesTable[[#This Row],[Order_Date]]),MONTH(RawSalesTable[[#This Row],[Order_Date]]),1)</f>
        <v>45839</v>
      </c>
      <c r="AK435" s="8" t="str">
        <f>VLOOKUP(RawSalesTable[[#This Row],[Customer_ID_clean]],CustomersTable[],4,FALSE)</f>
        <v>Quebec</v>
      </c>
    </row>
    <row r="436" spans="1:37">
      <c r="A436" t="s">
        <v>857</v>
      </c>
      <c r="B436" s="3">
        <v>45924</v>
      </c>
      <c r="C436" t="s">
        <v>243</v>
      </c>
      <c r="D436" t="s">
        <v>738</v>
      </c>
      <c r="E436" t="s">
        <v>245</v>
      </c>
      <c r="F436" t="s">
        <v>145</v>
      </c>
      <c r="G436" t="s">
        <v>171</v>
      </c>
      <c r="H436" t="s">
        <v>89</v>
      </c>
      <c r="I436">
        <v>2</v>
      </c>
      <c r="J436" s="2">
        <v>336.2</v>
      </c>
      <c r="K436" s="4">
        <v>0.05</v>
      </c>
      <c r="L436" t="s">
        <v>90</v>
      </c>
      <c r="M436">
        <v>6</v>
      </c>
      <c r="N436" t="s">
        <v>91</v>
      </c>
      <c r="O436" t="str">
        <f>SUBSTITUTE(PROPER(TRIM(RawSalesTable[[#This Row],[Channel_Raw]])), "Market Place", "Marketplace")</f>
        <v>Online</v>
      </c>
      <c r="P436" t="str">
        <f>TRIM(RawSalesTable[[#This Row],[Store_Raw]])</f>
        <v>Calgary North</v>
      </c>
      <c r="Q436" t="str">
        <f>IF(TRIM(RawSalesTable[[#This Row],[Payment_Method_Raw]])="","Non renseigné",SUBSTITUTE(TRIM(RawSalesTable[[#This Row],[Payment_Method_Raw]]),"CC","Credit Card"))</f>
        <v>PayPal</v>
      </c>
      <c r="R436" s="8" t="str">
        <f>UPPER(PROPER(RawSalesTable[[#This Row],[Customer_ID]]))</f>
        <v>C0048</v>
      </c>
      <c r="S436" s="8" t="str">
        <f>TRIM(LEFT(RawSalesTable[[#This Row],[Customer_Info]],FIND(",",RawSalesTable[[#This Row],[Customer_Info]]) -1))</f>
        <v>Amelia Brown</v>
      </c>
      <c r="T436" s="8" t="str">
        <f>TRIM(MID(RawSalesTable[[#This Row],[Customer_Info]],FIND(",",RawSalesTable[[#This Row],[Customer_Info]])+1,FIND(",",RawSalesTable[[#This Row],[Customer_Info]],FIND(",",RawSalesTable[[#This Row],[Customer_Info]])+1)-FIND(",",RawSalesTable[[#This Row],[Customer_Info]])-1))</f>
        <v>Quebec City</v>
      </c>
      <c r="U436" s="8" t="str">
        <f>TRIM(RIGHT(RawSalesTable[[#This Row],[Customer_Info]], LEN(RawSalesTable[[#This Row],[Customer_Info]])-FIND(",",RawSalesTable[[#This Row],[Customer_Info]],FIND(",",RawSalesTable[[#This Row],[Customer_Info]])+1)))</f>
        <v>Corporate</v>
      </c>
      <c r="V436" s="8" t="str">
        <f>VLOOKUP(RawSalesTable[[#This Row],[Product_ID]],ProductsTable[],2,FALSE)</f>
        <v>Printer</v>
      </c>
      <c r="W436" s="8" t="str">
        <f>VLOOKUP(RawSalesTable[[#This Row],[Product_ID]],ProductsTable[],3,FALSE)</f>
        <v>Office</v>
      </c>
      <c r="X436" s="8">
        <f>VLOOKUP(RawSalesTable[[#This Row],[Product_ID]],ProductsTable[],5,FALSE)</f>
        <v>156.75</v>
      </c>
      <c r="Y436" s="8">
        <f>RawSalesTable[[#This Row],[Quantity]]*RawSalesTable[[#This Row],[Unit_Price]]</f>
        <v>672.4</v>
      </c>
      <c r="Z436" s="8">
        <f>RawSalesTable[[#This Row],[Gross_Sales]]*RawSalesTable[[#This Row],[Discount_Pct]]</f>
        <v>33.619999999999997</v>
      </c>
      <c r="AA436" s="8">
        <f>RawSalesTable[[#This Row],[Gross_Sales]]-RawSalesTable[[#This Row],[Discount_Amount]]</f>
        <v>638.78</v>
      </c>
      <c r="AB436" s="8">
        <f>RawSalesTable[[#This Row],[Unit_Cost]]*RawSalesTable[[#This Row],[Quantity]]</f>
        <v>313.5</v>
      </c>
      <c r="AC436" s="8">
        <f>RawSalesTable[[#This Row],[Net_Sales]]-RawSalesTable[[#This Row],[Total_Cost]]</f>
        <v>325.27999999999997</v>
      </c>
      <c r="AD436" s="9">
        <f>RawSalesTable[[#This Row],[Profit]]/RawSalesTable[[#This Row],[Net_Sales]]</f>
        <v>0.50922070196311719</v>
      </c>
      <c r="AE436" s="8">
        <f>IF(RawSalesTable[[#This Row],[Return_Status]]="Yes",1,0)</f>
        <v>0</v>
      </c>
      <c r="AF436" s="8">
        <f>YEAR(RawSalesTable[[#This Row],[Order_Date]])</f>
        <v>2025</v>
      </c>
      <c r="AG436" s="8">
        <f>MONTH(RawSalesTable[[#This Row],[Order_Date]])</f>
        <v>9</v>
      </c>
      <c r="AH436" s="8" t="str">
        <f>TEXT(RawSalesTable[[#This Row],[Order_Date]],"mmmm")</f>
        <v>septembre</v>
      </c>
      <c r="AI436" s="8" t="str">
        <f>IF(RawSalesTable[[#This Row],[Month_Number]]&lt;=3,"Q1",IF(RawSalesTable[[#This Row],[Month_Number]]&lt;=6,"Q2",IF(RawSalesTable[[#This Row],[Month_Number]]&lt;=9,"Q3","Q4")))</f>
        <v>Q3</v>
      </c>
      <c r="AJ436" s="13">
        <f>DATE(YEAR(RawSalesTable[[#This Row],[Order_Date]]),MONTH(RawSalesTable[[#This Row],[Order_Date]]),1)</f>
        <v>45901</v>
      </c>
      <c r="AK436" s="8" t="str">
        <f>VLOOKUP(RawSalesTable[[#This Row],[Customer_ID_clean]],CustomersTable[],4,FALSE)</f>
        <v>Quebec</v>
      </c>
    </row>
    <row r="437" spans="1:37">
      <c r="A437" t="s">
        <v>858</v>
      </c>
      <c r="B437" s="3">
        <v>45719</v>
      </c>
      <c r="C437" t="s">
        <v>216</v>
      </c>
      <c r="D437" t="s">
        <v>360</v>
      </c>
      <c r="E437" t="s">
        <v>218</v>
      </c>
      <c r="F437" t="s">
        <v>111</v>
      </c>
      <c r="G437" t="s">
        <v>171</v>
      </c>
      <c r="H437" t="s">
        <v>228</v>
      </c>
      <c r="I437">
        <v>3</v>
      </c>
      <c r="J437" s="2">
        <v>65.599999999999994</v>
      </c>
      <c r="K437" s="4">
        <v>0.05</v>
      </c>
      <c r="L437" t="s">
        <v>90</v>
      </c>
      <c r="M437">
        <v>4</v>
      </c>
      <c r="N437" t="s">
        <v>91</v>
      </c>
      <c r="O437" t="str">
        <f>SUBSTITUTE(PROPER(TRIM(RawSalesTable[[#This Row],[Channel_Raw]])), "Market Place", "Marketplace")</f>
        <v>Online</v>
      </c>
      <c r="P437" t="str">
        <f>TRIM(RawSalesTable[[#This Row],[Store_Raw]])</f>
        <v>Montreal Central</v>
      </c>
      <c r="Q437" t="str">
        <f>IF(TRIM(RawSalesTable[[#This Row],[Payment_Method_Raw]])="","Non renseigné",SUBSTITUTE(TRIM(RawSalesTable[[#This Row],[Payment_Method_Raw]]),"CC","Credit Card"))</f>
        <v>PayPal</v>
      </c>
      <c r="R437" s="8" t="str">
        <f>UPPER(PROPER(RawSalesTable[[#This Row],[Customer_ID]]))</f>
        <v>C0065</v>
      </c>
      <c r="S437" s="8" t="str">
        <f>TRIM(LEFT(RawSalesTable[[#This Row],[Customer_Info]],FIND(",",RawSalesTable[[#This Row],[Customer_Info]]) -1))</f>
        <v>Mia Wilson</v>
      </c>
      <c r="T437" s="8" t="str">
        <f>TRIM(MID(RawSalesTable[[#This Row],[Customer_Info]],FIND(",",RawSalesTable[[#This Row],[Customer_Info]])+1,FIND(",",RawSalesTable[[#This Row],[Customer_Info]],FIND(",",RawSalesTable[[#This Row],[Customer_Info]])+1)-FIND(",",RawSalesTable[[#This Row],[Customer_Info]])-1))</f>
        <v>Quebec City</v>
      </c>
      <c r="U437" s="8" t="str">
        <f>TRIM(RIGHT(RawSalesTable[[#This Row],[Customer_Info]], LEN(RawSalesTable[[#This Row],[Customer_Info]])-FIND(",",RawSalesTable[[#This Row],[Customer_Info]],FIND(",",RawSalesTable[[#This Row],[Customer_Info]])+1)))</f>
        <v>Consumer</v>
      </c>
      <c r="V437" s="8" t="str">
        <f>VLOOKUP(RawSalesTable[[#This Row],[Product_ID]],ProductsTable[],2,FALSE)</f>
        <v>Blender</v>
      </c>
      <c r="W437" s="8" t="str">
        <f>VLOOKUP(RawSalesTable[[#This Row],[Product_ID]],ProductsTable[],3,FALSE)</f>
        <v>Home</v>
      </c>
      <c r="X437" s="8">
        <f>VLOOKUP(RawSalesTable[[#This Row],[Product_ID]],ProductsTable[],5,FALSE)</f>
        <v>37.46</v>
      </c>
      <c r="Y437" s="8">
        <f>RawSalesTable[[#This Row],[Quantity]]*RawSalesTable[[#This Row],[Unit_Price]]</f>
        <v>196.79999999999998</v>
      </c>
      <c r="Z437" s="8">
        <f>RawSalesTable[[#This Row],[Gross_Sales]]*RawSalesTable[[#This Row],[Discount_Pct]]</f>
        <v>9.84</v>
      </c>
      <c r="AA437" s="8">
        <f>RawSalesTable[[#This Row],[Gross_Sales]]-RawSalesTable[[#This Row],[Discount_Amount]]</f>
        <v>186.95999999999998</v>
      </c>
      <c r="AB437" s="8">
        <f>RawSalesTable[[#This Row],[Unit_Cost]]*RawSalesTable[[#This Row],[Quantity]]</f>
        <v>112.38</v>
      </c>
      <c r="AC437" s="8">
        <f>RawSalesTable[[#This Row],[Net_Sales]]-RawSalesTable[[#This Row],[Total_Cost]]</f>
        <v>74.579999999999984</v>
      </c>
      <c r="AD437" s="9">
        <f>RawSalesTable[[#This Row],[Profit]]/RawSalesTable[[#This Row],[Net_Sales]]</f>
        <v>0.39890885750962768</v>
      </c>
      <c r="AE437" s="8">
        <f>IF(RawSalesTable[[#This Row],[Return_Status]]="Yes",1,0)</f>
        <v>0</v>
      </c>
      <c r="AF437" s="8">
        <f>YEAR(RawSalesTable[[#This Row],[Order_Date]])</f>
        <v>2025</v>
      </c>
      <c r="AG437" s="8">
        <f>MONTH(RawSalesTable[[#This Row],[Order_Date]])</f>
        <v>3</v>
      </c>
      <c r="AH437" s="8" t="str">
        <f>TEXT(RawSalesTable[[#This Row],[Order_Date]],"mmmm")</f>
        <v>mars</v>
      </c>
      <c r="AI437" s="8" t="str">
        <f>IF(RawSalesTable[[#This Row],[Month_Number]]&lt;=3,"Q1",IF(RawSalesTable[[#This Row],[Month_Number]]&lt;=6,"Q2",IF(RawSalesTable[[#This Row],[Month_Number]]&lt;=9,"Q3","Q4")))</f>
        <v>Q1</v>
      </c>
      <c r="AJ437" s="13">
        <f>DATE(YEAR(RawSalesTable[[#This Row],[Order_Date]]),MONTH(RawSalesTable[[#This Row],[Order_Date]]),1)</f>
        <v>45717</v>
      </c>
      <c r="AK437" s="8" t="str">
        <f>VLOOKUP(RawSalesTable[[#This Row],[Customer_ID_clean]],CustomersTable[],4,FALSE)</f>
        <v>Quebec</v>
      </c>
    </row>
    <row r="438" spans="1:37">
      <c r="A438" t="s">
        <v>859</v>
      </c>
      <c r="B438" s="3">
        <v>46004</v>
      </c>
      <c r="C438" t="s">
        <v>610</v>
      </c>
      <c r="D438" t="s">
        <v>190</v>
      </c>
      <c r="E438" t="s">
        <v>611</v>
      </c>
      <c r="F438" t="s">
        <v>145</v>
      </c>
      <c r="G438" t="s">
        <v>183</v>
      </c>
      <c r="H438" t="s">
        <v>89</v>
      </c>
      <c r="I438">
        <v>1</v>
      </c>
      <c r="J438" s="2">
        <v>273.05</v>
      </c>
      <c r="K438" s="4">
        <v>0</v>
      </c>
      <c r="L438" t="s">
        <v>106</v>
      </c>
      <c r="M438">
        <v>2</v>
      </c>
      <c r="N438" t="s">
        <v>147</v>
      </c>
      <c r="O438" t="str">
        <f>SUBSTITUTE(PROPER(TRIM(RawSalesTable[[#This Row],[Channel_Raw]])), "Market Place", "Marketplace")</f>
        <v>Online</v>
      </c>
      <c r="P438" t="str">
        <f>TRIM(RawSalesTable[[#This Row],[Store_Raw]])</f>
        <v>Calgary North</v>
      </c>
      <c r="Q438" t="str">
        <f>IF(TRIM(RawSalesTable[[#This Row],[Payment_Method_Raw]])="","Non renseigné",SUBSTITUTE(TRIM(RawSalesTable[[#This Row],[Payment_Method_Raw]]),"CC","Credit Card"))</f>
        <v>Credit Card</v>
      </c>
      <c r="R438" s="8" t="str">
        <f>UPPER(PROPER(RawSalesTable[[#This Row],[Customer_ID]]))</f>
        <v>C0051</v>
      </c>
      <c r="S438" s="8" t="str">
        <f>TRIM(LEFT(RawSalesTable[[#This Row],[Customer_Info]],FIND(",",RawSalesTable[[#This Row],[Customer_Info]]) -1))</f>
        <v>Daniel Brown</v>
      </c>
      <c r="T438" s="8" t="str">
        <f>TRIM(MID(RawSalesTable[[#This Row],[Customer_Info]],FIND(",",RawSalesTable[[#This Row],[Customer_Info]])+1,FIND(",",RawSalesTable[[#This Row],[Customer_Info]],FIND(",",RawSalesTable[[#This Row],[Customer_Info]])+1)-FIND(",",RawSalesTable[[#This Row],[Customer_Info]])-1))</f>
        <v>Vancouver</v>
      </c>
      <c r="U438" s="8" t="str">
        <f>TRIM(RIGHT(RawSalesTable[[#This Row],[Customer_Info]], LEN(RawSalesTable[[#This Row],[Customer_Info]])-FIND(",",RawSalesTable[[#This Row],[Customer_Info]],FIND(",",RawSalesTable[[#This Row],[Customer_Info]])+1)))</f>
        <v>Small Business</v>
      </c>
      <c r="V438" s="8" t="str">
        <f>VLOOKUP(RawSalesTable[[#This Row],[Product_ID]],ProductsTable[],2,FALSE)</f>
        <v>Webcam</v>
      </c>
      <c r="W438" s="8" t="str">
        <f>VLOOKUP(RawSalesTable[[#This Row],[Product_ID]],ProductsTable[],3,FALSE)</f>
        <v>Electronics</v>
      </c>
      <c r="X438" s="8">
        <f>VLOOKUP(RawSalesTable[[#This Row],[Product_ID]],ProductsTable[],5,FALSE)</f>
        <v>154.72999999999999</v>
      </c>
      <c r="Y438" s="8">
        <f>RawSalesTable[[#This Row],[Quantity]]*RawSalesTable[[#This Row],[Unit_Price]]</f>
        <v>273.05</v>
      </c>
      <c r="Z438" s="8">
        <f>RawSalesTable[[#This Row],[Gross_Sales]]*RawSalesTable[[#This Row],[Discount_Pct]]</f>
        <v>0</v>
      </c>
      <c r="AA438" s="8">
        <f>RawSalesTable[[#This Row],[Gross_Sales]]-RawSalesTable[[#This Row],[Discount_Amount]]</f>
        <v>273.05</v>
      </c>
      <c r="AB438" s="8">
        <f>RawSalesTable[[#This Row],[Unit_Cost]]*RawSalesTable[[#This Row],[Quantity]]</f>
        <v>154.72999999999999</v>
      </c>
      <c r="AC438" s="8">
        <f>RawSalesTable[[#This Row],[Net_Sales]]-RawSalesTable[[#This Row],[Total_Cost]]</f>
        <v>118.32000000000002</v>
      </c>
      <c r="AD438" s="9">
        <f>RawSalesTable[[#This Row],[Profit]]/RawSalesTable[[#This Row],[Net_Sales]]</f>
        <v>0.43332722944515661</v>
      </c>
      <c r="AE438" s="8">
        <f>IF(RawSalesTable[[#This Row],[Return_Status]]="Yes",1,0)</f>
        <v>1</v>
      </c>
      <c r="AF438" s="8">
        <f>YEAR(RawSalesTable[[#This Row],[Order_Date]])</f>
        <v>2025</v>
      </c>
      <c r="AG438" s="8">
        <f>MONTH(RawSalesTable[[#This Row],[Order_Date]])</f>
        <v>12</v>
      </c>
      <c r="AH438" s="8" t="str">
        <f>TEXT(RawSalesTable[[#This Row],[Order_Date]],"mmmm")</f>
        <v>décembre</v>
      </c>
      <c r="AI438" s="8" t="str">
        <f>IF(RawSalesTable[[#This Row],[Month_Number]]&lt;=3,"Q1",IF(RawSalesTable[[#This Row],[Month_Number]]&lt;=6,"Q2",IF(RawSalesTable[[#This Row],[Month_Number]]&lt;=9,"Q3","Q4")))</f>
        <v>Q4</v>
      </c>
      <c r="AJ438" s="13">
        <f>DATE(YEAR(RawSalesTable[[#This Row],[Order_Date]]),MONTH(RawSalesTable[[#This Row],[Order_Date]]),1)</f>
        <v>45992</v>
      </c>
      <c r="AK438" s="8" t="str">
        <f>VLOOKUP(RawSalesTable[[#This Row],[Customer_ID_clean]],CustomersTable[],4,FALSE)</f>
        <v>British Columbia</v>
      </c>
    </row>
    <row r="439" spans="1:37">
      <c r="A439" t="s">
        <v>860</v>
      </c>
      <c r="B439" s="3">
        <v>45834</v>
      </c>
      <c r="C439" t="s">
        <v>507</v>
      </c>
      <c r="D439" t="s">
        <v>149</v>
      </c>
      <c r="E439" t="s">
        <v>508</v>
      </c>
      <c r="F439" t="s">
        <v>116</v>
      </c>
      <c r="G439" t="s">
        <v>88</v>
      </c>
      <c r="H439" t="s">
        <v>89</v>
      </c>
      <c r="I439">
        <v>1</v>
      </c>
      <c r="J439" s="2">
        <v>80.47</v>
      </c>
      <c r="K439" s="4">
        <v>0.25</v>
      </c>
      <c r="L439" t="s">
        <v>98</v>
      </c>
      <c r="M439">
        <v>4</v>
      </c>
      <c r="N439" t="s">
        <v>91</v>
      </c>
      <c r="O439" t="str">
        <f>SUBSTITUTE(PROPER(TRIM(RawSalesTable[[#This Row],[Channel_Raw]])), "Market Place", "Marketplace")</f>
        <v>Online</v>
      </c>
      <c r="P439" t="str">
        <f>TRIM(RawSalesTable[[#This Row],[Store_Raw]])</f>
        <v>Toronto Downtown</v>
      </c>
      <c r="Q439" t="str">
        <f>IF(TRIM(RawSalesTable[[#This Row],[Payment_Method_Raw]])="","Non renseigné",SUBSTITUTE(TRIM(RawSalesTable[[#This Row],[Payment_Method_Raw]]),"CC","Credit Card"))</f>
        <v>Debit Card</v>
      </c>
      <c r="R439" s="8" t="str">
        <f>UPPER(PROPER(RawSalesTable[[#This Row],[Customer_ID]]))</f>
        <v>C0078</v>
      </c>
      <c r="S439" s="8" t="str">
        <f>TRIM(LEFT(RawSalesTable[[#This Row],[Customer_Info]],FIND(",",RawSalesTable[[#This Row],[Customer_Info]]) -1))</f>
        <v>Sarah Smith</v>
      </c>
      <c r="T439" s="8" t="str">
        <f>TRIM(MID(RawSalesTable[[#This Row],[Customer_Info]],FIND(",",RawSalesTable[[#This Row],[Customer_Info]])+1,FIND(",",RawSalesTable[[#This Row],[Customer_Info]],FIND(",",RawSalesTable[[#This Row],[Customer_Info]])+1)-FIND(",",RawSalesTable[[#This Row],[Customer_Info]])-1))</f>
        <v>Edmonton</v>
      </c>
      <c r="U439" s="8" t="str">
        <f>TRIM(RIGHT(RawSalesTable[[#This Row],[Customer_Info]], LEN(RawSalesTable[[#This Row],[Customer_Info]])-FIND(",",RawSalesTable[[#This Row],[Customer_Info]],FIND(",",RawSalesTable[[#This Row],[Customer_Info]])+1)))</f>
        <v>Corporate</v>
      </c>
      <c r="V439" s="8" t="str">
        <f>VLOOKUP(RawSalesTable[[#This Row],[Product_ID]],ProductsTable[],2,FALSE)</f>
        <v>Office Chair</v>
      </c>
      <c r="W439" s="8" t="str">
        <f>VLOOKUP(RawSalesTable[[#This Row],[Product_ID]],ProductsTable[],3,FALSE)</f>
        <v>Office</v>
      </c>
      <c r="X439" s="8">
        <f>VLOOKUP(RawSalesTable[[#This Row],[Product_ID]],ProductsTable[],5,FALSE)</f>
        <v>39.26</v>
      </c>
      <c r="Y439" s="8">
        <f>RawSalesTable[[#This Row],[Quantity]]*RawSalesTable[[#This Row],[Unit_Price]]</f>
        <v>80.47</v>
      </c>
      <c r="Z439" s="8">
        <f>RawSalesTable[[#This Row],[Gross_Sales]]*RawSalesTable[[#This Row],[Discount_Pct]]</f>
        <v>20.1175</v>
      </c>
      <c r="AA439" s="8">
        <f>RawSalesTable[[#This Row],[Gross_Sales]]-RawSalesTable[[#This Row],[Discount_Amount]]</f>
        <v>60.352499999999999</v>
      </c>
      <c r="AB439" s="8">
        <f>RawSalesTable[[#This Row],[Unit_Cost]]*RawSalesTable[[#This Row],[Quantity]]</f>
        <v>39.26</v>
      </c>
      <c r="AC439" s="8">
        <f>RawSalesTable[[#This Row],[Net_Sales]]-RawSalesTable[[#This Row],[Total_Cost]]</f>
        <v>21.092500000000001</v>
      </c>
      <c r="AD439" s="9">
        <f>RawSalesTable[[#This Row],[Profit]]/RawSalesTable[[#This Row],[Net_Sales]]</f>
        <v>0.34948842218632203</v>
      </c>
      <c r="AE439" s="8">
        <f>IF(RawSalesTable[[#This Row],[Return_Status]]="Yes",1,0)</f>
        <v>0</v>
      </c>
      <c r="AF439" s="8">
        <f>YEAR(RawSalesTable[[#This Row],[Order_Date]])</f>
        <v>2025</v>
      </c>
      <c r="AG439" s="8">
        <f>MONTH(RawSalesTable[[#This Row],[Order_Date]])</f>
        <v>6</v>
      </c>
      <c r="AH439" s="8" t="str">
        <f>TEXT(RawSalesTable[[#This Row],[Order_Date]],"mmmm")</f>
        <v>juin</v>
      </c>
      <c r="AI439" s="8" t="str">
        <f>IF(RawSalesTable[[#This Row],[Month_Number]]&lt;=3,"Q1",IF(RawSalesTable[[#This Row],[Month_Number]]&lt;=6,"Q2",IF(RawSalesTable[[#This Row],[Month_Number]]&lt;=9,"Q3","Q4")))</f>
        <v>Q2</v>
      </c>
      <c r="AJ439" s="13">
        <f>DATE(YEAR(RawSalesTable[[#This Row],[Order_Date]]),MONTH(RawSalesTable[[#This Row],[Order_Date]]),1)</f>
        <v>45809</v>
      </c>
      <c r="AK439" s="8" t="str">
        <f>VLOOKUP(RawSalesTable[[#This Row],[Customer_ID_clean]],CustomersTable[],4,FALSE)</f>
        <v>Alberta</v>
      </c>
    </row>
    <row r="440" spans="1:37">
      <c r="A440" t="s">
        <v>861</v>
      </c>
      <c r="B440" s="3">
        <v>45758</v>
      </c>
      <c r="C440" t="s">
        <v>349</v>
      </c>
      <c r="D440" t="s">
        <v>503</v>
      </c>
      <c r="E440" t="s">
        <v>350</v>
      </c>
      <c r="F440" t="s">
        <v>87</v>
      </c>
      <c r="G440" t="s">
        <v>104</v>
      </c>
      <c r="H440" t="s">
        <v>89</v>
      </c>
      <c r="I440">
        <v>1</v>
      </c>
      <c r="J440" s="2">
        <v>117.18</v>
      </c>
      <c r="K440" s="4">
        <v>0.05</v>
      </c>
      <c r="L440" t="s">
        <v>106</v>
      </c>
      <c r="M440">
        <v>7</v>
      </c>
      <c r="N440" t="s">
        <v>91</v>
      </c>
      <c r="O440" t="str">
        <f>SUBSTITUTE(PROPER(TRIM(RawSalesTable[[#This Row],[Channel_Raw]])), "Market Place", "Marketplace")</f>
        <v>Online</v>
      </c>
      <c r="P440" t="str">
        <f>TRIM(RawSalesTable[[#This Row],[Store_Raw]])</f>
        <v>Online Fulfillment</v>
      </c>
      <c r="Q440" t="str">
        <f>IF(TRIM(RawSalesTable[[#This Row],[Payment_Method_Raw]])="","Non renseigné",SUBSTITUTE(TRIM(RawSalesTable[[#This Row],[Payment_Method_Raw]]),"CC","Credit Card"))</f>
        <v>Credit Card</v>
      </c>
      <c r="R440" s="8" t="str">
        <f>UPPER(PROPER(RawSalesTable[[#This Row],[Customer_ID]]))</f>
        <v>C0088</v>
      </c>
      <c r="S440" s="8" t="str">
        <f>TRIM(LEFT(RawSalesTable[[#This Row],[Customer_Info]],FIND(",",RawSalesTable[[#This Row],[Customer_Info]]) -1))</f>
        <v>Olivia Bennett</v>
      </c>
      <c r="T440" s="8" t="str">
        <f>TRIM(MID(RawSalesTable[[#This Row],[Customer_Info]],FIND(",",RawSalesTable[[#This Row],[Customer_Info]])+1,FIND(",",RawSalesTable[[#This Row],[Customer_Info]],FIND(",",RawSalesTable[[#This Row],[Customer_Info]])+1)-FIND(",",RawSalesTable[[#This Row],[Customer_Info]])-1))</f>
        <v>Vancouver</v>
      </c>
      <c r="U440" s="8" t="str">
        <f>TRIM(RIGHT(RawSalesTable[[#This Row],[Customer_Info]], LEN(RawSalesTable[[#This Row],[Customer_Info]])-FIND(",",RawSalesTable[[#This Row],[Customer_Info]],FIND(",",RawSalesTable[[#This Row],[Customer_Info]])+1)))</f>
        <v>Small Business</v>
      </c>
      <c r="V440" s="8" t="str">
        <f>VLOOKUP(RawSalesTable[[#This Row],[Product_ID]],ProductsTable[],2,FALSE)</f>
        <v>Whiteboard</v>
      </c>
      <c r="W440" s="8" t="str">
        <f>VLOOKUP(RawSalesTable[[#This Row],[Product_ID]],ProductsTable[],3,FALSE)</f>
        <v>Office</v>
      </c>
      <c r="X440" s="8">
        <f>VLOOKUP(RawSalesTable[[#This Row],[Product_ID]],ProductsTable[],5,FALSE)</f>
        <v>85.73</v>
      </c>
      <c r="Y440" s="8">
        <f>RawSalesTable[[#This Row],[Quantity]]*RawSalesTable[[#This Row],[Unit_Price]]</f>
        <v>117.18</v>
      </c>
      <c r="Z440" s="8">
        <f>RawSalesTable[[#This Row],[Gross_Sales]]*RawSalesTable[[#This Row],[Discount_Pct]]</f>
        <v>5.8590000000000009</v>
      </c>
      <c r="AA440" s="8">
        <f>RawSalesTable[[#This Row],[Gross_Sales]]-RawSalesTable[[#This Row],[Discount_Amount]]</f>
        <v>111.32100000000001</v>
      </c>
      <c r="AB440" s="8">
        <f>RawSalesTable[[#This Row],[Unit_Cost]]*RawSalesTable[[#This Row],[Quantity]]</f>
        <v>85.73</v>
      </c>
      <c r="AC440" s="8">
        <f>RawSalesTable[[#This Row],[Net_Sales]]-RawSalesTable[[#This Row],[Total_Cost]]</f>
        <v>25.591000000000008</v>
      </c>
      <c r="AD440" s="9">
        <f>RawSalesTable[[#This Row],[Profit]]/RawSalesTable[[#This Row],[Net_Sales]]</f>
        <v>0.22988474771157288</v>
      </c>
      <c r="AE440" s="8">
        <f>IF(RawSalesTable[[#This Row],[Return_Status]]="Yes",1,0)</f>
        <v>0</v>
      </c>
      <c r="AF440" s="8">
        <f>YEAR(RawSalesTable[[#This Row],[Order_Date]])</f>
        <v>2025</v>
      </c>
      <c r="AG440" s="8">
        <f>MONTH(RawSalesTable[[#This Row],[Order_Date]])</f>
        <v>4</v>
      </c>
      <c r="AH440" s="8" t="str">
        <f>TEXT(RawSalesTable[[#This Row],[Order_Date]],"mmmm")</f>
        <v>avril</v>
      </c>
      <c r="AI440" s="8" t="str">
        <f>IF(RawSalesTable[[#This Row],[Month_Number]]&lt;=3,"Q1",IF(RawSalesTable[[#This Row],[Month_Number]]&lt;=6,"Q2",IF(RawSalesTable[[#This Row],[Month_Number]]&lt;=9,"Q3","Q4")))</f>
        <v>Q2</v>
      </c>
      <c r="AJ440" s="13">
        <f>DATE(YEAR(RawSalesTable[[#This Row],[Order_Date]]),MONTH(RawSalesTable[[#This Row],[Order_Date]]),1)</f>
        <v>45748</v>
      </c>
      <c r="AK440" s="8" t="str">
        <f>VLOOKUP(RawSalesTable[[#This Row],[Customer_ID_clean]],CustomersTable[],4,FALSE)</f>
        <v>British Columbia</v>
      </c>
    </row>
    <row r="441" spans="1:37">
      <c r="A441" t="s">
        <v>862</v>
      </c>
      <c r="B441" s="3">
        <v>45671</v>
      </c>
      <c r="C441" t="s">
        <v>523</v>
      </c>
      <c r="D441" t="s">
        <v>136</v>
      </c>
      <c r="E441" t="s">
        <v>524</v>
      </c>
      <c r="F441" t="s">
        <v>145</v>
      </c>
      <c r="G441" t="s">
        <v>96</v>
      </c>
      <c r="H441" t="s">
        <v>97</v>
      </c>
      <c r="I441">
        <v>1</v>
      </c>
      <c r="J441" s="2">
        <v>161.27000000000001</v>
      </c>
      <c r="K441" s="4">
        <v>0</v>
      </c>
      <c r="L441" t="s">
        <v>90</v>
      </c>
      <c r="M441">
        <v>1</v>
      </c>
      <c r="N441" t="s">
        <v>91</v>
      </c>
      <c r="O441" t="str">
        <f>SUBSTITUTE(PROPER(TRIM(RawSalesTable[[#This Row],[Channel_Raw]])), "Market Place", "Marketplace")</f>
        <v>Retail Store</v>
      </c>
      <c r="P441" t="str">
        <f>TRIM(RawSalesTable[[#This Row],[Store_Raw]])</f>
        <v>Calgary North</v>
      </c>
      <c r="Q441" t="str">
        <f>IF(TRIM(RawSalesTable[[#This Row],[Payment_Method_Raw]])="","Non renseigné",SUBSTITUTE(TRIM(RawSalesTable[[#This Row],[Payment_Method_Raw]]),"CC","Credit Card"))</f>
        <v>PayPal</v>
      </c>
      <c r="R441" s="8" t="str">
        <f>UPPER(PROPER(RawSalesTable[[#This Row],[Customer_ID]]))</f>
        <v>C0115</v>
      </c>
      <c r="S441" s="8" t="str">
        <f>TRIM(LEFT(RawSalesTable[[#This Row],[Customer_Info]],FIND(",",RawSalesTable[[#This Row],[Customer_Info]]) -1))</f>
        <v>Nora Lee</v>
      </c>
      <c r="T441" s="8" t="str">
        <f>TRIM(MID(RawSalesTable[[#This Row],[Customer_Info]],FIND(",",RawSalesTable[[#This Row],[Customer_Info]])+1,FIND(",",RawSalesTable[[#This Row],[Customer_Info]],FIND(",",RawSalesTable[[#This Row],[Customer_Info]])+1)-FIND(",",RawSalesTable[[#This Row],[Customer_Info]])-1))</f>
        <v>Calgary</v>
      </c>
      <c r="U441" s="8" t="str">
        <f>TRIM(RIGHT(RawSalesTable[[#This Row],[Customer_Info]], LEN(RawSalesTable[[#This Row],[Customer_Info]])-FIND(",",RawSalesTable[[#This Row],[Customer_Info]],FIND(",",RawSalesTable[[#This Row],[Customer_Info]])+1)))</f>
        <v>Consumer</v>
      </c>
      <c r="V441" s="8" t="str">
        <f>VLOOKUP(RawSalesTable[[#This Row],[Product_ID]],ProductsTable[],2,FALSE)</f>
        <v>Mouse</v>
      </c>
      <c r="W441" s="8" t="str">
        <f>VLOOKUP(RawSalesTable[[#This Row],[Product_ID]],ProductsTable[],3,FALSE)</f>
        <v>Electronics</v>
      </c>
      <c r="X441" s="8">
        <f>VLOOKUP(RawSalesTable[[#This Row],[Product_ID]],ProductsTable[],5,FALSE)</f>
        <v>106.4</v>
      </c>
      <c r="Y441" s="8">
        <f>RawSalesTable[[#This Row],[Quantity]]*RawSalesTable[[#This Row],[Unit_Price]]</f>
        <v>161.27000000000001</v>
      </c>
      <c r="Z441" s="8">
        <f>RawSalesTable[[#This Row],[Gross_Sales]]*RawSalesTable[[#This Row],[Discount_Pct]]</f>
        <v>0</v>
      </c>
      <c r="AA441" s="8">
        <f>RawSalesTable[[#This Row],[Gross_Sales]]-RawSalesTable[[#This Row],[Discount_Amount]]</f>
        <v>161.27000000000001</v>
      </c>
      <c r="AB441" s="8">
        <f>RawSalesTable[[#This Row],[Unit_Cost]]*RawSalesTable[[#This Row],[Quantity]]</f>
        <v>106.4</v>
      </c>
      <c r="AC441" s="8">
        <f>RawSalesTable[[#This Row],[Net_Sales]]-RawSalesTable[[#This Row],[Total_Cost]]</f>
        <v>54.870000000000005</v>
      </c>
      <c r="AD441" s="9">
        <f>RawSalesTable[[#This Row],[Profit]]/RawSalesTable[[#This Row],[Net_Sales]]</f>
        <v>0.34023686984560053</v>
      </c>
      <c r="AE441" s="8">
        <f>IF(RawSalesTable[[#This Row],[Return_Status]]="Yes",1,0)</f>
        <v>0</v>
      </c>
      <c r="AF441" s="8">
        <f>YEAR(RawSalesTable[[#This Row],[Order_Date]])</f>
        <v>2025</v>
      </c>
      <c r="AG441" s="8">
        <f>MONTH(RawSalesTable[[#This Row],[Order_Date]])</f>
        <v>1</v>
      </c>
      <c r="AH441" s="8" t="str">
        <f>TEXT(RawSalesTable[[#This Row],[Order_Date]],"mmmm")</f>
        <v>janvier</v>
      </c>
      <c r="AI441" s="8" t="str">
        <f>IF(RawSalesTable[[#This Row],[Month_Number]]&lt;=3,"Q1",IF(RawSalesTable[[#This Row],[Month_Number]]&lt;=6,"Q2",IF(RawSalesTable[[#This Row],[Month_Number]]&lt;=9,"Q3","Q4")))</f>
        <v>Q1</v>
      </c>
      <c r="AJ441" s="13">
        <f>DATE(YEAR(RawSalesTable[[#This Row],[Order_Date]]),MONTH(RawSalesTable[[#This Row],[Order_Date]]),1)</f>
        <v>45658</v>
      </c>
      <c r="AK441" s="8" t="str">
        <f>VLOOKUP(RawSalesTable[[#This Row],[Customer_ID_clean]],CustomersTable[],4,FALSE)</f>
        <v>Alberta</v>
      </c>
    </row>
    <row r="442" spans="1:37">
      <c r="A442" t="s">
        <v>863</v>
      </c>
      <c r="B442" s="3">
        <v>45847</v>
      </c>
      <c r="C442" t="s">
        <v>193</v>
      </c>
      <c r="D442" t="s">
        <v>520</v>
      </c>
      <c r="E442" t="s">
        <v>195</v>
      </c>
      <c r="F442" t="s">
        <v>103</v>
      </c>
      <c r="G442" t="s">
        <v>88</v>
      </c>
      <c r="H442" t="s">
        <v>97</v>
      </c>
      <c r="I442">
        <v>1</v>
      </c>
      <c r="J442" s="2">
        <v>376.37</v>
      </c>
      <c r="K442" s="4">
        <v>0.15</v>
      </c>
      <c r="L442" t="s">
        <v>106</v>
      </c>
      <c r="M442">
        <v>4</v>
      </c>
      <c r="N442" t="s">
        <v>147</v>
      </c>
      <c r="O442" t="str">
        <f>SUBSTITUTE(PROPER(TRIM(RawSalesTable[[#This Row],[Channel_Raw]])), "Market Place", "Marketplace")</f>
        <v>Retail Store</v>
      </c>
      <c r="P442" t="str">
        <f>TRIM(RawSalesTable[[#This Row],[Store_Raw]])</f>
        <v>Vancouver West</v>
      </c>
      <c r="Q442" t="str">
        <f>IF(TRIM(RawSalesTable[[#This Row],[Payment_Method_Raw]])="","Non renseigné",SUBSTITUTE(TRIM(RawSalesTable[[#This Row],[Payment_Method_Raw]]),"CC","Credit Card"))</f>
        <v>Credit Card</v>
      </c>
      <c r="R442" s="8" t="str">
        <f>UPPER(PROPER(RawSalesTable[[#This Row],[Customer_ID]]))</f>
        <v>C0023</v>
      </c>
      <c r="S442" s="8" t="str">
        <f>TRIM(LEFT(RawSalesTable[[#This Row],[Customer_Info]],FIND(",",RawSalesTable[[#This Row],[Customer_Info]]) -1))</f>
        <v>Ryan Gagnon</v>
      </c>
      <c r="T442" s="8" t="str">
        <f>TRIM(MID(RawSalesTable[[#This Row],[Customer_Info]],FIND(",",RawSalesTable[[#This Row],[Customer_Info]])+1,FIND(",",RawSalesTable[[#This Row],[Customer_Info]],FIND(",",RawSalesTable[[#This Row],[Customer_Info]])+1)-FIND(",",RawSalesTable[[#This Row],[Customer_Info]])-1))</f>
        <v>Ottawa</v>
      </c>
      <c r="U442" s="8" t="str">
        <f>TRIM(RIGHT(RawSalesTable[[#This Row],[Customer_Info]], LEN(RawSalesTable[[#This Row],[Customer_Info]])-FIND(",",RawSalesTable[[#This Row],[Customer_Info]],FIND(",",RawSalesTable[[#This Row],[Customer_Info]])+1)))</f>
        <v>Small Business</v>
      </c>
      <c r="V442" s="8" t="str">
        <f>VLOOKUP(RawSalesTable[[#This Row],[Product_ID]],ProductsTable[],2,FALSE)</f>
        <v>Coffee Maker</v>
      </c>
      <c r="W442" s="8" t="str">
        <f>VLOOKUP(RawSalesTable[[#This Row],[Product_ID]],ProductsTable[],3,FALSE)</f>
        <v>Home</v>
      </c>
      <c r="X442" s="8">
        <f>VLOOKUP(RawSalesTable[[#This Row],[Product_ID]],ProductsTable[],5,FALSE)</f>
        <v>241.16</v>
      </c>
      <c r="Y442" s="8">
        <f>RawSalesTable[[#This Row],[Quantity]]*RawSalesTable[[#This Row],[Unit_Price]]</f>
        <v>376.37</v>
      </c>
      <c r="Z442" s="8">
        <f>RawSalesTable[[#This Row],[Gross_Sales]]*RawSalesTable[[#This Row],[Discount_Pct]]</f>
        <v>56.455500000000001</v>
      </c>
      <c r="AA442" s="8">
        <f>RawSalesTable[[#This Row],[Gross_Sales]]-RawSalesTable[[#This Row],[Discount_Amount]]</f>
        <v>319.91449999999998</v>
      </c>
      <c r="AB442" s="8">
        <f>RawSalesTable[[#This Row],[Unit_Cost]]*RawSalesTable[[#This Row],[Quantity]]</f>
        <v>241.16</v>
      </c>
      <c r="AC442" s="8">
        <f>RawSalesTable[[#This Row],[Net_Sales]]-RawSalesTable[[#This Row],[Total_Cost]]</f>
        <v>78.754499999999979</v>
      </c>
      <c r="AD442" s="9">
        <f>RawSalesTable[[#This Row],[Profit]]/RawSalesTable[[#This Row],[Net_Sales]]</f>
        <v>0.24617358700527792</v>
      </c>
      <c r="AE442" s="8">
        <f>IF(RawSalesTable[[#This Row],[Return_Status]]="Yes",1,0)</f>
        <v>1</v>
      </c>
      <c r="AF442" s="8">
        <f>YEAR(RawSalesTable[[#This Row],[Order_Date]])</f>
        <v>2025</v>
      </c>
      <c r="AG442" s="8">
        <f>MONTH(RawSalesTable[[#This Row],[Order_Date]])</f>
        <v>7</v>
      </c>
      <c r="AH442" s="8" t="str">
        <f>TEXT(RawSalesTable[[#This Row],[Order_Date]],"mmmm")</f>
        <v>juillet</v>
      </c>
      <c r="AI442" s="8" t="str">
        <f>IF(RawSalesTable[[#This Row],[Month_Number]]&lt;=3,"Q1",IF(RawSalesTable[[#This Row],[Month_Number]]&lt;=6,"Q2",IF(RawSalesTable[[#This Row],[Month_Number]]&lt;=9,"Q3","Q4")))</f>
        <v>Q3</v>
      </c>
      <c r="AJ442" s="13">
        <f>DATE(YEAR(RawSalesTable[[#This Row],[Order_Date]]),MONTH(RawSalesTable[[#This Row],[Order_Date]]),1)</f>
        <v>45839</v>
      </c>
      <c r="AK442" s="8" t="str">
        <f>VLOOKUP(RawSalesTable[[#This Row],[Customer_ID_clean]],CustomersTable[],4,FALSE)</f>
        <v>Ontario</v>
      </c>
    </row>
    <row r="443" spans="1:37">
      <c r="A443" t="s">
        <v>864</v>
      </c>
      <c r="B443" s="3">
        <v>45689</v>
      </c>
      <c r="C443" t="s">
        <v>273</v>
      </c>
      <c r="D443" t="s">
        <v>520</v>
      </c>
      <c r="E443" t="s">
        <v>274</v>
      </c>
      <c r="F443" t="s">
        <v>111</v>
      </c>
      <c r="G443" t="s">
        <v>104</v>
      </c>
      <c r="H443" t="s">
        <v>105</v>
      </c>
      <c r="I443">
        <v>5</v>
      </c>
      <c r="J443" s="2">
        <v>356.85</v>
      </c>
      <c r="K443" s="4">
        <v>0</v>
      </c>
      <c r="L443" t="s">
        <v>90</v>
      </c>
      <c r="M443">
        <v>1</v>
      </c>
      <c r="N443" t="s">
        <v>91</v>
      </c>
      <c r="O443" t="str">
        <f>SUBSTITUTE(PROPER(TRIM(RawSalesTable[[#This Row],[Channel_Raw]])), "Market Place", "Marketplace")</f>
        <v>Marketplace</v>
      </c>
      <c r="P443" t="str">
        <f>TRIM(RawSalesTable[[#This Row],[Store_Raw]])</f>
        <v>Montreal Central</v>
      </c>
      <c r="Q443" t="str">
        <f>IF(TRIM(RawSalesTable[[#This Row],[Payment_Method_Raw]])="","Non renseigné",SUBSTITUTE(TRIM(RawSalesTable[[#This Row],[Payment_Method_Raw]]),"CC","Credit Card"))</f>
        <v>PayPal</v>
      </c>
      <c r="R443" s="8" t="str">
        <f>UPPER(PROPER(RawSalesTable[[#This Row],[Customer_ID]]))</f>
        <v>C0066</v>
      </c>
      <c r="S443" s="8" t="str">
        <f>TRIM(LEFT(RawSalesTable[[#This Row],[Customer_Info]],FIND(",",RawSalesTable[[#This Row],[Customer_Info]]) -1))</f>
        <v>Noah Clark</v>
      </c>
      <c r="T443" s="8" t="str">
        <f>TRIM(MID(RawSalesTable[[#This Row],[Customer_Info]],FIND(",",RawSalesTable[[#This Row],[Customer_Info]])+1,FIND(",",RawSalesTable[[#This Row],[Customer_Info]],FIND(",",RawSalesTable[[#This Row],[Customer_Info]])+1)-FIND(",",RawSalesTable[[#This Row],[Customer_Info]])-1))</f>
        <v>Laval</v>
      </c>
      <c r="U443" s="8" t="str">
        <f>TRIM(RIGHT(RawSalesTable[[#This Row],[Customer_Info]], LEN(RawSalesTable[[#This Row],[Customer_Info]])-FIND(",",RawSalesTable[[#This Row],[Customer_Info]],FIND(",",RawSalesTable[[#This Row],[Customer_Info]])+1)))</f>
        <v>Consumer</v>
      </c>
      <c r="V443" s="8" t="str">
        <f>VLOOKUP(RawSalesTable[[#This Row],[Product_ID]],ProductsTable[],2,FALSE)</f>
        <v>Coffee Maker</v>
      </c>
      <c r="W443" s="8" t="str">
        <f>VLOOKUP(RawSalesTable[[#This Row],[Product_ID]],ProductsTable[],3,FALSE)</f>
        <v>Home</v>
      </c>
      <c r="X443" s="8">
        <f>VLOOKUP(RawSalesTable[[#This Row],[Product_ID]],ProductsTable[],5,FALSE)</f>
        <v>241.16</v>
      </c>
      <c r="Y443" s="8">
        <f>RawSalesTable[[#This Row],[Quantity]]*RawSalesTable[[#This Row],[Unit_Price]]</f>
        <v>1784.25</v>
      </c>
      <c r="Z443" s="8">
        <f>RawSalesTable[[#This Row],[Gross_Sales]]*RawSalesTable[[#This Row],[Discount_Pct]]</f>
        <v>0</v>
      </c>
      <c r="AA443" s="8">
        <f>RawSalesTable[[#This Row],[Gross_Sales]]-RawSalesTable[[#This Row],[Discount_Amount]]</f>
        <v>1784.25</v>
      </c>
      <c r="AB443" s="8">
        <f>RawSalesTable[[#This Row],[Unit_Cost]]*RawSalesTable[[#This Row],[Quantity]]</f>
        <v>1205.8</v>
      </c>
      <c r="AC443" s="8">
        <f>RawSalesTable[[#This Row],[Net_Sales]]-RawSalesTable[[#This Row],[Total_Cost]]</f>
        <v>578.45000000000005</v>
      </c>
      <c r="AD443" s="9">
        <f>RawSalesTable[[#This Row],[Profit]]/RawSalesTable[[#This Row],[Net_Sales]]</f>
        <v>0.32419784223062914</v>
      </c>
      <c r="AE443" s="8">
        <f>IF(RawSalesTable[[#This Row],[Return_Status]]="Yes",1,0)</f>
        <v>0</v>
      </c>
      <c r="AF443" s="8">
        <f>YEAR(RawSalesTable[[#This Row],[Order_Date]])</f>
        <v>2025</v>
      </c>
      <c r="AG443" s="8">
        <f>MONTH(RawSalesTable[[#This Row],[Order_Date]])</f>
        <v>2</v>
      </c>
      <c r="AH443" s="8" t="str">
        <f>TEXT(RawSalesTable[[#This Row],[Order_Date]],"mmmm")</f>
        <v>février</v>
      </c>
      <c r="AI443" s="8" t="str">
        <f>IF(RawSalesTable[[#This Row],[Month_Number]]&lt;=3,"Q1",IF(RawSalesTable[[#This Row],[Month_Number]]&lt;=6,"Q2",IF(RawSalesTable[[#This Row],[Month_Number]]&lt;=9,"Q3","Q4")))</f>
        <v>Q1</v>
      </c>
      <c r="AJ443" s="13">
        <f>DATE(YEAR(RawSalesTable[[#This Row],[Order_Date]]),MONTH(RawSalesTable[[#This Row],[Order_Date]]),1)</f>
        <v>45689</v>
      </c>
      <c r="AK443" s="8" t="str">
        <f>VLOOKUP(RawSalesTable[[#This Row],[Customer_ID_clean]],CustomersTable[],4,FALSE)</f>
        <v>Quebec</v>
      </c>
    </row>
    <row r="444" spans="1:37">
      <c r="A444" t="s">
        <v>865</v>
      </c>
      <c r="B444" s="3">
        <v>45671</v>
      </c>
      <c r="C444" t="s">
        <v>322</v>
      </c>
      <c r="D444" t="s">
        <v>252</v>
      </c>
      <c r="E444" t="s">
        <v>470</v>
      </c>
      <c r="F444" t="s">
        <v>116</v>
      </c>
      <c r="G444" t="s">
        <v>96</v>
      </c>
      <c r="H444" t="s">
        <v>97</v>
      </c>
      <c r="I444">
        <v>5</v>
      </c>
      <c r="J444" s="2">
        <v>277.52999999999997</v>
      </c>
      <c r="K444" s="4">
        <v>0.25</v>
      </c>
      <c r="L444" t="s">
        <v>106</v>
      </c>
      <c r="M444">
        <v>0</v>
      </c>
      <c r="N444" t="s">
        <v>91</v>
      </c>
      <c r="O444" t="str">
        <f>SUBSTITUTE(PROPER(TRIM(RawSalesTable[[#This Row],[Channel_Raw]])), "Market Place", "Marketplace")</f>
        <v>Retail Store</v>
      </c>
      <c r="P444" t="str">
        <f>TRIM(RawSalesTable[[#This Row],[Store_Raw]])</f>
        <v>Toronto Downtown</v>
      </c>
      <c r="Q444" t="str">
        <f>IF(TRIM(RawSalesTable[[#This Row],[Payment_Method_Raw]])="","Non renseigné",SUBSTITUTE(TRIM(RawSalesTable[[#This Row],[Payment_Method_Raw]]),"CC","Credit Card"))</f>
        <v>Credit Card</v>
      </c>
      <c r="R444" s="8" t="str">
        <f>UPPER(PROPER(RawSalesTable[[#This Row],[Customer_ID]]))</f>
        <v>C0119</v>
      </c>
      <c r="S444" s="8" t="str">
        <f>TRIM(LEFT(RawSalesTable[[#This Row],[Customer_Info]],FIND(",",RawSalesTable[[#This Row],[Customer_Info]]) -1))</f>
        <v>Liam Chen</v>
      </c>
      <c r="T444" s="8" t="str">
        <f>TRIM(MID(RawSalesTable[[#This Row],[Customer_Info]],FIND(",",RawSalesTable[[#This Row],[Customer_Info]])+1,FIND(",",RawSalesTable[[#This Row],[Customer_Info]],FIND(",",RawSalesTable[[#This Row],[Customer_Info]])+1)-FIND(",",RawSalesTable[[#This Row],[Customer_Info]])-1))</f>
        <v>Winnipeg</v>
      </c>
      <c r="U444" s="8" t="str">
        <f>TRIM(RIGHT(RawSalesTable[[#This Row],[Customer_Info]], LEN(RawSalesTable[[#This Row],[Customer_Info]])-FIND(",",RawSalesTable[[#This Row],[Customer_Info]],FIND(",",RawSalesTable[[#This Row],[Customer_Info]])+1)))</f>
        <v>Consumer</v>
      </c>
      <c r="V444" s="8" t="str">
        <f>VLOOKUP(RawSalesTable[[#This Row],[Product_ID]],ProductsTable[],2,FALSE)</f>
        <v>Vacuum</v>
      </c>
      <c r="W444" s="8" t="str">
        <f>VLOOKUP(RawSalesTable[[#This Row],[Product_ID]],ProductsTable[],3,FALSE)</f>
        <v>Home</v>
      </c>
      <c r="X444" s="8">
        <f>VLOOKUP(RawSalesTable[[#This Row],[Product_ID]],ProductsTable[],5,FALSE)</f>
        <v>186.94</v>
      </c>
      <c r="Y444" s="8">
        <f>RawSalesTable[[#This Row],[Quantity]]*RawSalesTable[[#This Row],[Unit_Price]]</f>
        <v>1387.6499999999999</v>
      </c>
      <c r="Z444" s="8">
        <f>RawSalesTable[[#This Row],[Gross_Sales]]*RawSalesTable[[#This Row],[Discount_Pct]]</f>
        <v>346.91249999999997</v>
      </c>
      <c r="AA444" s="8">
        <f>RawSalesTable[[#This Row],[Gross_Sales]]-RawSalesTable[[#This Row],[Discount_Amount]]</f>
        <v>1040.7375</v>
      </c>
      <c r="AB444" s="8">
        <f>RawSalesTable[[#This Row],[Unit_Cost]]*RawSalesTable[[#This Row],[Quantity]]</f>
        <v>934.7</v>
      </c>
      <c r="AC444" s="8">
        <f>RawSalesTable[[#This Row],[Net_Sales]]-RawSalesTable[[#This Row],[Total_Cost]]</f>
        <v>106.03749999999991</v>
      </c>
      <c r="AD444" s="9">
        <f>RawSalesTable[[#This Row],[Profit]]/RawSalesTable[[#This Row],[Net_Sales]]</f>
        <v>0.10188688309972486</v>
      </c>
      <c r="AE444" s="8">
        <f>IF(RawSalesTable[[#This Row],[Return_Status]]="Yes",1,0)</f>
        <v>0</v>
      </c>
      <c r="AF444" s="8">
        <f>YEAR(RawSalesTable[[#This Row],[Order_Date]])</f>
        <v>2025</v>
      </c>
      <c r="AG444" s="8">
        <f>MONTH(RawSalesTable[[#This Row],[Order_Date]])</f>
        <v>1</v>
      </c>
      <c r="AH444" s="8" t="str">
        <f>TEXT(RawSalesTable[[#This Row],[Order_Date]],"mmmm")</f>
        <v>janvier</v>
      </c>
      <c r="AI444" s="8" t="str">
        <f>IF(RawSalesTable[[#This Row],[Month_Number]]&lt;=3,"Q1",IF(RawSalesTable[[#This Row],[Month_Number]]&lt;=6,"Q2",IF(RawSalesTable[[#This Row],[Month_Number]]&lt;=9,"Q3","Q4")))</f>
        <v>Q1</v>
      </c>
      <c r="AJ444" s="13">
        <f>DATE(YEAR(RawSalesTable[[#This Row],[Order_Date]]),MONTH(RawSalesTable[[#This Row],[Order_Date]]),1)</f>
        <v>45658</v>
      </c>
      <c r="AK444" s="8" t="str">
        <f>VLOOKUP(RawSalesTable[[#This Row],[Customer_ID_clean]],CustomersTable[],4,FALSE)</f>
        <v>Manitoba</v>
      </c>
    </row>
    <row r="445" spans="1:37">
      <c r="A445" t="s">
        <v>866</v>
      </c>
      <c r="B445" s="3">
        <v>46003</v>
      </c>
      <c r="C445" t="s">
        <v>613</v>
      </c>
      <c r="D445" t="s">
        <v>85</v>
      </c>
      <c r="E445" t="s">
        <v>710</v>
      </c>
      <c r="F445" t="s">
        <v>116</v>
      </c>
      <c r="G445" t="s">
        <v>183</v>
      </c>
      <c r="H445" t="s">
        <v>89</v>
      </c>
      <c r="I445">
        <v>1</v>
      </c>
      <c r="J445" s="2">
        <v>302.3</v>
      </c>
      <c r="K445" s="4">
        <v>0</v>
      </c>
      <c r="L445" t="s">
        <v>106</v>
      </c>
      <c r="M445">
        <v>3</v>
      </c>
      <c r="N445" t="s">
        <v>91</v>
      </c>
      <c r="O445" t="str">
        <f>SUBSTITUTE(PROPER(TRIM(RawSalesTable[[#This Row],[Channel_Raw]])), "Market Place", "Marketplace")</f>
        <v>Online</v>
      </c>
      <c r="P445" t="str">
        <f>TRIM(RawSalesTable[[#This Row],[Store_Raw]])</f>
        <v>Toronto Downtown</v>
      </c>
      <c r="Q445" t="str">
        <f>IF(TRIM(RawSalesTable[[#This Row],[Payment_Method_Raw]])="","Non renseigné",SUBSTITUTE(TRIM(RawSalesTable[[#This Row],[Payment_Method_Raw]]),"CC","Credit Card"))</f>
        <v>Credit Card</v>
      </c>
      <c r="R445" s="8" t="str">
        <f>UPPER(PROPER(RawSalesTable[[#This Row],[Customer_ID]]))</f>
        <v>C0060</v>
      </c>
      <c r="S445" s="8" t="str">
        <f>TRIM(LEFT(RawSalesTable[[#This Row],[Customer_Info]],FIND(",",RawSalesTable[[#This Row],[Customer_Info]]) -1))</f>
        <v>Sarah Wilson</v>
      </c>
      <c r="T445" s="8" t="str">
        <f>TRIM(MID(RawSalesTable[[#This Row],[Customer_Info]],FIND(",",RawSalesTable[[#This Row],[Customer_Info]])+1,FIND(",",RawSalesTable[[#This Row],[Customer_Info]],FIND(",",RawSalesTable[[#This Row],[Customer_Info]])+1)-FIND(",",RawSalesTable[[#This Row],[Customer_Info]])-1))</f>
        <v>Quebec City</v>
      </c>
      <c r="U445" s="8" t="str">
        <f>TRIM(RIGHT(RawSalesTable[[#This Row],[Customer_Info]], LEN(RawSalesTable[[#This Row],[Customer_Info]])-FIND(",",RawSalesTable[[#This Row],[Customer_Info]],FIND(",",RawSalesTable[[#This Row],[Customer_Info]])+1)))</f>
        <v>Corporate</v>
      </c>
      <c r="V445" s="8" t="str">
        <f>VLOOKUP(RawSalesTable[[#This Row],[Product_ID]],ProductsTable[],2,FALSE)</f>
        <v>Yoga Mat</v>
      </c>
      <c r="W445" s="8" t="str">
        <f>VLOOKUP(RawSalesTable[[#This Row],[Product_ID]],ProductsTable[],3,FALSE)</f>
        <v>Fitness</v>
      </c>
      <c r="X445" s="8">
        <f>VLOOKUP(RawSalesTable[[#This Row],[Product_ID]],ProductsTable[],5,FALSE)</f>
        <v>197.33</v>
      </c>
      <c r="Y445" s="8">
        <f>RawSalesTable[[#This Row],[Quantity]]*RawSalesTable[[#This Row],[Unit_Price]]</f>
        <v>302.3</v>
      </c>
      <c r="Z445" s="8">
        <f>RawSalesTable[[#This Row],[Gross_Sales]]*RawSalesTable[[#This Row],[Discount_Pct]]</f>
        <v>0</v>
      </c>
      <c r="AA445" s="8">
        <f>RawSalesTable[[#This Row],[Gross_Sales]]-RawSalesTable[[#This Row],[Discount_Amount]]</f>
        <v>302.3</v>
      </c>
      <c r="AB445" s="8">
        <f>RawSalesTable[[#This Row],[Unit_Cost]]*RawSalesTable[[#This Row],[Quantity]]</f>
        <v>197.33</v>
      </c>
      <c r="AC445" s="8">
        <f>RawSalesTable[[#This Row],[Net_Sales]]-RawSalesTable[[#This Row],[Total_Cost]]</f>
        <v>104.97</v>
      </c>
      <c r="AD445" s="9">
        <f>RawSalesTable[[#This Row],[Profit]]/RawSalesTable[[#This Row],[Net_Sales]]</f>
        <v>0.34723784320211709</v>
      </c>
      <c r="AE445" s="8">
        <f>IF(RawSalesTable[[#This Row],[Return_Status]]="Yes",1,0)</f>
        <v>0</v>
      </c>
      <c r="AF445" s="8">
        <f>YEAR(RawSalesTable[[#This Row],[Order_Date]])</f>
        <v>2025</v>
      </c>
      <c r="AG445" s="8">
        <f>MONTH(RawSalesTable[[#This Row],[Order_Date]])</f>
        <v>12</v>
      </c>
      <c r="AH445" s="8" t="str">
        <f>TEXT(RawSalesTable[[#This Row],[Order_Date]],"mmmm")</f>
        <v>décembre</v>
      </c>
      <c r="AI445" s="8" t="str">
        <f>IF(RawSalesTable[[#This Row],[Month_Number]]&lt;=3,"Q1",IF(RawSalesTable[[#This Row],[Month_Number]]&lt;=6,"Q2",IF(RawSalesTable[[#This Row],[Month_Number]]&lt;=9,"Q3","Q4")))</f>
        <v>Q4</v>
      </c>
      <c r="AJ445" s="13">
        <f>DATE(YEAR(RawSalesTable[[#This Row],[Order_Date]]),MONTH(RawSalesTable[[#This Row],[Order_Date]]),1)</f>
        <v>45992</v>
      </c>
      <c r="AK445" s="8" t="str">
        <f>VLOOKUP(RawSalesTable[[#This Row],[Customer_ID_clean]],CustomersTable[],4,FALSE)</f>
        <v>Quebec</v>
      </c>
    </row>
    <row r="446" spans="1:37">
      <c r="A446" t="s">
        <v>867</v>
      </c>
      <c r="B446" s="3">
        <v>45879</v>
      </c>
      <c r="C446" t="s">
        <v>551</v>
      </c>
      <c r="D446" t="s">
        <v>217</v>
      </c>
      <c r="E446" t="s">
        <v>552</v>
      </c>
      <c r="F446" t="s">
        <v>310</v>
      </c>
      <c r="G446" t="s">
        <v>122</v>
      </c>
      <c r="H446" t="s">
        <v>97</v>
      </c>
      <c r="I446">
        <v>1</v>
      </c>
      <c r="J446" s="2">
        <v>99.22</v>
      </c>
      <c r="K446" s="4">
        <v>0.05</v>
      </c>
      <c r="L446" t="s">
        <v>154</v>
      </c>
      <c r="M446">
        <v>3</v>
      </c>
      <c r="N446" t="s">
        <v>91</v>
      </c>
      <c r="O446" t="str">
        <f>SUBSTITUTE(PROPER(TRIM(RawSalesTable[[#This Row],[Channel_Raw]])), "Market Place", "Marketplace")</f>
        <v>Retail Store</v>
      </c>
      <c r="P446" t="str">
        <f>TRIM(RawSalesTable[[#This Row],[Store_Raw]])</f>
        <v>Toronto Downtown</v>
      </c>
      <c r="Q446" t="str">
        <f>IF(TRIM(RawSalesTable[[#This Row],[Payment_Method_Raw]])="","Non renseigné",SUBSTITUTE(TRIM(RawSalesTable[[#This Row],[Payment_Method_Raw]]),"CC","Credit Card"))</f>
        <v>Gift Card</v>
      </c>
      <c r="R446" s="8" t="str">
        <f>UPPER(PROPER(RawSalesTable[[#This Row],[Customer_ID]]))</f>
        <v>C0094</v>
      </c>
      <c r="S446" s="8" t="str">
        <f>TRIM(LEFT(RawSalesTable[[#This Row],[Customer_Info]],FIND(",",RawSalesTable[[#This Row],[Customer_Info]]) -1))</f>
        <v>Mia Singh</v>
      </c>
      <c r="T446" s="8" t="str">
        <f>TRIM(MID(RawSalesTable[[#This Row],[Customer_Info]],FIND(",",RawSalesTable[[#This Row],[Customer_Info]])+1,FIND(",",RawSalesTable[[#This Row],[Customer_Info]],FIND(",",RawSalesTable[[#This Row],[Customer_Info]])+1)-FIND(",",RawSalesTable[[#This Row],[Customer_Info]])-1))</f>
        <v>Quebec City</v>
      </c>
      <c r="U446" s="8" t="str">
        <f>TRIM(RIGHT(RawSalesTable[[#This Row],[Customer_Info]], LEN(RawSalesTable[[#This Row],[Customer_Info]])-FIND(",",RawSalesTable[[#This Row],[Customer_Info]],FIND(",",RawSalesTable[[#This Row],[Customer_Info]])+1)))</f>
        <v>Consumer</v>
      </c>
      <c r="V446" s="8" t="str">
        <f>VLOOKUP(RawSalesTable[[#This Row],[Product_ID]],ProductsTable[],2,FALSE)</f>
        <v>USB-C Hub</v>
      </c>
      <c r="W446" s="8" t="str">
        <f>VLOOKUP(RawSalesTable[[#This Row],[Product_ID]],ProductsTable[],3,FALSE)</f>
        <v>Electronics</v>
      </c>
      <c r="X446" s="8">
        <f>VLOOKUP(RawSalesTable[[#This Row],[Product_ID]],ProductsTable[],5,FALSE)</f>
        <v>72</v>
      </c>
      <c r="Y446" s="8">
        <f>RawSalesTable[[#This Row],[Quantity]]*RawSalesTable[[#This Row],[Unit_Price]]</f>
        <v>99.22</v>
      </c>
      <c r="Z446" s="8">
        <f>RawSalesTable[[#This Row],[Gross_Sales]]*RawSalesTable[[#This Row],[Discount_Pct]]</f>
        <v>4.9610000000000003</v>
      </c>
      <c r="AA446" s="8">
        <f>RawSalesTable[[#This Row],[Gross_Sales]]-RawSalesTable[[#This Row],[Discount_Amount]]</f>
        <v>94.259</v>
      </c>
      <c r="AB446" s="8">
        <f>RawSalesTable[[#This Row],[Unit_Cost]]*RawSalesTable[[#This Row],[Quantity]]</f>
        <v>72</v>
      </c>
      <c r="AC446" s="8">
        <f>RawSalesTable[[#This Row],[Net_Sales]]-RawSalesTable[[#This Row],[Total_Cost]]</f>
        <v>22.259</v>
      </c>
      <c r="AD446" s="9">
        <f>RawSalesTable[[#This Row],[Profit]]/RawSalesTable[[#This Row],[Net_Sales]]</f>
        <v>0.23614721140686831</v>
      </c>
      <c r="AE446" s="8">
        <f>IF(RawSalesTable[[#This Row],[Return_Status]]="Yes",1,0)</f>
        <v>0</v>
      </c>
      <c r="AF446" s="8">
        <f>YEAR(RawSalesTable[[#This Row],[Order_Date]])</f>
        <v>2025</v>
      </c>
      <c r="AG446" s="8">
        <f>MONTH(RawSalesTable[[#This Row],[Order_Date]])</f>
        <v>8</v>
      </c>
      <c r="AH446" s="8" t="str">
        <f>TEXT(RawSalesTable[[#This Row],[Order_Date]],"mmmm")</f>
        <v>août</v>
      </c>
      <c r="AI446" s="8" t="str">
        <f>IF(RawSalesTable[[#This Row],[Month_Number]]&lt;=3,"Q1",IF(RawSalesTable[[#This Row],[Month_Number]]&lt;=6,"Q2",IF(RawSalesTable[[#This Row],[Month_Number]]&lt;=9,"Q3","Q4")))</f>
        <v>Q3</v>
      </c>
      <c r="AJ446" s="13">
        <f>DATE(YEAR(RawSalesTable[[#This Row],[Order_Date]]),MONTH(RawSalesTable[[#This Row],[Order_Date]]),1)</f>
        <v>45870</v>
      </c>
      <c r="AK446" s="8" t="str">
        <f>VLOOKUP(RawSalesTable[[#This Row],[Customer_ID_clean]],CustomersTable[],4,FALSE)</f>
        <v>Quebec</v>
      </c>
    </row>
    <row r="447" spans="1:37">
      <c r="A447" t="s">
        <v>868</v>
      </c>
      <c r="B447" s="3">
        <v>45758</v>
      </c>
      <c r="C447" t="s">
        <v>613</v>
      </c>
      <c r="D447" t="s">
        <v>271</v>
      </c>
      <c r="E447" t="s">
        <v>710</v>
      </c>
      <c r="F447" t="s">
        <v>145</v>
      </c>
      <c r="G447" t="s">
        <v>130</v>
      </c>
      <c r="H447" t="s">
        <v>97</v>
      </c>
      <c r="I447">
        <v>1</v>
      </c>
      <c r="J447" s="2">
        <v>217.33</v>
      </c>
      <c r="K447" s="4">
        <v>0.15</v>
      </c>
      <c r="L447" t="s">
        <v>98</v>
      </c>
      <c r="M447">
        <v>2</v>
      </c>
      <c r="N447" t="s">
        <v>91</v>
      </c>
      <c r="O447" t="str">
        <f>SUBSTITUTE(PROPER(TRIM(RawSalesTable[[#This Row],[Channel_Raw]])), "Market Place", "Marketplace")</f>
        <v>Retail Store</v>
      </c>
      <c r="P447" t="str">
        <f>TRIM(RawSalesTable[[#This Row],[Store_Raw]])</f>
        <v>Calgary North</v>
      </c>
      <c r="Q447" t="str">
        <f>IF(TRIM(RawSalesTable[[#This Row],[Payment_Method_Raw]])="","Non renseigné",SUBSTITUTE(TRIM(RawSalesTable[[#This Row],[Payment_Method_Raw]]),"CC","Credit Card"))</f>
        <v>Debit Card</v>
      </c>
      <c r="R447" s="8" t="str">
        <f>UPPER(PROPER(RawSalesTable[[#This Row],[Customer_ID]]))</f>
        <v>C0060</v>
      </c>
      <c r="S447" s="8" t="str">
        <f>TRIM(LEFT(RawSalesTable[[#This Row],[Customer_Info]],FIND(",",RawSalesTable[[#This Row],[Customer_Info]]) -1))</f>
        <v>Sarah Wilson</v>
      </c>
      <c r="T447" s="8" t="str">
        <f>TRIM(MID(RawSalesTable[[#This Row],[Customer_Info]],FIND(",",RawSalesTable[[#This Row],[Customer_Info]])+1,FIND(",",RawSalesTable[[#This Row],[Customer_Info]],FIND(",",RawSalesTable[[#This Row],[Customer_Info]])+1)-FIND(",",RawSalesTable[[#This Row],[Customer_Info]])-1))</f>
        <v>Quebec City</v>
      </c>
      <c r="U447" s="8" t="str">
        <f>TRIM(RIGHT(RawSalesTable[[#This Row],[Customer_Info]], LEN(RawSalesTable[[#This Row],[Customer_Info]])-FIND(",",RawSalesTable[[#This Row],[Customer_Info]],FIND(",",RawSalesTable[[#This Row],[Customer_Info]])+1)))</f>
        <v>Corporate</v>
      </c>
      <c r="V447" s="8" t="str">
        <f>VLOOKUP(RawSalesTable[[#This Row],[Product_ID]],ProductsTable[],2,FALSE)</f>
        <v>Resistance Bands</v>
      </c>
      <c r="W447" s="8" t="str">
        <f>VLOOKUP(RawSalesTable[[#This Row],[Product_ID]],ProductsTable[],3,FALSE)</f>
        <v>Fitness</v>
      </c>
      <c r="X447" s="8">
        <f>VLOOKUP(RawSalesTable[[#This Row],[Product_ID]],ProductsTable[],5,FALSE)</f>
        <v>139.19999999999999</v>
      </c>
      <c r="Y447" s="8">
        <f>RawSalesTable[[#This Row],[Quantity]]*RawSalesTable[[#This Row],[Unit_Price]]</f>
        <v>217.33</v>
      </c>
      <c r="Z447" s="8">
        <f>RawSalesTable[[#This Row],[Gross_Sales]]*RawSalesTable[[#This Row],[Discount_Pct]]</f>
        <v>32.599499999999999</v>
      </c>
      <c r="AA447" s="8">
        <f>RawSalesTable[[#This Row],[Gross_Sales]]-RawSalesTable[[#This Row],[Discount_Amount]]</f>
        <v>184.73050000000001</v>
      </c>
      <c r="AB447" s="8">
        <f>RawSalesTable[[#This Row],[Unit_Cost]]*RawSalesTable[[#This Row],[Quantity]]</f>
        <v>139.19999999999999</v>
      </c>
      <c r="AC447" s="8">
        <f>RawSalesTable[[#This Row],[Net_Sales]]-RawSalesTable[[#This Row],[Total_Cost]]</f>
        <v>45.530500000000018</v>
      </c>
      <c r="AD447" s="9">
        <f>RawSalesTable[[#This Row],[Profit]]/RawSalesTable[[#This Row],[Net_Sales]]</f>
        <v>0.24646985744097491</v>
      </c>
      <c r="AE447" s="8">
        <f>IF(RawSalesTable[[#This Row],[Return_Status]]="Yes",1,0)</f>
        <v>0</v>
      </c>
      <c r="AF447" s="8">
        <f>YEAR(RawSalesTable[[#This Row],[Order_Date]])</f>
        <v>2025</v>
      </c>
      <c r="AG447" s="8">
        <f>MONTH(RawSalesTable[[#This Row],[Order_Date]])</f>
        <v>4</v>
      </c>
      <c r="AH447" s="8" t="str">
        <f>TEXT(RawSalesTable[[#This Row],[Order_Date]],"mmmm")</f>
        <v>avril</v>
      </c>
      <c r="AI447" s="8" t="str">
        <f>IF(RawSalesTable[[#This Row],[Month_Number]]&lt;=3,"Q1",IF(RawSalesTable[[#This Row],[Month_Number]]&lt;=6,"Q2",IF(RawSalesTable[[#This Row],[Month_Number]]&lt;=9,"Q3","Q4")))</f>
        <v>Q2</v>
      </c>
      <c r="AJ447" s="13">
        <f>DATE(YEAR(RawSalesTable[[#This Row],[Order_Date]]),MONTH(RawSalesTable[[#This Row],[Order_Date]]),1)</f>
        <v>45748</v>
      </c>
      <c r="AK447" s="8" t="str">
        <f>VLOOKUP(RawSalesTable[[#This Row],[Customer_ID_clean]],CustomersTable[],4,FALSE)</f>
        <v>Quebec</v>
      </c>
    </row>
    <row r="448" spans="1:37">
      <c r="A448" t="s">
        <v>869</v>
      </c>
      <c r="B448" s="3">
        <v>45850</v>
      </c>
      <c r="C448" t="s">
        <v>93</v>
      </c>
      <c r="D448" t="s">
        <v>143</v>
      </c>
      <c r="E448" t="s">
        <v>95</v>
      </c>
      <c r="F448" t="s">
        <v>87</v>
      </c>
      <c r="G448" t="s">
        <v>117</v>
      </c>
      <c r="H448" t="s">
        <v>97</v>
      </c>
      <c r="I448">
        <v>1</v>
      </c>
      <c r="J448" s="2">
        <v>269.99</v>
      </c>
      <c r="K448" s="4">
        <v>0.15</v>
      </c>
      <c r="L448" t="s">
        <v>90</v>
      </c>
      <c r="M448">
        <v>0</v>
      </c>
      <c r="N448" t="s">
        <v>91</v>
      </c>
      <c r="O448" t="str">
        <f>SUBSTITUTE(PROPER(TRIM(RawSalesTable[[#This Row],[Channel_Raw]])), "Market Place", "Marketplace")</f>
        <v>Retail Store</v>
      </c>
      <c r="P448" t="str">
        <f>TRIM(RawSalesTable[[#This Row],[Store_Raw]])</f>
        <v>Online Fulfillment</v>
      </c>
      <c r="Q448" t="str">
        <f>IF(TRIM(RawSalesTable[[#This Row],[Payment_Method_Raw]])="","Non renseigné",SUBSTITUTE(TRIM(RawSalesTable[[#This Row],[Payment_Method_Raw]]),"CC","Credit Card"))</f>
        <v>PayPal</v>
      </c>
      <c r="R448" s="8" t="str">
        <f>UPPER(PROPER(RawSalesTable[[#This Row],[Customer_ID]]))</f>
        <v>C0084</v>
      </c>
      <c r="S448" s="8" t="str">
        <f>TRIM(LEFT(RawSalesTable[[#This Row],[Customer_Info]],FIND(",",RawSalesTable[[#This Row],[Customer_Info]]) -1))</f>
        <v>Ryan Clark</v>
      </c>
      <c r="T448" s="8" t="str">
        <f>TRIM(MID(RawSalesTable[[#This Row],[Customer_Info]],FIND(",",RawSalesTable[[#This Row],[Customer_Info]])+1,FIND(",",RawSalesTable[[#This Row],[Customer_Info]],FIND(",",RawSalesTable[[#This Row],[Customer_Info]])+1)-FIND(",",RawSalesTable[[#This Row],[Customer_Info]])-1))</f>
        <v>Montreal</v>
      </c>
      <c r="U448" s="8" t="str">
        <f>TRIM(RIGHT(RawSalesTable[[#This Row],[Customer_Info]], LEN(RawSalesTable[[#This Row],[Customer_Info]])-FIND(",",RawSalesTable[[#This Row],[Customer_Info]],FIND(",",RawSalesTable[[#This Row],[Customer_Info]])+1)))</f>
        <v>Corporate</v>
      </c>
      <c r="V448" s="8" t="str">
        <f>VLOOKUP(RawSalesTable[[#This Row],[Product_ID]],ProductsTable[],2,FALSE)</f>
        <v>Water Bottle</v>
      </c>
      <c r="W448" s="8" t="str">
        <f>VLOOKUP(RawSalesTable[[#This Row],[Product_ID]],ProductsTable[],3,FALSE)</f>
        <v>Accessories</v>
      </c>
      <c r="X448" s="8">
        <f>VLOOKUP(RawSalesTable[[#This Row],[Product_ID]],ProductsTable[],5,FALSE)</f>
        <v>119.16</v>
      </c>
      <c r="Y448" s="8">
        <f>RawSalesTable[[#This Row],[Quantity]]*RawSalesTable[[#This Row],[Unit_Price]]</f>
        <v>269.99</v>
      </c>
      <c r="Z448" s="8">
        <f>RawSalesTable[[#This Row],[Gross_Sales]]*RawSalesTable[[#This Row],[Discount_Pct]]</f>
        <v>40.4985</v>
      </c>
      <c r="AA448" s="8">
        <f>RawSalesTable[[#This Row],[Gross_Sales]]-RawSalesTable[[#This Row],[Discount_Amount]]</f>
        <v>229.4915</v>
      </c>
      <c r="AB448" s="8">
        <f>RawSalesTable[[#This Row],[Unit_Cost]]*RawSalesTable[[#This Row],[Quantity]]</f>
        <v>119.16</v>
      </c>
      <c r="AC448" s="8">
        <f>RawSalesTable[[#This Row],[Net_Sales]]-RawSalesTable[[#This Row],[Total_Cost]]</f>
        <v>110.33150000000001</v>
      </c>
      <c r="AD448" s="9">
        <f>RawSalesTable[[#This Row],[Profit]]/RawSalesTable[[#This Row],[Net_Sales]]</f>
        <v>0.48076508280263103</v>
      </c>
      <c r="AE448" s="8">
        <f>IF(RawSalesTable[[#This Row],[Return_Status]]="Yes",1,0)</f>
        <v>0</v>
      </c>
      <c r="AF448" s="8">
        <f>YEAR(RawSalesTable[[#This Row],[Order_Date]])</f>
        <v>2025</v>
      </c>
      <c r="AG448" s="8">
        <f>MONTH(RawSalesTable[[#This Row],[Order_Date]])</f>
        <v>7</v>
      </c>
      <c r="AH448" s="8" t="str">
        <f>TEXT(RawSalesTable[[#This Row],[Order_Date]],"mmmm")</f>
        <v>juillet</v>
      </c>
      <c r="AI448" s="8" t="str">
        <f>IF(RawSalesTable[[#This Row],[Month_Number]]&lt;=3,"Q1",IF(RawSalesTable[[#This Row],[Month_Number]]&lt;=6,"Q2",IF(RawSalesTable[[#This Row],[Month_Number]]&lt;=9,"Q3","Q4")))</f>
        <v>Q3</v>
      </c>
      <c r="AJ448" s="13">
        <f>DATE(YEAR(RawSalesTable[[#This Row],[Order_Date]]),MONTH(RawSalesTable[[#This Row],[Order_Date]]),1)</f>
        <v>45839</v>
      </c>
      <c r="AK448" s="8" t="str">
        <f>VLOOKUP(RawSalesTable[[#This Row],[Customer_ID_clean]],CustomersTable[],4,FALSE)</f>
        <v>Quebec</v>
      </c>
    </row>
    <row r="449" spans="1:37">
      <c r="A449" t="s">
        <v>870</v>
      </c>
      <c r="B449" s="3">
        <v>45956</v>
      </c>
      <c r="C449" t="s">
        <v>239</v>
      </c>
      <c r="D449" t="s">
        <v>271</v>
      </c>
      <c r="E449" t="s">
        <v>240</v>
      </c>
      <c r="F449" t="s">
        <v>87</v>
      </c>
      <c r="G449" t="s">
        <v>183</v>
      </c>
      <c r="H449" t="s">
        <v>89</v>
      </c>
      <c r="I449">
        <v>3</v>
      </c>
      <c r="J449" s="2">
        <v>236.23</v>
      </c>
      <c r="K449" s="4">
        <v>0</v>
      </c>
      <c r="L449" t="s">
        <v>106</v>
      </c>
      <c r="M449">
        <v>3</v>
      </c>
      <c r="N449" t="s">
        <v>91</v>
      </c>
      <c r="O449" t="str">
        <f>SUBSTITUTE(PROPER(TRIM(RawSalesTable[[#This Row],[Channel_Raw]])), "Market Place", "Marketplace")</f>
        <v>Online</v>
      </c>
      <c r="P449" t="str">
        <f>TRIM(RawSalesTable[[#This Row],[Store_Raw]])</f>
        <v>Online Fulfillment</v>
      </c>
      <c r="Q449" t="str">
        <f>IF(TRIM(RawSalesTable[[#This Row],[Payment_Method_Raw]])="","Non renseigné",SUBSTITUTE(TRIM(RawSalesTable[[#This Row],[Payment_Method_Raw]]),"CC","Credit Card"))</f>
        <v>Credit Card</v>
      </c>
      <c r="R449" s="8" t="str">
        <f>UPPER(PROPER(RawSalesTable[[#This Row],[Customer_ID]]))</f>
        <v>C0089</v>
      </c>
      <c r="S449" s="8" t="str">
        <f>TRIM(LEFT(RawSalesTable[[#This Row],[Customer_Info]],FIND(",",RawSalesTable[[#This Row],[Customer_Info]]) -1))</f>
        <v>Lucas Martin</v>
      </c>
      <c r="T449" s="8" t="str">
        <f>TRIM(MID(RawSalesTable[[#This Row],[Customer_Info]],FIND(",",RawSalesTable[[#This Row],[Customer_Info]])+1,FIND(",",RawSalesTable[[#This Row],[Customer_Info]],FIND(",",RawSalesTable[[#This Row],[Customer_Info]])+1)-FIND(",",RawSalesTable[[#This Row],[Customer_Info]])-1))</f>
        <v>Vancouver</v>
      </c>
      <c r="U449" s="8" t="str">
        <f>TRIM(RIGHT(RawSalesTable[[#This Row],[Customer_Info]], LEN(RawSalesTable[[#This Row],[Customer_Info]])-FIND(",",RawSalesTable[[#This Row],[Customer_Info]],FIND(",",RawSalesTable[[#This Row],[Customer_Info]])+1)))</f>
        <v>Consumer</v>
      </c>
      <c r="V449" s="8" t="str">
        <f>VLOOKUP(RawSalesTable[[#This Row],[Product_ID]],ProductsTable[],2,FALSE)</f>
        <v>Resistance Bands</v>
      </c>
      <c r="W449" s="8" t="str">
        <f>VLOOKUP(RawSalesTable[[#This Row],[Product_ID]],ProductsTable[],3,FALSE)</f>
        <v>Fitness</v>
      </c>
      <c r="X449" s="8">
        <f>VLOOKUP(RawSalesTable[[#This Row],[Product_ID]],ProductsTable[],5,FALSE)</f>
        <v>139.19999999999999</v>
      </c>
      <c r="Y449" s="8">
        <f>RawSalesTable[[#This Row],[Quantity]]*RawSalesTable[[#This Row],[Unit_Price]]</f>
        <v>708.68999999999994</v>
      </c>
      <c r="Z449" s="8">
        <f>RawSalesTable[[#This Row],[Gross_Sales]]*RawSalesTable[[#This Row],[Discount_Pct]]</f>
        <v>0</v>
      </c>
      <c r="AA449" s="8">
        <f>RawSalesTable[[#This Row],[Gross_Sales]]-RawSalesTable[[#This Row],[Discount_Amount]]</f>
        <v>708.68999999999994</v>
      </c>
      <c r="AB449" s="8">
        <f>RawSalesTable[[#This Row],[Unit_Cost]]*RawSalesTable[[#This Row],[Quantity]]</f>
        <v>417.59999999999997</v>
      </c>
      <c r="AC449" s="8">
        <f>RawSalesTable[[#This Row],[Net_Sales]]-RawSalesTable[[#This Row],[Total_Cost]]</f>
        <v>291.08999999999997</v>
      </c>
      <c r="AD449" s="9">
        <f>RawSalesTable[[#This Row],[Profit]]/RawSalesTable[[#This Row],[Net_Sales]]</f>
        <v>0.41074376666807771</v>
      </c>
      <c r="AE449" s="8">
        <f>IF(RawSalesTable[[#This Row],[Return_Status]]="Yes",1,0)</f>
        <v>0</v>
      </c>
      <c r="AF449" s="8">
        <f>YEAR(RawSalesTable[[#This Row],[Order_Date]])</f>
        <v>2025</v>
      </c>
      <c r="AG449" s="8">
        <f>MONTH(RawSalesTable[[#This Row],[Order_Date]])</f>
        <v>10</v>
      </c>
      <c r="AH449" s="8" t="str">
        <f>TEXT(RawSalesTable[[#This Row],[Order_Date]],"mmmm")</f>
        <v>octobre</v>
      </c>
      <c r="AI449" s="8" t="str">
        <f>IF(RawSalesTable[[#This Row],[Month_Number]]&lt;=3,"Q1",IF(RawSalesTable[[#This Row],[Month_Number]]&lt;=6,"Q2",IF(RawSalesTable[[#This Row],[Month_Number]]&lt;=9,"Q3","Q4")))</f>
        <v>Q4</v>
      </c>
      <c r="AJ449" s="13">
        <f>DATE(YEAR(RawSalesTable[[#This Row],[Order_Date]]),MONTH(RawSalesTable[[#This Row],[Order_Date]]),1)</f>
        <v>45931</v>
      </c>
      <c r="AK449" s="8" t="str">
        <f>VLOOKUP(RawSalesTable[[#This Row],[Customer_ID_clean]],CustomersTable[],4,FALSE)</f>
        <v>British Columbia</v>
      </c>
    </row>
    <row r="450" spans="1:37">
      <c r="A450" t="s">
        <v>871</v>
      </c>
      <c r="B450" s="3">
        <v>45768</v>
      </c>
      <c r="C450" t="s">
        <v>466</v>
      </c>
      <c r="D450" t="s">
        <v>109</v>
      </c>
      <c r="E450" t="s">
        <v>467</v>
      </c>
      <c r="F450" t="s">
        <v>145</v>
      </c>
      <c r="G450" t="s">
        <v>171</v>
      </c>
      <c r="H450" t="s">
        <v>308</v>
      </c>
      <c r="I450">
        <v>2</v>
      </c>
      <c r="J450" s="2">
        <v>191.17</v>
      </c>
      <c r="K450" s="4">
        <v>0</v>
      </c>
      <c r="L450" t="s">
        <v>106</v>
      </c>
      <c r="M450">
        <v>9</v>
      </c>
      <c r="N450" t="s">
        <v>91</v>
      </c>
      <c r="O450" t="str">
        <f>SUBSTITUTE(PROPER(TRIM(RawSalesTable[[#This Row],[Channel_Raw]])), "Market Place", "Marketplace")</f>
        <v>Online</v>
      </c>
      <c r="P450" t="str">
        <f>TRIM(RawSalesTable[[#This Row],[Store_Raw]])</f>
        <v>Calgary North</v>
      </c>
      <c r="Q450" t="str">
        <f>IF(TRIM(RawSalesTable[[#This Row],[Payment_Method_Raw]])="","Non renseigné",SUBSTITUTE(TRIM(RawSalesTable[[#This Row],[Payment_Method_Raw]]),"CC","Credit Card"))</f>
        <v>Credit Card</v>
      </c>
      <c r="R450" s="8" t="str">
        <f>UPPER(PROPER(RawSalesTable[[#This Row],[Customer_ID]]))</f>
        <v>C0096</v>
      </c>
      <c r="S450" s="8" t="str">
        <f>TRIM(LEFT(RawSalesTable[[#This Row],[Customer_Info]],FIND(",",RawSalesTable[[#This Row],[Customer_Info]]) -1))</f>
        <v>Ryan Roy</v>
      </c>
      <c r="T450" s="8" t="str">
        <f>TRIM(MID(RawSalesTable[[#This Row],[Customer_Info]],FIND(",",RawSalesTable[[#This Row],[Customer_Info]])+1,FIND(",",RawSalesTable[[#This Row],[Customer_Info]],FIND(",",RawSalesTable[[#This Row],[Customer_Info]])+1)-FIND(",",RawSalesTable[[#This Row],[Customer_Info]])-1))</f>
        <v>Laval</v>
      </c>
      <c r="U450" s="8" t="str">
        <f>TRIM(RIGHT(RawSalesTable[[#This Row],[Customer_Info]], LEN(RawSalesTable[[#This Row],[Customer_Info]])-FIND(",",RawSalesTable[[#This Row],[Customer_Info]],FIND(",",RawSalesTable[[#This Row],[Customer_Info]])+1)))</f>
        <v>Corporate</v>
      </c>
      <c r="V450" s="8" t="str">
        <f>VLOOKUP(RawSalesTable[[#This Row],[Product_ID]],ProductsTable[],2,FALSE)</f>
        <v>Gym Bag</v>
      </c>
      <c r="W450" s="8" t="str">
        <f>VLOOKUP(RawSalesTable[[#This Row],[Product_ID]],ProductsTable[],3,FALSE)</f>
        <v>Fitness</v>
      </c>
      <c r="X450" s="8">
        <f>VLOOKUP(RawSalesTable[[#This Row],[Product_ID]],ProductsTable[],5,FALSE)</f>
        <v>132.72</v>
      </c>
      <c r="Y450" s="8">
        <f>RawSalesTable[[#This Row],[Quantity]]*RawSalesTable[[#This Row],[Unit_Price]]</f>
        <v>382.34</v>
      </c>
      <c r="Z450" s="8">
        <f>RawSalesTable[[#This Row],[Gross_Sales]]*RawSalesTable[[#This Row],[Discount_Pct]]</f>
        <v>0</v>
      </c>
      <c r="AA450" s="8">
        <f>RawSalesTable[[#This Row],[Gross_Sales]]-RawSalesTable[[#This Row],[Discount_Amount]]</f>
        <v>382.34</v>
      </c>
      <c r="AB450" s="8">
        <f>RawSalesTable[[#This Row],[Unit_Cost]]*RawSalesTable[[#This Row],[Quantity]]</f>
        <v>265.44</v>
      </c>
      <c r="AC450" s="8">
        <f>RawSalesTable[[#This Row],[Net_Sales]]-RawSalesTable[[#This Row],[Total_Cost]]</f>
        <v>116.89999999999998</v>
      </c>
      <c r="AD450" s="9">
        <f>RawSalesTable[[#This Row],[Profit]]/RawSalesTable[[#This Row],[Net_Sales]]</f>
        <v>0.3057488099597217</v>
      </c>
      <c r="AE450" s="8">
        <f>IF(RawSalesTable[[#This Row],[Return_Status]]="Yes",1,0)</f>
        <v>0</v>
      </c>
      <c r="AF450" s="8">
        <f>YEAR(RawSalesTable[[#This Row],[Order_Date]])</f>
        <v>2025</v>
      </c>
      <c r="AG450" s="8">
        <f>MONTH(RawSalesTable[[#This Row],[Order_Date]])</f>
        <v>4</v>
      </c>
      <c r="AH450" s="8" t="str">
        <f>TEXT(RawSalesTable[[#This Row],[Order_Date]],"mmmm")</f>
        <v>avril</v>
      </c>
      <c r="AI450" s="8" t="str">
        <f>IF(RawSalesTable[[#This Row],[Month_Number]]&lt;=3,"Q1",IF(RawSalesTable[[#This Row],[Month_Number]]&lt;=6,"Q2",IF(RawSalesTable[[#This Row],[Month_Number]]&lt;=9,"Q3","Q4")))</f>
        <v>Q2</v>
      </c>
      <c r="AJ450" s="13">
        <f>DATE(YEAR(RawSalesTable[[#This Row],[Order_Date]]),MONTH(RawSalesTable[[#This Row],[Order_Date]]),1)</f>
        <v>45748</v>
      </c>
      <c r="AK450" s="8" t="str">
        <f>VLOOKUP(RawSalesTable[[#This Row],[Customer_ID_clean]],CustomersTable[],4,FALSE)</f>
        <v>Quebec</v>
      </c>
    </row>
    <row r="451" spans="1:37">
      <c r="A451" t="s">
        <v>872</v>
      </c>
      <c r="B451" s="3">
        <v>45813</v>
      </c>
      <c r="C451" t="s">
        <v>363</v>
      </c>
      <c r="D451" t="s">
        <v>346</v>
      </c>
      <c r="E451" t="s">
        <v>364</v>
      </c>
      <c r="F451" t="s">
        <v>87</v>
      </c>
      <c r="G451" t="s">
        <v>183</v>
      </c>
      <c r="H451" t="s">
        <v>89</v>
      </c>
      <c r="I451">
        <v>1</v>
      </c>
      <c r="J451" s="2">
        <v>259.19</v>
      </c>
      <c r="K451" s="4">
        <v>0.1</v>
      </c>
      <c r="L451" t="s">
        <v>106</v>
      </c>
      <c r="M451">
        <v>3</v>
      </c>
      <c r="N451" t="s">
        <v>91</v>
      </c>
      <c r="O451" t="str">
        <f>SUBSTITUTE(PROPER(TRIM(RawSalesTable[[#This Row],[Channel_Raw]])), "Market Place", "Marketplace")</f>
        <v>Online</v>
      </c>
      <c r="P451" t="str">
        <f>TRIM(RawSalesTable[[#This Row],[Store_Raw]])</f>
        <v>Online Fulfillment</v>
      </c>
      <c r="Q451" t="str">
        <f>IF(TRIM(RawSalesTable[[#This Row],[Payment_Method_Raw]])="","Non renseigné",SUBSTITUTE(TRIM(RawSalesTable[[#This Row],[Payment_Method_Raw]]),"CC","Credit Card"))</f>
        <v>Credit Card</v>
      </c>
      <c r="R451" s="8" t="str">
        <f>UPPER(PROPER(RawSalesTable[[#This Row],[Customer_ID]]))</f>
        <v>C0025</v>
      </c>
      <c r="S451" s="8" t="str">
        <f>TRIM(LEFT(RawSalesTable[[#This Row],[Customer_Info]],FIND(",",RawSalesTable[[#This Row],[Customer_Info]]) -1))</f>
        <v>Emma Gagnon</v>
      </c>
      <c r="T451" s="8" t="str">
        <f>TRIM(MID(RawSalesTable[[#This Row],[Customer_Info]],FIND(",",RawSalesTable[[#This Row],[Customer_Info]])+1,FIND(",",RawSalesTable[[#This Row],[Customer_Info]],FIND(",",RawSalesTable[[#This Row],[Customer_Info]])+1)-FIND(",",RawSalesTable[[#This Row],[Customer_Info]])-1))</f>
        <v>Surrey</v>
      </c>
      <c r="U451" s="8" t="str">
        <f>TRIM(RIGHT(RawSalesTable[[#This Row],[Customer_Info]], LEN(RawSalesTable[[#This Row],[Customer_Info]])-FIND(",",RawSalesTable[[#This Row],[Customer_Info]],FIND(",",RawSalesTable[[#This Row],[Customer_Info]])+1)))</f>
        <v>Corporate</v>
      </c>
      <c r="V451" s="8" t="str">
        <f>VLOOKUP(RawSalesTable[[#This Row],[Product_ID]],ProductsTable[],2,FALSE)</f>
        <v>Pull-up Bar</v>
      </c>
      <c r="W451" s="8" t="str">
        <f>VLOOKUP(RawSalesTable[[#This Row],[Product_ID]],ProductsTable[],3,FALSE)</f>
        <v>Fitness</v>
      </c>
      <c r="X451" s="8">
        <f>VLOOKUP(RawSalesTable[[#This Row],[Product_ID]],ProductsTable[],5,FALSE)</f>
        <v>125.4</v>
      </c>
      <c r="Y451" s="8">
        <f>RawSalesTable[[#This Row],[Quantity]]*RawSalesTable[[#This Row],[Unit_Price]]</f>
        <v>259.19</v>
      </c>
      <c r="Z451" s="8">
        <f>RawSalesTable[[#This Row],[Gross_Sales]]*RawSalesTable[[#This Row],[Discount_Pct]]</f>
        <v>25.919</v>
      </c>
      <c r="AA451" s="8">
        <f>RawSalesTable[[#This Row],[Gross_Sales]]-RawSalesTable[[#This Row],[Discount_Amount]]</f>
        <v>233.27099999999999</v>
      </c>
      <c r="AB451" s="8">
        <f>RawSalesTable[[#This Row],[Unit_Cost]]*RawSalesTable[[#This Row],[Quantity]]</f>
        <v>125.4</v>
      </c>
      <c r="AC451" s="8">
        <f>RawSalesTable[[#This Row],[Net_Sales]]-RawSalesTable[[#This Row],[Total_Cost]]</f>
        <v>107.87099999999998</v>
      </c>
      <c r="AD451" s="9">
        <f>RawSalesTable[[#This Row],[Profit]]/RawSalesTable[[#This Row],[Net_Sales]]</f>
        <v>0.4624278200033437</v>
      </c>
      <c r="AE451" s="8">
        <f>IF(RawSalesTable[[#This Row],[Return_Status]]="Yes",1,0)</f>
        <v>0</v>
      </c>
      <c r="AF451" s="8">
        <f>YEAR(RawSalesTable[[#This Row],[Order_Date]])</f>
        <v>2025</v>
      </c>
      <c r="AG451" s="8">
        <f>MONTH(RawSalesTable[[#This Row],[Order_Date]])</f>
        <v>6</v>
      </c>
      <c r="AH451" s="8" t="str">
        <f>TEXT(RawSalesTable[[#This Row],[Order_Date]],"mmmm")</f>
        <v>juin</v>
      </c>
      <c r="AI451" s="8" t="str">
        <f>IF(RawSalesTable[[#This Row],[Month_Number]]&lt;=3,"Q1",IF(RawSalesTable[[#This Row],[Month_Number]]&lt;=6,"Q2",IF(RawSalesTable[[#This Row],[Month_Number]]&lt;=9,"Q3","Q4")))</f>
        <v>Q2</v>
      </c>
      <c r="AJ451" s="13">
        <f>DATE(YEAR(RawSalesTable[[#This Row],[Order_Date]]),MONTH(RawSalesTable[[#This Row],[Order_Date]]),1)</f>
        <v>45809</v>
      </c>
      <c r="AK451" s="8" t="str">
        <f>VLOOKUP(RawSalesTable[[#This Row],[Customer_ID_clean]],CustomersTable[],4,FALSE)</f>
        <v>British Columbia</v>
      </c>
    </row>
    <row r="452" spans="1:37">
      <c r="A452" t="s">
        <v>873</v>
      </c>
      <c r="B452" s="3">
        <v>45810</v>
      </c>
      <c r="C452" t="s">
        <v>494</v>
      </c>
      <c r="D452" t="s">
        <v>418</v>
      </c>
      <c r="E452" t="s">
        <v>495</v>
      </c>
      <c r="F452" t="s">
        <v>145</v>
      </c>
      <c r="G452" t="s">
        <v>183</v>
      </c>
      <c r="H452" t="s">
        <v>89</v>
      </c>
      <c r="I452">
        <v>1</v>
      </c>
      <c r="J452" s="2">
        <v>365.39</v>
      </c>
      <c r="K452" s="4">
        <v>0.15</v>
      </c>
      <c r="L452" t="s">
        <v>90</v>
      </c>
      <c r="M452">
        <v>8</v>
      </c>
      <c r="N452" t="s">
        <v>91</v>
      </c>
      <c r="O452" t="str">
        <f>SUBSTITUTE(PROPER(TRIM(RawSalesTable[[#This Row],[Channel_Raw]])), "Market Place", "Marketplace")</f>
        <v>Online</v>
      </c>
      <c r="P452" t="str">
        <f>TRIM(RawSalesTable[[#This Row],[Store_Raw]])</f>
        <v>Calgary North</v>
      </c>
      <c r="Q452" t="str">
        <f>IF(TRIM(RawSalesTable[[#This Row],[Payment_Method_Raw]])="","Non renseigné",SUBSTITUTE(TRIM(RawSalesTable[[#This Row],[Payment_Method_Raw]]),"CC","Credit Card"))</f>
        <v>PayPal</v>
      </c>
      <c r="R452" s="8" t="str">
        <f>UPPER(PROPER(RawSalesTable[[#This Row],[Customer_ID]]))</f>
        <v>C0017</v>
      </c>
      <c r="S452" s="8" t="str">
        <f>TRIM(LEFT(RawSalesTable[[#This Row],[Customer_Info]],FIND(",",RawSalesTable[[#This Row],[Customer_Info]]) -1))</f>
        <v>Yasmine Khan</v>
      </c>
      <c r="T452" s="8" t="str">
        <f>TRIM(MID(RawSalesTable[[#This Row],[Customer_Info]],FIND(",",RawSalesTable[[#This Row],[Customer_Info]])+1,FIND(",",RawSalesTable[[#This Row],[Customer_Info]],FIND(",",RawSalesTable[[#This Row],[Customer_Info]])+1)-FIND(",",RawSalesTable[[#This Row],[Customer_Info]])-1))</f>
        <v>Mississauga</v>
      </c>
      <c r="U452" s="8" t="str">
        <f>TRIM(RIGHT(RawSalesTable[[#This Row],[Customer_Info]], LEN(RawSalesTable[[#This Row],[Customer_Info]])-FIND(",",RawSalesTable[[#This Row],[Customer_Info]],FIND(",",RawSalesTable[[#This Row],[Customer_Info]])+1)))</f>
        <v>Corporate</v>
      </c>
      <c r="V452" s="8" t="str">
        <f>VLOOKUP(RawSalesTable[[#This Row],[Product_ID]],ProductsTable[],2,FALSE)</f>
        <v>Foam Roller</v>
      </c>
      <c r="W452" s="8" t="str">
        <f>VLOOKUP(RawSalesTable[[#This Row],[Product_ID]],ProductsTable[],3,FALSE)</f>
        <v>Fitness</v>
      </c>
      <c r="X452" s="8">
        <f>VLOOKUP(RawSalesTable[[#This Row],[Product_ID]],ProductsTable[],5,FALSE)</f>
        <v>212.02</v>
      </c>
      <c r="Y452" s="8">
        <f>RawSalesTable[[#This Row],[Quantity]]*RawSalesTable[[#This Row],[Unit_Price]]</f>
        <v>365.39</v>
      </c>
      <c r="Z452" s="8">
        <f>RawSalesTable[[#This Row],[Gross_Sales]]*RawSalesTable[[#This Row],[Discount_Pct]]</f>
        <v>54.808499999999995</v>
      </c>
      <c r="AA452" s="8">
        <f>RawSalesTable[[#This Row],[Gross_Sales]]-RawSalesTable[[#This Row],[Discount_Amount]]</f>
        <v>310.58150000000001</v>
      </c>
      <c r="AB452" s="8">
        <f>RawSalesTable[[#This Row],[Unit_Cost]]*RawSalesTable[[#This Row],[Quantity]]</f>
        <v>212.02</v>
      </c>
      <c r="AC452" s="8">
        <f>RawSalesTable[[#This Row],[Net_Sales]]-RawSalesTable[[#This Row],[Total_Cost]]</f>
        <v>98.561499999999995</v>
      </c>
      <c r="AD452" s="9">
        <f>RawSalesTable[[#This Row],[Profit]]/RawSalesTable[[#This Row],[Net_Sales]]</f>
        <v>0.31734504469841246</v>
      </c>
      <c r="AE452" s="8">
        <f>IF(RawSalesTable[[#This Row],[Return_Status]]="Yes",1,0)</f>
        <v>0</v>
      </c>
      <c r="AF452" s="8">
        <f>YEAR(RawSalesTable[[#This Row],[Order_Date]])</f>
        <v>2025</v>
      </c>
      <c r="AG452" s="8">
        <f>MONTH(RawSalesTable[[#This Row],[Order_Date]])</f>
        <v>6</v>
      </c>
      <c r="AH452" s="8" t="str">
        <f>TEXT(RawSalesTable[[#This Row],[Order_Date]],"mmmm")</f>
        <v>juin</v>
      </c>
      <c r="AI452" s="8" t="str">
        <f>IF(RawSalesTable[[#This Row],[Month_Number]]&lt;=3,"Q1",IF(RawSalesTable[[#This Row],[Month_Number]]&lt;=6,"Q2",IF(RawSalesTable[[#This Row],[Month_Number]]&lt;=9,"Q3","Q4")))</f>
        <v>Q2</v>
      </c>
      <c r="AJ452" s="13">
        <f>DATE(YEAR(RawSalesTable[[#This Row],[Order_Date]]),MONTH(RawSalesTable[[#This Row],[Order_Date]]),1)</f>
        <v>45809</v>
      </c>
      <c r="AK452" s="8" t="str">
        <f>VLOOKUP(RawSalesTable[[#This Row],[Customer_ID_clean]],CustomersTable[],4,FALSE)</f>
        <v>Ontario</v>
      </c>
    </row>
    <row r="453" spans="1:37">
      <c r="A453" t="s">
        <v>874</v>
      </c>
      <c r="B453" s="3">
        <v>45939</v>
      </c>
      <c r="C453" t="s">
        <v>466</v>
      </c>
      <c r="D453" t="s">
        <v>244</v>
      </c>
      <c r="E453" t="s">
        <v>467</v>
      </c>
      <c r="F453" t="s">
        <v>116</v>
      </c>
      <c r="G453" t="s">
        <v>96</v>
      </c>
      <c r="H453" t="s">
        <v>97</v>
      </c>
      <c r="I453">
        <v>1</v>
      </c>
      <c r="J453" s="2">
        <v>245.43</v>
      </c>
      <c r="K453" s="4">
        <v>0.2</v>
      </c>
      <c r="L453" t="s">
        <v>90</v>
      </c>
      <c r="M453">
        <v>2</v>
      </c>
      <c r="N453" t="s">
        <v>147</v>
      </c>
      <c r="O453" t="str">
        <f>SUBSTITUTE(PROPER(TRIM(RawSalesTable[[#This Row],[Channel_Raw]])), "Market Place", "Marketplace")</f>
        <v>Retail Store</v>
      </c>
      <c r="P453" t="str">
        <f>TRIM(RawSalesTable[[#This Row],[Store_Raw]])</f>
        <v>Toronto Downtown</v>
      </c>
      <c r="Q453" t="str">
        <f>IF(TRIM(RawSalesTable[[#This Row],[Payment_Method_Raw]])="","Non renseigné",SUBSTITUTE(TRIM(RawSalesTable[[#This Row],[Payment_Method_Raw]]),"CC","Credit Card"))</f>
        <v>PayPal</v>
      </c>
      <c r="R453" s="8" t="str">
        <f>UPPER(PROPER(RawSalesTable[[#This Row],[Customer_ID]]))</f>
        <v>C0096</v>
      </c>
      <c r="S453" s="8" t="str">
        <f>TRIM(LEFT(RawSalesTable[[#This Row],[Customer_Info]],FIND(",",RawSalesTable[[#This Row],[Customer_Info]]) -1))</f>
        <v>Ryan Roy</v>
      </c>
      <c r="T453" s="8" t="str">
        <f>TRIM(MID(RawSalesTable[[#This Row],[Customer_Info]],FIND(",",RawSalesTable[[#This Row],[Customer_Info]])+1,FIND(",",RawSalesTable[[#This Row],[Customer_Info]],FIND(",",RawSalesTable[[#This Row],[Customer_Info]])+1)-FIND(",",RawSalesTable[[#This Row],[Customer_Info]])-1))</f>
        <v>Laval</v>
      </c>
      <c r="U453" s="8" t="str">
        <f>TRIM(RIGHT(RawSalesTable[[#This Row],[Customer_Info]], LEN(RawSalesTable[[#This Row],[Customer_Info]])-FIND(",",RawSalesTable[[#This Row],[Customer_Info]],FIND(",",RawSalesTable[[#This Row],[Customer_Info]])+1)))</f>
        <v>Corporate</v>
      </c>
      <c r="V453" s="8" t="str">
        <f>VLOOKUP(RawSalesTable[[#This Row],[Product_ID]],ProductsTable[],2,FALSE)</f>
        <v>Portable SSD</v>
      </c>
      <c r="W453" s="8" t="str">
        <f>VLOOKUP(RawSalesTable[[#This Row],[Product_ID]],ProductsTable[],3,FALSE)</f>
        <v>Electronics</v>
      </c>
      <c r="X453" s="8">
        <f>VLOOKUP(RawSalesTable[[#This Row],[Product_ID]],ProductsTable[],5,FALSE)</f>
        <v>131.19</v>
      </c>
      <c r="Y453" s="8">
        <f>RawSalesTable[[#This Row],[Quantity]]*RawSalesTable[[#This Row],[Unit_Price]]</f>
        <v>245.43</v>
      </c>
      <c r="Z453" s="8">
        <f>RawSalesTable[[#This Row],[Gross_Sales]]*RawSalesTable[[#This Row],[Discount_Pct]]</f>
        <v>49.086000000000006</v>
      </c>
      <c r="AA453" s="8">
        <f>RawSalesTable[[#This Row],[Gross_Sales]]-RawSalesTable[[#This Row],[Discount_Amount]]</f>
        <v>196.34399999999999</v>
      </c>
      <c r="AB453" s="8">
        <f>RawSalesTable[[#This Row],[Unit_Cost]]*RawSalesTable[[#This Row],[Quantity]]</f>
        <v>131.19</v>
      </c>
      <c r="AC453" s="8">
        <f>RawSalesTable[[#This Row],[Net_Sales]]-RawSalesTable[[#This Row],[Total_Cost]]</f>
        <v>65.153999999999996</v>
      </c>
      <c r="AD453" s="9">
        <f>RawSalesTable[[#This Row],[Profit]]/RawSalesTable[[#This Row],[Net_Sales]]</f>
        <v>0.33183596137391513</v>
      </c>
      <c r="AE453" s="8">
        <f>IF(RawSalesTable[[#This Row],[Return_Status]]="Yes",1,0)</f>
        <v>1</v>
      </c>
      <c r="AF453" s="8">
        <f>YEAR(RawSalesTable[[#This Row],[Order_Date]])</f>
        <v>2025</v>
      </c>
      <c r="AG453" s="8">
        <f>MONTH(RawSalesTable[[#This Row],[Order_Date]])</f>
        <v>10</v>
      </c>
      <c r="AH453" s="8" t="str">
        <f>TEXT(RawSalesTable[[#This Row],[Order_Date]],"mmmm")</f>
        <v>octobre</v>
      </c>
      <c r="AI453" s="8" t="str">
        <f>IF(RawSalesTable[[#This Row],[Month_Number]]&lt;=3,"Q1",IF(RawSalesTable[[#This Row],[Month_Number]]&lt;=6,"Q2",IF(RawSalesTable[[#This Row],[Month_Number]]&lt;=9,"Q3","Q4")))</f>
        <v>Q4</v>
      </c>
      <c r="AJ453" s="13">
        <f>DATE(YEAR(RawSalesTable[[#This Row],[Order_Date]]),MONTH(RawSalesTable[[#This Row],[Order_Date]]),1)</f>
        <v>45931</v>
      </c>
      <c r="AK453" s="8" t="str">
        <f>VLOOKUP(RawSalesTable[[#This Row],[Customer_ID_clean]],CustomersTable[],4,FALSE)</f>
        <v>Quebec</v>
      </c>
    </row>
    <row r="454" spans="1:37">
      <c r="A454" t="s">
        <v>875</v>
      </c>
      <c r="B454" s="3">
        <v>45966</v>
      </c>
      <c r="C454" t="s">
        <v>371</v>
      </c>
      <c r="D454" t="s">
        <v>418</v>
      </c>
      <c r="E454" t="s">
        <v>372</v>
      </c>
      <c r="F454" t="s">
        <v>87</v>
      </c>
      <c r="G454" t="s">
        <v>104</v>
      </c>
      <c r="H454" t="s">
        <v>105</v>
      </c>
      <c r="I454">
        <v>3</v>
      </c>
      <c r="J454" s="2">
        <v>352.01</v>
      </c>
      <c r="K454" s="4">
        <v>0.1</v>
      </c>
      <c r="L454" t="s">
        <v>106</v>
      </c>
      <c r="M454">
        <v>3</v>
      </c>
      <c r="N454" t="s">
        <v>91</v>
      </c>
      <c r="O454" t="str">
        <f>SUBSTITUTE(PROPER(TRIM(RawSalesTable[[#This Row],[Channel_Raw]])), "Market Place", "Marketplace")</f>
        <v>Marketplace</v>
      </c>
      <c r="P454" t="str">
        <f>TRIM(RawSalesTable[[#This Row],[Store_Raw]])</f>
        <v>Online Fulfillment</v>
      </c>
      <c r="Q454" t="str">
        <f>IF(TRIM(RawSalesTable[[#This Row],[Payment_Method_Raw]])="","Non renseigné",SUBSTITUTE(TRIM(RawSalesTable[[#This Row],[Payment_Method_Raw]]),"CC","Credit Card"))</f>
        <v>Credit Card</v>
      </c>
      <c r="R454" s="8" t="str">
        <f>UPPER(PROPER(RawSalesTable[[#This Row],[Customer_ID]]))</f>
        <v>C0049</v>
      </c>
      <c r="S454" s="8" t="str">
        <f>TRIM(LEFT(RawSalesTable[[#This Row],[Customer_Info]],FIND(",",RawSalesTable[[#This Row],[Customer_Info]]) -1))</f>
        <v>Olivia Scott</v>
      </c>
      <c r="T454" s="8" t="str">
        <f>TRIM(MID(RawSalesTable[[#This Row],[Customer_Info]],FIND(",",RawSalesTable[[#This Row],[Customer_Info]])+1,FIND(",",RawSalesTable[[#This Row],[Customer_Info]],FIND(",",RawSalesTable[[#This Row],[Customer_Info]])+1)-FIND(",",RawSalesTable[[#This Row],[Customer_Info]])-1))</f>
        <v>Quebec City</v>
      </c>
      <c r="U454" s="8" t="str">
        <f>TRIM(RIGHT(RawSalesTable[[#This Row],[Customer_Info]], LEN(RawSalesTable[[#This Row],[Customer_Info]])-FIND(",",RawSalesTable[[#This Row],[Customer_Info]],FIND(",",RawSalesTable[[#This Row],[Customer_Info]])+1)))</f>
        <v>Consumer</v>
      </c>
      <c r="V454" s="8" t="str">
        <f>VLOOKUP(RawSalesTable[[#This Row],[Product_ID]],ProductsTable[],2,FALSE)</f>
        <v>Foam Roller</v>
      </c>
      <c r="W454" s="8" t="str">
        <f>VLOOKUP(RawSalesTable[[#This Row],[Product_ID]],ProductsTable[],3,FALSE)</f>
        <v>Fitness</v>
      </c>
      <c r="X454" s="8">
        <f>VLOOKUP(RawSalesTable[[#This Row],[Product_ID]],ProductsTable[],5,FALSE)</f>
        <v>212.02</v>
      </c>
      <c r="Y454" s="8">
        <f>RawSalesTable[[#This Row],[Quantity]]*RawSalesTable[[#This Row],[Unit_Price]]</f>
        <v>1056.03</v>
      </c>
      <c r="Z454" s="8">
        <f>RawSalesTable[[#This Row],[Gross_Sales]]*RawSalesTable[[#This Row],[Discount_Pct]]</f>
        <v>105.60300000000001</v>
      </c>
      <c r="AA454" s="8">
        <f>RawSalesTable[[#This Row],[Gross_Sales]]-RawSalesTable[[#This Row],[Discount_Amount]]</f>
        <v>950.42699999999991</v>
      </c>
      <c r="AB454" s="8">
        <f>RawSalesTable[[#This Row],[Unit_Cost]]*RawSalesTable[[#This Row],[Quantity]]</f>
        <v>636.06000000000006</v>
      </c>
      <c r="AC454" s="8">
        <f>RawSalesTable[[#This Row],[Net_Sales]]-RawSalesTable[[#This Row],[Total_Cost]]</f>
        <v>314.36699999999985</v>
      </c>
      <c r="AD454" s="9">
        <f>RawSalesTable[[#This Row],[Profit]]/RawSalesTable[[#This Row],[Net_Sales]]</f>
        <v>0.33076396188239587</v>
      </c>
      <c r="AE454" s="8">
        <f>IF(RawSalesTable[[#This Row],[Return_Status]]="Yes",1,0)</f>
        <v>0</v>
      </c>
      <c r="AF454" s="8">
        <f>YEAR(RawSalesTable[[#This Row],[Order_Date]])</f>
        <v>2025</v>
      </c>
      <c r="AG454" s="8">
        <f>MONTH(RawSalesTable[[#This Row],[Order_Date]])</f>
        <v>11</v>
      </c>
      <c r="AH454" s="8" t="str">
        <f>TEXT(RawSalesTable[[#This Row],[Order_Date]],"mmmm")</f>
        <v>novembre</v>
      </c>
      <c r="AI454" s="8" t="str">
        <f>IF(RawSalesTable[[#This Row],[Month_Number]]&lt;=3,"Q1",IF(RawSalesTable[[#This Row],[Month_Number]]&lt;=6,"Q2",IF(RawSalesTable[[#This Row],[Month_Number]]&lt;=9,"Q3","Q4")))</f>
        <v>Q4</v>
      </c>
      <c r="AJ454" s="13">
        <f>DATE(YEAR(RawSalesTable[[#This Row],[Order_Date]]),MONTH(RawSalesTable[[#This Row],[Order_Date]]),1)</f>
        <v>45962</v>
      </c>
      <c r="AK454" s="8" t="str">
        <f>VLOOKUP(RawSalesTable[[#This Row],[Customer_ID_clean]],CustomersTable[],4,FALSE)</f>
        <v>Quebec</v>
      </c>
    </row>
    <row r="455" spans="1:37">
      <c r="A455" t="s">
        <v>876</v>
      </c>
      <c r="B455" s="3">
        <v>45832</v>
      </c>
      <c r="C455" t="s">
        <v>322</v>
      </c>
      <c r="D455" t="s">
        <v>143</v>
      </c>
      <c r="E455" t="s">
        <v>470</v>
      </c>
      <c r="F455" t="s">
        <v>145</v>
      </c>
      <c r="G455" t="s">
        <v>104</v>
      </c>
      <c r="H455" t="s">
        <v>105</v>
      </c>
      <c r="I455">
        <v>1</v>
      </c>
      <c r="J455" s="2">
        <v>259.24</v>
      </c>
      <c r="K455" s="4">
        <v>0.2</v>
      </c>
      <c r="L455" t="s">
        <v>106</v>
      </c>
      <c r="M455">
        <v>6</v>
      </c>
      <c r="N455" t="s">
        <v>91</v>
      </c>
      <c r="O455" t="str">
        <f>SUBSTITUTE(PROPER(TRIM(RawSalesTable[[#This Row],[Channel_Raw]])), "Market Place", "Marketplace")</f>
        <v>Marketplace</v>
      </c>
      <c r="P455" t="str">
        <f>TRIM(RawSalesTable[[#This Row],[Store_Raw]])</f>
        <v>Calgary North</v>
      </c>
      <c r="Q455" t="str">
        <f>IF(TRIM(RawSalesTable[[#This Row],[Payment_Method_Raw]])="","Non renseigné",SUBSTITUTE(TRIM(RawSalesTable[[#This Row],[Payment_Method_Raw]]),"CC","Credit Card"))</f>
        <v>Credit Card</v>
      </c>
      <c r="R455" s="8" t="str">
        <f>UPPER(PROPER(RawSalesTable[[#This Row],[Customer_ID]]))</f>
        <v>C0119</v>
      </c>
      <c r="S455" s="8" t="str">
        <f>TRIM(LEFT(RawSalesTable[[#This Row],[Customer_Info]],FIND(",",RawSalesTable[[#This Row],[Customer_Info]]) -1))</f>
        <v>Liam Chen</v>
      </c>
      <c r="T455" s="8" t="str">
        <f>TRIM(MID(RawSalesTable[[#This Row],[Customer_Info]],FIND(",",RawSalesTable[[#This Row],[Customer_Info]])+1,FIND(",",RawSalesTable[[#This Row],[Customer_Info]],FIND(",",RawSalesTable[[#This Row],[Customer_Info]])+1)-FIND(",",RawSalesTable[[#This Row],[Customer_Info]])-1))</f>
        <v>Winnipeg</v>
      </c>
      <c r="U455" s="8" t="str">
        <f>TRIM(RIGHT(RawSalesTable[[#This Row],[Customer_Info]], LEN(RawSalesTable[[#This Row],[Customer_Info]])-FIND(",",RawSalesTable[[#This Row],[Customer_Info]],FIND(",",RawSalesTable[[#This Row],[Customer_Info]])+1)))</f>
        <v>Consumer</v>
      </c>
      <c r="V455" s="8" t="str">
        <f>VLOOKUP(RawSalesTable[[#This Row],[Product_ID]],ProductsTable[],2,FALSE)</f>
        <v>Water Bottle</v>
      </c>
      <c r="W455" s="8" t="str">
        <f>VLOOKUP(RawSalesTable[[#This Row],[Product_ID]],ProductsTable[],3,FALSE)</f>
        <v>Accessories</v>
      </c>
      <c r="X455" s="8">
        <f>VLOOKUP(RawSalesTable[[#This Row],[Product_ID]],ProductsTable[],5,FALSE)</f>
        <v>119.16</v>
      </c>
      <c r="Y455" s="8">
        <f>RawSalesTable[[#This Row],[Quantity]]*RawSalesTable[[#This Row],[Unit_Price]]</f>
        <v>259.24</v>
      </c>
      <c r="Z455" s="8">
        <f>RawSalesTable[[#This Row],[Gross_Sales]]*RawSalesTable[[#This Row],[Discount_Pct]]</f>
        <v>51.848000000000006</v>
      </c>
      <c r="AA455" s="8">
        <f>RawSalesTable[[#This Row],[Gross_Sales]]-RawSalesTable[[#This Row],[Discount_Amount]]</f>
        <v>207.392</v>
      </c>
      <c r="AB455" s="8">
        <f>RawSalesTable[[#This Row],[Unit_Cost]]*RawSalesTable[[#This Row],[Quantity]]</f>
        <v>119.16</v>
      </c>
      <c r="AC455" s="8">
        <f>RawSalesTable[[#This Row],[Net_Sales]]-RawSalesTable[[#This Row],[Total_Cost]]</f>
        <v>88.231999999999999</v>
      </c>
      <c r="AD455" s="9">
        <f>RawSalesTable[[#This Row],[Profit]]/RawSalesTable[[#This Row],[Net_Sales]]</f>
        <v>0.42543588952322176</v>
      </c>
      <c r="AE455" s="8">
        <f>IF(RawSalesTable[[#This Row],[Return_Status]]="Yes",1,0)</f>
        <v>0</v>
      </c>
      <c r="AF455" s="8">
        <f>YEAR(RawSalesTable[[#This Row],[Order_Date]])</f>
        <v>2025</v>
      </c>
      <c r="AG455" s="8">
        <f>MONTH(RawSalesTable[[#This Row],[Order_Date]])</f>
        <v>6</v>
      </c>
      <c r="AH455" s="8" t="str">
        <f>TEXT(RawSalesTable[[#This Row],[Order_Date]],"mmmm")</f>
        <v>juin</v>
      </c>
      <c r="AI455" s="8" t="str">
        <f>IF(RawSalesTable[[#This Row],[Month_Number]]&lt;=3,"Q1",IF(RawSalesTable[[#This Row],[Month_Number]]&lt;=6,"Q2",IF(RawSalesTable[[#This Row],[Month_Number]]&lt;=9,"Q3","Q4")))</f>
        <v>Q2</v>
      </c>
      <c r="AJ455" s="13">
        <f>DATE(YEAR(RawSalesTable[[#This Row],[Order_Date]]),MONTH(RawSalesTable[[#This Row],[Order_Date]]),1)</f>
        <v>45809</v>
      </c>
      <c r="AK455" s="8" t="str">
        <f>VLOOKUP(RawSalesTable[[#This Row],[Customer_ID_clean]],CustomersTable[],4,FALSE)</f>
        <v>Manitoba</v>
      </c>
    </row>
    <row r="456" spans="1:37">
      <c r="A456" t="s">
        <v>877</v>
      </c>
      <c r="B456" s="3">
        <v>45875</v>
      </c>
      <c r="C456" t="s">
        <v>151</v>
      </c>
      <c r="D456" t="s">
        <v>149</v>
      </c>
      <c r="E456" t="s">
        <v>827</v>
      </c>
      <c r="F456" t="s">
        <v>116</v>
      </c>
      <c r="G456" t="s">
        <v>122</v>
      </c>
      <c r="H456" t="s">
        <v>89</v>
      </c>
      <c r="I456">
        <v>1</v>
      </c>
      <c r="J456" s="2">
        <v>83.23</v>
      </c>
      <c r="K456" s="4">
        <v>0.05</v>
      </c>
      <c r="L456" t="s">
        <v>90</v>
      </c>
      <c r="M456">
        <v>6</v>
      </c>
      <c r="N456" t="s">
        <v>91</v>
      </c>
      <c r="O456" t="str">
        <f>SUBSTITUTE(PROPER(TRIM(RawSalesTable[[#This Row],[Channel_Raw]])), "Market Place", "Marketplace")</f>
        <v>Online</v>
      </c>
      <c r="P456" t="str">
        <f>TRIM(RawSalesTable[[#This Row],[Store_Raw]])</f>
        <v>Toronto Downtown</v>
      </c>
      <c r="Q456" t="str">
        <f>IF(TRIM(RawSalesTable[[#This Row],[Payment_Method_Raw]])="","Non renseigné",SUBSTITUTE(TRIM(RawSalesTable[[#This Row],[Payment_Method_Raw]]),"CC","Credit Card"))</f>
        <v>PayPal</v>
      </c>
      <c r="R456" s="8" t="str">
        <f>UPPER(PROPER(RawSalesTable[[#This Row],[Customer_ID]]))</f>
        <v>C0014</v>
      </c>
      <c r="S456" s="8" t="str">
        <f>TRIM(LEFT(RawSalesTable[[#This Row],[Customer_Info]],FIND(",",RawSalesTable[[#This Row],[Customer_Info]]) -1))</f>
        <v>Zoe Scott</v>
      </c>
      <c r="T456" s="8" t="str">
        <f>TRIM(MID(RawSalesTable[[#This Row],[Customer_Info]],FIND(",",RawSalesTable[[#This Row],[Customer_Info]])+1,FIND(",",RawSalesTable[[#This Row],[Customer_Info]],FIND(",",RawSalesTable[[#This Row],[Customer_Info]])+1)-FIND(",",RawSalesTable[[#This Row],[Customer_Info]])-1))</f>
        <v>Montreal</v>
      </c>
      <c r="U456" s="8" t="str">
        <f>TRIM(RIGHT(RawSalesTable[[#This Row],[Customer_Info]], LEN(RawSalesTable[[#This Row],[Customer_Info]])-FIND(",",RawSalesTable[[#This Row],[Customer_Info]],FIND(",",RawSalesTable[[#This Row],[Customer_Info]])+1)))</f>
        <v>Small Business</v>
      </c>
      <c r="V456" s="8" t="str">
        <f>VLOOKUP(RawSalesTable[[#This Row],[Product_ID]],ProductsTable[],2,FALSE)</f>
        <v>Office Chair</v>
      </c>
      <c r="W456" s="8" t="str">
        <f>VLOOKUP(RawSalesTable[[#This Row],[Product_ID]],ProductsTable[],3,FALSE)</f>
        <v>Office</v>
      </c>
      <c r="X456" s="8">
        <f>VLOOKUP(RawSalesTable[[#This Row],[Product_ID]],ProductsTable[],5,FALSE)</f>
        <v>39.26</v>
      </c>
      <c r="Y456" s="8">
        <f>RawSalesTable[[#This Row],[Quantity]]*RawSalesTable[[#This Row],[Unit_Price]]</f>
        <v>83.23</v>
      </c>
      <c r="Z456" s="8">
        <f>RawSalesTable[[#This Row],[Gross_Sales]]*RawSalesTable[[#This Row],[Discount_Pct]]</f>
        <v>4.1615000000000002</v>
      </c>
      <c r="AA456" s="8">
        <f>RawSalesTable[[#This Row],[Gross_Sales]]-RawSalesTable[[#This Row],[Discount_Amount]]</f>
        <v>79.0685</v>
      </c>
      <c r="AB456" s="8">
        <f>RawSalesTable[[#This Row],[Unit_Cost]]*RawSalesTable[[#This Row],[Quantity]]</f>
        <v>39.26</v>
      </c>
      <c r="AC456" s="8">
        <f>RawSalesTable[[#This Row],[Net_Sales]]-RawSalesTable[[#This Row],[Total_Cost]]</f>
        <v>39.808500000000002</v>
      </c>
      <c r="AD456" s="9">
        <f>RawSalesTable[[#This Row],[Profit]]/RawSalesTable[[#This Row],[Net_Sales]]</f>
        <v>0.50346851148055172</v>
      </c>
      <c r="AE456" s="8">
        <f>IF(RawSalesTable[[#This Row],[Return_Status]]="Yes",1,0)</f>
        <v>0</v>
      </c>
      <c r="AF456" s="8">
        <f>YEAR(RawSalesTable[[#This Row],[Order_Date]])</f>
        <v>2025</v>
      </c>
      <c r="AG456" s="8">
        <f>MONTH(RawSalesTable[[#This Row],[Order_Date]])</f>
        <v>8</v>
      </c>
      <c r="AH456" s="8" t="str">
        <f>TEXT(RawSalesTable[[#This Row],[Order_Date]],"mmmm")</f>
        <v>août</v>
      </c>
      <c r="AI456" s="8" t="str">
        <f>IF(RawSalesTable[[#This Row],[Month_Number]]&lt;=3,"Q1",IF(RawSalesTable[[#This Row],[Month_Number]]&lt;=6,"Q2",IF(RawSalesTable[[#This Row],[Month_Number]]&lt;=9,"Q3","Q4")))</f>
        <v>Q3</v>
      </c>
      <c r="AJ456" s="13">
        <f>DATE(YEAR(RawSalesTable[[#This Row],[Order_Date]]),MONTH(RawSalesTable[[#This Row],[Order_Date]]),1)</f>
        <v>45870</v>
      </c>
      <c r="AK456" s="8" t="str">
        <f>VLOOKUP(RawSalesTable[[#This Row],[Customer_ID_clean]],CustomersTable[],4,FALSE)</f>
        <v>Quebec</v>
      </c>
    </row>
    <row r="457" spans="1:37">
      <c r="A457" t="s">
        <v>878</v>
      </c>
      <c r="B457" s="3">
        <v>45924</v>
      </c>
      <c r="C457" t="s">
        <v>142</v>
      </c>
      <c r="D457" t="s">
        <v>217</v>
      </c>
      <c r="E457" t="s">
        <v>144</v>
      </c>
      <c r="F457" t="s">
        <v>116</v>
      </c>
      <c r="G457" t="s">
        <v>171</v>
      </c>
      <c r="H457" t="s">
        <v>105</v>
      </c>
      <c r="I457">
        <v>4</v>
      </c>
      <c r="J457" s="2">
        <v>109.34</v>
      </c>
      <c r="K457" s="4">
        <v>0.2</v>
      </c>
      <c r="L457" t="s">
        <v>106</v>
      </c>
      <c r="M457">
        <v>7</v>
      </c>
      <c r="N457" t="s">
        <v>91</v>
      </c>
      <c r="O457" t="str">
        <f>SUBSTITUTE(PROPER(TRIM(RawSalesTable[[#This Row],[Channel_Raw]])), "Market Place", "Marketplace")</f>
        <v>Marketplace</v>
      </c>
      <c r="P457" t="str">
        <f>TRIM(RawSalesTable[[#This Row],[Store_Raw]])</f>
        <v>Toronto Downtown</v>
      </c>
      <c r="Q457" t="str">
        <f>IF(TRIM(RawSalesTable[[#This Row],[Payment_Method_Raw]])="","Non renseigné",SUBSTITUTE(TRIM(RawSalesTable[[#This Row],[Payment_Method_Raw]]),"CC","Credit Card"))</f>
        <v>Credit Card</v>
      </c>
      <c r="R457" s="8" t="str">
        <f>UPPER(PROPER(RawSalesTable[[#This Row],[Customer_ID]]))</f>
        <v>C0002</v>
      </c>
      <c r="S457" s="8" t="str">
        <f>TRIM(LEFT(RawSalesTable[[#This Row],[Customer_Info]],FIND(",",RawSalesTable[[#This Row],[Customer_Info]]) -1))</f>
        <v>Ryan Johnson</v>
      </c>
      <c r="T457" s="8" t="str">
        <f>TRIM(MID(RawSalesTable[[#This Row],[Customer_Info]],FIND(",",RawSalesTable[[#This Row],[Customer_Info]])+1,FIND(",",RawSalesTable[[#This Row],[Customer_Info]],FIND(",",RawSalesTable[[#This Row],[Customer_Info]])+1)-FIND(",",RawSalesTable[[#This Row],[Customer_Info]])-1))</f>
        <v>Montreal</v>
      </c>
      <c r="U457" s="8" t="str">
        <f>TRIM(RIGHT(RawSalesTable[[#This Row],[Customer_Info]], LEN(RawSalesTable[[#This Row],[Customer_Info]])-FIND(",",RawSalesTable[[#This Row],[Customer_Info]],FIND(",",RawSalesTable[[#This Row],[Customer_Info]])+1)))</f>
        <v>Small Business</v>
      </c>
      <c r="V457" s="8" t="str">
        <f>VLOOKUP(RawSalesTable[[#This Row],[Product_ID]],ProductsTable[],2,FALSE)</f>
        <v>USB-C Hub</v>
      </c>
      <c r="W457" s="8" t="str">
        <f>VLOOKUP(RawSalesTable[[#This Row],[Product_ID]],ProductsTable[],3,FALSE)</f>
        <v>Electronics</v>
      </c>
      <c r="X457" s="8">
        <f>VLOOKUP(RawSalesTable[[#This Row],[Product_ID]],ProductsTable[],5,FALSE)</f>
        <v>72</v>
      </c>
      <c r="Y457" s="8">
        <f>RawSalesTable[[#This Row],[Quantity]]*RawSalesTable[[#This Row],[Unit_Price]]</f>
        <v>437.36</v>
      </c>
      <c r="Z457" s="8">
        <f>RawSalesTable[[#This Row],[Gross_Sales]]*RawSalesTable[[#This Row],[Discount_Pct]]</f>
        <v>87.472000000000008</v>
      </c>
      <c r="AA457" s="8">
        <f>RawSalesTable[[#This Row],[Gross_Sales]]-RawSalesTable[[#This Row],[Discount_Amount]]</f>
        <v>349.88800000000003</v>
      </c>
      <c r="AB457" s="8">
        <f>RawSalesTable[[#This Row],[Unit_Cost]]*RawSalesTable[[#This Row],[Quantity]]</f>
        <v>288</v>
      </c>
      <c r="AC457" s="8">
        <f>RawSalesTable[[#This Row],[Net_Sales]]-RawSalesTable[[#This Row],[Total_Cost]]</f>
        <v>61.888000000000034</v>
      </c>
      <c r="AD457" s="9">
        <f>RawSalesTable[[#This Row],[Profit]]/RawSalesTable[[#This Row],[Net_Sales]]</f>
        <v>0.1768794585695995</v>
      </c>
      <c r="AE457" s="8">
        <f>IF(RawSalesTable[[#This Row],[Return_Status]]="Yes",1,0)</f>
        <v>0</v>
      </c>
      <c r="AF457" s="8">
        <f>YEAR(RawSalesTable[[#This Row],[Order_Date]])</f>
        <v>2025</v>
      </c>
      <c r="AG457" s="8">
        <f>MONTH(RawSalesTable[[#This Row],[Order_Date]])</f>
        <v>9</v>
      </c>
      <c r="AH457" s="8" t="str">
        <f>TEXT(RawSalesTable[[#This Row],[Order_Date]],"mmmm")</f>
        <v>septembre</v>
      </c>
      <c r="AI457" s="8" t="str">
        <f>IF(RawSalesTable[[#This Row],[Month_Number]]&lt;=3,"Q1",IF(RawSalesTable[[#This Row],[Month_Number]]&lt;=6,"Q2",IF(RawSalesTable[[#This Row],[Month_Number]]&lt;=9,"Q3","Q4")))</f>
        <v>Q3</v>
      </c>
      <c r="AJ457" s="13">
        <f>DATE(YEAR(RawSalesTable[[#This Row],[Order_Date]]),MONTH(RawSalesTable[[#This Row],[Order_Date]]),1)</f>
        <v>45901</v>
      </c>
      <c r="AK457" s="8" t="str">
        <f>VLOOKUP(RawSalesTable[[#This Row],[Customer_ID_clean]],CustomersTable[],4,FALSE)</f>
        <v>Quebec</v>
      </c>
    </row>
    <row r="458" spans="1:37">
      <c r="A458" t="s">
        <v>879</v>
      </c>
      <c r="B458" s="3">
        <v>45961</v>
      </c>
      <c r="C458" t="s">
        <v>758</v>
      </c>
      <c r="D458" t="s">
        <v>252</v>
      </c>
      <c r="E458" t="s">
        <v>759</v>
      </c>
      <c r="F458" t="s">
        <v>145</v>
      </c>
      <c r="G458" t="s">
        <v>96</v>
      </c>
      <c r="H458" t="s">
        <v>89</v>
      </c>
      <c r="I458">
        <v>1</v>
      </c>
      <c r="J458" s="2">
        <v>263.44</v>
      </c>
      <c r="K458" s="4">
        <v>0</v>
      </c>
      <c r="M458">
        <v>2</v>
      </c>
      <c r="N458" t="s">
        <v>91</v>
      </c>
      <c r="O458" t="str">
        <f>SUBSTITUTE(PROPER(TRIM(RawSalesTable[[#This Row],[Channel_Raw]])), "Market Place", "Marketplace")</f>
        <v>Online</v>
      </c>
      <c r="P458" t="str">
        <f>TRIM(RawSalesTable[[#This Row],[Store_Raw]])</f>
        <v>Calgary North</v>
      </c>
      <c r="Q458" t="str">
        <f>IF(TRIM(RawSalesTable[[#This Row],[Payment_Method_Raw]])="","Non renseigné",SUBSTITUTE(TRIM(RawSalesTable[[#This Row],[Payment_Method_Raw]]),"CC","Credit Card"))</f>
        <v>Non renseigné</v>
      </c>
      <c r="R458" s="8" t="str">
        <f>UPPER(PROPER(RawSalesTable[[#This Row],[Customer_ID]]))</f>
        <v>C0034</v>
      </c>
      <c r="S458" s="8" t="str">
        <f>TRIM(LEFT(RawSalesTable[[#This Row],[Customer_Info]],FIND(",",RawSalesTable[[#This Row],[Customer_Info]]) -1))</f>
        <v>Noah Tremblay</v>
      </c>
      <c r="T458" s="8" t="str">
        <f>TRIM(MID(RawSalesTable[[#This Row],[Customer_Info]],FIND(",",RawSalesTable[[#This Row],[Customer_Info]])+1,FIND(",",RawSalesTable[[#This Row],[Customer_Info]],FIND(",",RawSalesTable[[#This Row],[Customer_Info]])+1)-FIND(",",RawSalesTable[[#This Row],[Customer_Info]])-1))</f>
        <v>Toronto</v>
      </c>
      <c r="U458" s="8" t="str">
        <f>TRIM(RIGHT(RawSalesTable[[#This Row],[Customer_Info]], LEN(RawSalesTable[[#This Row],[Customer_Info]])-FIND(",",RawSalesTable[[#This Row],[Customer_Info]],FIND(",",RawSalesTable[[#This Row],[Customer_Info]])+1)))</f>
        <v>Corporate</v>
      </c>
      <c r="V458" s="8" t="str">
        <f>VLOOKUP(RawSalesTable[[#This Row],[Product_ID]],ProductsTable[],2,FALSE)</f>
        <v>Vacuum</v>
      </c>
      <c r="W458" s="8" t="str">
        <f>VLOOKUP(RawSalesTable[[#This Row],[Product_ID]],ProductsTable[],3,FALSE)</f>
        <v>Home</v>
      </c>
      <c r="X458" s="8">
        <f>VLOOKUP(RawSalesTable[[#This Row],[Product_ID]],ProductsTable[],5,FALSE)</f>
        <v>186.94</v>
      </c>
      <c r="Y458" s="8">
        <f>RawSalesTable[[#This Row],[Quantity]]*RawSalesTable[[#This Row],[Unit_Price]]</f>
        <v>263.44</v>
      </c>
      <c r="Z458" s="8">
        <f>RawSalesTable[[#This Row],[Gross_Sales]]*RawSalesTable[[#This Row],[Discount_Pct]]</f>
        <v>0</v>
      </c>
      <c r="AA458" s="8">
        <f>RawSalesTable[[#This Row],[Gross_Sales]]-RawSalesTable[[#This Row],[Discount_Amount]]</f>
        <v>263.44</v>
      </c>
      <c r="AB458" s="8">
        <f>RawSalesTable[[#This Row],[Unit_Cost]]*RawSalesTable[[#This Row],[Quantity]]</f>
        <v>186.94</v>
      </c>
      <c r="AC458" s="8">
        <f>RawSalesTable[[#This Row],[Net_Sales]]-RawSalesTable[[#This Row],[Total_Cost]]</f>
        <v>76.5</v>
      </c>
      <c r="AD458" s="9">
        <f>RawSalesTable[[#This Row],[Profit]]/RawSalesTable[[#This Row],[Net_Sales]]</f>
        <v>0.29038870331005162</v>
      </c>
      <c r="AE458" s="8">
        <f>IF(RawSalesTable[[#This Row],[Return_Status]]="Yes",1,0)</f>
        <v>0</v>
      </c>
      <c r="AF458" s="8">
        <f>YEAR(RawSalesTable[[#This Row],[Order_Date]])</f>
        <v>2025</v>
      </c>
      <c r="AG458" s="8">
        <f>MONTH(RawSalesTable[[#This Row],[Order_Date]])</f>
        <v>10</v>
      </c>
      <c r="AH458" s="8" t="str">
        <f>TEXT(RawSalesTable[[#This Row],[Order_Date]],"mmmm")</f>
        <v>octobre</v>
      </c>
      <c r="AI458" s="8" t="str">
        <f>IF(RawSalesTable[[#This Row],[Month_Number]]&lt;=3,"Q1",IF(RawSalesTable[[#This Row],[Month_Number]]&lt;=6,"Q2",IF(RawSalesTable[[#This Row],[Month_Number]]&lt;=9,"Q3","Q4")))</f>
        <v>Q4</v>
      </c>
      <c r="AJ458" s="13">
        <f>DATE(YEAR(RawSalesTable[[#This Row],[Order_Date]]),MONTH(RawSalesTable[[#This Row],[Order_Date]]),1)</f>
        <v>45931</v>
      </c>
      <c r="AK458" s="8" t="str">
        <f>VLOOKUP(RawSalesTable[[#This Row],[Customer_ID_clean]],CustomersTable[],4,FALSE)</f>
        <v>Ontario</v>
      </c>
    </row>
    <row r="459" spans="1:37">
      <c r="A459" t="s">
        <v>880</v>
      </c>
      <c r="B459" s="3">
        <v>45664</v>
      </c>
      <c r="C459" t="s">
        <v>647</v>
      </c>
      <c r="D459" t="s">
        <v>217</v>
      </c>
      <c r="E459" t="s">
        <v>648</v>
      </c>
      <c r="F459" t="s">
        <v>87</v>
      </c>
      <c r="G459" t="s">
        <v>171</v>
      </c>
      <c r="H459" t="s">
        <v>97</v>
      </c>
      <c r="I459">
        <v>1</v>
      </c>
      <c r="J459" s="2">
        <v>102.79</v>
      </c>
      <c r="K459" s="4">
        <v>0.05</v>
      </c>
      <c r="L459" t="s">
        <v>106</v>
      </c>
      <c r="M459">
        <v>1</v>
      </c>
      <c r="N459" t="s">
        <v>91</v>
      </c>
      <c r="O459" t="str">
        <f>SUBSTITUTE(PROPER(TRIM(RawSalesTable[[#This Row],[Channel_Raw]])), "Market Place", "Marketplace")</f>
        <v>Retail Store</v>
      </c>
      <c r="P459" t="str">
        <f>TRIM(RawSalesTable[[#This Row],[Store_Raw]])</f>
        <v>Online Fulfillment</v>
      </c>
      <c r="Q459" t="str">
        <f>IF(TRIM(RawSalesTable[[#This Row],[Payment_Method_Raw]])="","Non renseigné",SUBSTITUTE(TRIM(RawSalesTable[[#This Row],[Payment_Method_Raw]]),"CC","Credit Card"))</f>
        <v>Credit Card</v>
      </c>
      <c r="R459" s="8" t="str">
        <f>UPPER(PROPER(RawSalesTable[[#This Row],[Customer_ID]]))</f>
        <v>C0050</v>
      </c>
      <c r="S459" s="8" t="str">
        <f>TRIM(LEFT(RawSalesTable[[#This Row],[Customer_Info]],FIND(",",RawSalesTable[[#This Row],[Customer_Info]]) -1))</f>
        <v>Sarah Singh</v>
      </c>
      <c r="T459" s="8" t="str">
        <f>TRIM(MID(RawSalesTable[[#This Row],[Customer_Info]],FIND(",",RawSalesTable[[#This Row],[Customer_Info]])+1,FIND(",",RawSalesTable[[#This Row],[Customer_Info]],FIND(",",RawSalesTable[[#This Row],[Customer_Info]])+1)-FIND(",",RawSalesTable[[#This Row],[Customer_Info]])-1))</f>
        <v>Mississauga</v>
      </c>
      <c r="U459" s="8" t="str">
        <f>TRIM(RIGHT(RawSalesTable[[#This Row],[Customer_Info]], LEN(RawSalesTable[[#This Row],[Customer_Info]])-FIND(",",RawSalesTable[[#This Row],[Customer_Info]],FIND(",",RawSalesTable[[#This Row],[Customer_Info]])+1)))</f>
        <v>Consumer</v>
      </c>
      <c r="V459" s="8" t="str">
        <f>VLOOKUP(RawSalesTable[[#This Row],[Product_ID]],ProductsTable[],2,FALSE)</f>
        <v>USB-C Hub</v>
      </c>
      <c r="W459" s="8" t="str">
        <f>VLOOKUP(RawSalesTable[[#This Row],[Product_ID]],ProductsTable[],3,FALSE)</f>
        <v>Electronics</v>
      </c>
      <c r="X459" s="8">
        <f>VLOOKUP(RawSalesTable[[#This Row],[Product_ID]],ProductsTable[],5,FALSE)</f>
        <v>72</v>
      </c>
      <c r="Y459" s="8">
        <f>RawSalesTable[[#This Row],[Quantity]]*RawSalesTable[[#This Row],[Unit_Price]]</f>
        <v>102.79</v>
      </c>
      <c r="Z459" s="8">
        <f>RawSalesTable[[#This Row],[Gross_Sales]]*RawSalesTable[[#This Row],[Discount_Pct]]</f>
        <v>5.1395000000000008</v>
      </c>
      <c r="AA459" s="8">
        <f>RawSalesTable[[#This Row],[Gross_Sales]]-RawSalesTable[[#This Row],[Discount_Amount]]</f>
        <v>97.650500000000008</v>
      </c>
      <c r="AB459" s="8">
        <f>RawSalesTable[[#This Row],[Unit_Cost]]*RawSalesTable[[#This Row],[Quantity]]</f>
        <v>72</v>
      </c>
      <c r="AC459" s="8">
        <f>RawSalesTable[[#This Row],[Net_Sales]]-RawSalesTable[[#This Row],[Total_Cost]]</f>
        <v>25.650500000000008</v>
      </c>
      <c r="AD459" s="9">
        <f>RawSalesTable[[#This Row],[Profit]]/RawSalesTable[[#This Row],[Net_Sales]]</f>
        <v>0.26267658639740715</v>
      </c>
      <c r="AE459" s="8">
        <f>IF(RawSalesTable[[#This Row],[Return_Status]]="Yes",1,0)</f>
        <v>0</v>
      </c>
      <c r="AF459" s="8">
        <f>YEAR(RawSalesTable[[#This Row],[Order_Date]])</f>
        <v>2025</v>
      </c>
      <c r="AG459" s="8">
        <f>MONTH(RawSalesTable[[#This Row],[Order_Date]])</f>
        <v>1</v>
      </c>
      <c r="AH459" s="8" t="str">
        <f>TEXT(RawSalesTable[[#This Row],[Order_Date]],"mmmm")</f>
        <v>janvier</v>
      </c>
      <c r="AI459" s="8" t="str">
        <f>IF(RawSalesTable[[#This Row],[Month_Number]]&lt;=3,"Q1",IF(RawSalesTable[[#This Row],[Month_Number]]&lt;=6,"Q2",IF(RawSalesTable[[#This Row],[Month_Number]]&lt;=9,"Q3","Q4")))</f>
        <v>Q1</v>
      </c>
      <c r="AJ459" s="13">
        <f>DATE(YEAR(RawSalesTable[[#This Row],[Order_Date]]),MONTH(RawSalesTable[[#This Row],[Order_Date]]),1)</f>
        <v>45658</v>
      </c>
      <c r="AK459" s="8" t="str">
        <f>VLOOKUP(RawSalesTable[[#This Row],[Customer_ID_clean]],CustomersTable[],4,FALSE)</f>
        <v>Ontario</v>
      </c>
    </row>
    <row r="460" spans="1:37">
      <c r="A460" t="s">
        <v>881</v>
      </c>
      <c r="B460" s="3">
        <v>45683</v>
      </c>
      <c r="C460" t="s">
        <v>438</v>
      </c>
      <c r="D460" t="s">
        <v>133</v>
      </c>
      <c r="E460" t="s">
        <v>882</v>
      </c>
      <c r="F460" t="s">
        <v>145</v>
      </c>
      <c r="G460" t="s">
        <v>88</v>
      </c>
      <c r="H460" t="s">
        <v>97</v>
      </c>
      <c r="I460">
        <v>1</v>
      </c>
      <c r="J460" s="2">
        <v>334.66</v>
      </c>
      <c r="K460" s="4">
        <v>0.2</v>
      </c>
      <c r="L460" t="s">
        <v>90</v>
      </c>
      <c r="M460">
        <v>2</v>
      </c>
      <c r="N460" t="s">
        <v>91</v>
      </c>
      <c r="O460" t="str">
        <f>SUBSTITUTE(PROPER(TRIM(RawSalesTable[[#This Row],[Channel_Raw]])), "Market Place", "Marketplace")</f>
        <v>Retail Store</v>
      </c>
      <c r="P460" t="str">
        <f>TRIM(RawSalesTable[[#This Row],[Store_Raw]])</f>
        <v>Calgary North</v>
      </c>
      <c r="Q460" t="str">
        <f>IF(TRIM(RawSalesTable[[#This Row],[Payment_Method_Raw]])="","Non renseigné",SUBSTITUTE(TRIM(RawSalesTable[[#This Row],[Payment_Method_Raw]]),"CC","Credit Card"))</f>
        <v>PayPal</v>
      </c>
      <c r="R460" s="8" t="str">
        <f>UPPER(PROPER(RawSalesTable[[#This Row],[Customer_ID]]))</f>
        <v>C0028</v>
      </c>
      <c r="S460" s="8" t="str">
        <f>TRIM(LEFT(RawSalesTable[[#This Row],[Customer_Info]],FIND(",",RawSalesTable[[#This Row],[Customer_Info]]) -1))</f>
        <v>Mia Clark</v>
      </c>
      <c r="T460" s="8" t="str">
        <f>TRIM(MID(RawSalesTable[[#This Row],[Customer_Info]],FIND(",",RawSalesTable[[#This Row],[Customer_Info]])+1,FIND(",",RawSalesTable[[#This Row],[Customer_Info]],FIND(",",RawSalesTable[[#This Row],[Customer_Info]])+1)-FIND(",",RawSalesTable[[#This Row],[Customer_Info]])-1))</f>
        <v>Victoria</v>
      </c>
      <c r="U460" s="8" t="str">
        <f>TRIM(RIGHT(RawSalesTable[[#This Row],[Customer_Info]], LEN(RawSalesTable[[#This Row],[Customer_Info]])-FIND(",",RawSalesTable[[#This Row],[Customer_Info]],FIND(",",RawSalesTable[[#This Row],[Customer_Info]])+1)))</f>
        <v>Consumer</v>
      </c>
      <c r="V460" s="8" t="str">
        <f>VLOOKUP(RawSalesTable[[#This Row],[Product_ID]],ProductsTable[],2,FALSE)</f>
        <v>Travel Adapter</v>
      </c>
      <c r="W460" s="8" t="str">
        <f>VLOOKUP(RawSalesTable[[#This Row],[Product_ID]],ProductsTable[],3,FALSE)</f>
        <v>Accessories</v>
      </c>
      <c r="X460" s="8">
        <f>VLOOKUP(RawSalesTable[[#This Row],[Product_ID]],ProductsTable[],5,FALSE)</f>
        <v>229.86</v>
      </c>
      <c r="Y460" s="8">
        <f>RawSalesTable[[#This Row],[Quantity]]*RawSalesTable[[#This Row],[Unit_Price]]</f>
        <v>334.66</v>
      </c>
      <c r="Z460" s="8">
        <f>RawSalesTable[[#This Row],[Gross_Sales]]*RawSalesTable[[#This Row],[Discount_Pct]]</f>
        <v>66.932000000000002</v>
      </c>
      <c r="AA460" s="8">
        <f>RawSalesTable[[#This Row],[Gross_Sales]]-RawSalesTable[[#This Row],[Discount_Amount]]</f>
        <v>267.72800000000001</v>
      </c>
      <c r="AB460" s="8">
        <f>RawSalesTable[[#This Row],[Unit_Cost]]*RawSalesTable[[#This Row],[Quantity]]</f>
        <v>229.86</v>
      </c>
      <c r="AC460" s="8">
        <f>RawSalesTable[[#This Row],[Net_Sales]]-RawSalesTable[[#This Row],[Total_Cost]]</f>
        <v>37.867999999999995</v>
      </c>
      <c r="AD460" s="9">
        <f>RawSalesTable[[#This Row],[Profit]]/RawSalesTable[[#This Row],[Net_Sales]]</f>
        <v>0.1414420605988167</v>
      </c>
      <c r="AE460" s="8">
        <f>IF(RawSalesTable[[#This Row],[Return_Status]]="Yes",1,0)</f>
        <v>0</v>
      </c>
      <c r="AF460" s="8">
        <f>YEAR(RawSalesTable[[#This Row],[Order_Date]])</f>
        <v>2025</v>
      </c>
      <c r="AG460" s="8">
        <f>MONTH(RawSalesTable[[#This Row],[Order_Date]])</f>
        <v>1</v>
      </c>
      <c r="AH460" s="8" t="str">
        <f>TEXT(RawSalesTable[[#This Row],[Order_Date]],"mmmm")</f>
        <v>janvier</v>
      </c>
      <c r="AI460" s="8" t="str">
        <f>IF(RawSalesTable[[#This Row],[Month_Number]]&lt;=3,"Q1",IF(RawSalesTable[[#This Row],[Month_Number]]&lt;=6,"Q2",IF(RawSalesTable[[#This Row],[Month_Number]]&lt;=9,"Q3","Q4")))</f>
        <v>Q1</v>
      </c>
      <c r="AJ460" s="13">
        <f>DATE(YEAR(RawSalesTable[[#This Row],[Order_Date]]),MONTH(RawSalesTable[[#This Row],[Order_Date]]),1)</f>
        <v>45658</v>
      </c>
      <c r="AK460" s="8" t="str">
        <f>VLOOKUP(RawSalesTable[[#This Row],[Customer_ID_clean]],CustomersTable[],4,FALSE)</f>
        <v>British Columbia</v>
      </c>
    </row>
    <row r="461" spans="1:37">
      <c r="A461" t="s">
        <v>883</v>
      </c>
      <c r="B461" s="3">
        <v>46007</v>
      </c>
      <c r="C461" t="s">
        <v>286</v>
      </c>
      <c r="D461" t="s">
        <v>114</v>
      </c>
      <c r="E461" t="s">
        <v>287</v>
      </c>
      <c r="F461" t="s">
        <v>103</v>
      </c>
      <c r="G461" t="s">
        <v>88</v>
      </c>
      <c r="H461" t="s">
        <v>97</v>
      </c>
      <c r="I461">
        <v>2</v>
      </c>
      <c r="J461" s="2">
        <v>142.21</v>
      </c>
      <c r="K461" s="4">
        <v>0.05</v>
      </c>
      <c r="L461" t="s">
        <v>106</v>
      </c>
      <c r="M461">
        <v>2</v>
      </c>
      <c r="N461" t="s">
        <v>91</v>
      </c>
      <c r="O461" t="str">
        <f>SUBSTITUTE(PROPER(TRIM(RawSalesTable[[#This Row],[Channel_Raw]])), "Market Place", "Marketplace")</f>
        <v>Retail Store</v>
      </c>
      <c r="P461" t="str">
        <f>TRIM(RawSalesTable[[#This Row],[Store_Raw]])</f>
        <v>Vancouver West</v>
      </c>
      <c r="Q461" t="str">
        <f>IF(TRIM(RawSalesTable[[#This Row],[Payment_Method_Raw]])="","Non renseigné",SUBSTITUTE(TRIM(RawSalesTable[[#This Row],[Payment_Method_Raw]]),"CC","Credit Card"))</f>
        <v>Credit Card</v>
      </c>
      <c r="R461" s="8" t="str">
        <f>UPPER(PROPER(RawSalesTable[[#This Row],[Customer_ID]]))</f>
        <v>C0098</v>
      </c>
      <c r="S461" s="8" t="str">
        <f>TRIM(LEFT(RawSalesTable[[#This Row],[Customer_Info]],FIND(",",RawSalesTable[[#This Row],[Customer_Info]]) -1))</f>
        <v>Nora Young</v>
      </c>
      <c r="T461" s="8" t="str">
        <f>TRIM(MID(RawSalesTable[[#This Row],[Customer_Info]],FIND(",",RawSalesTable[[#This Row],[Customer_Info]])+1,FIND(",",RawSalesTable[[#This Row],[Customer_Info]],FIND(",",RawSalesTable[[#This Row],[Customer_Info]])+1)-FIND(",",RawSalesTable[[#This Row],[Customer_Info]])-1))</f>
        <v>Winnipeg</v>
      </c>
      <c r="U461" s="8" t="str">
        <f>TRIM(RIGHT(RawSalesTable[[#This Row],[Customer_Info]], LEN(RawSalesTable[[#This Row],[Customer_Info]])-FIND(",",RawSalesTable[[#This Row],[Customer_Info]],FIND(",",RawSalesTable[[#This Row],[Customer_Info]])+1)))</f>
        <v>Consumer</v>
      </c>
      <c r="V461" s="8" t="str">
        <f>VLOOKUP(RawSalesTable[[#This Row],[Product_ID]],ProductsTable[],2,FALSE)</f>
        <v>Laptop Sleeve</v>
      </c>
      <c r="W461" s="8" t="str">
        <f>VLOOKUP(RawSalesTable[[#This Row],[Product_ID]],ProductsTable[],3,FALSE)</f>
        <v>Accessories</v>
      </c>
      <c r="X461" s="8">
        <f>VLOOKUP(RawSalesTable[[#This Row],[Product_ID]],ProductsTable[],5,FALSE)</f>
        <v>78.95</v>
      </c>
      <c r="Y461" s="8">
        <f>RawSalesTable[[#This Row],[Quantity]]*RawSalesTable[[#This Row],[Unit_Price]]</f>
        <v>284.42</v>
      </c>
      <c r="Z461" s="8">
        <f>RawSalesTable[[#This Row],[Gross_Sales]]*RawSalesTable[[#This Row],[Discount_Pct]]</f>
        <v>14.221000000000002</v>
      </c>
      <c r="AA461" s="8">
        <f>RawSalesTable[[#This Row],[Gross_Sales]]-RawSalesTable[[#This Row],[Discount_Amount]]</f>
        <v>270.19900000000001</v>
      </c>
      <c r="AB461" s="8">
        <f>RawSalesTable[[#This Row],[Unit_Cost]]*RawSalesTable[[#This Row],[Quantity]]</f>
        <v>157.9</v>
      </c>
      <c r="AC461" s="8">
        <f>RawSalesTable[[#This Row],[Net_Sales]]-RawSalesTable[[#This Row],[Total_Cost]]</f>
        <v>112.29900000000001</v>
      </c>
      <c r="AD461" s="9">
        <f>RawSalesTable[[#This Row],[Profit]]/RawSalesTable[[#This Row],[Net_Sales]]</f>
        <v>0.41561589791227949</v>
      </c>
      <c r="AE461" s="8">
        <f>IF(RawSalesTable[[#This Row],[Return_Status]]="Yes",1,0)</f>
        <v>0</v>
      </c>
      <c r="AF461" s="8">
        <f>YEAR(RawSalesTable[[#This Row],[Order_Date]])</f>
        <v>2025</v>
      </c>
      <c r="AG461" s="8">
        <f>MONTH(RawSalesTable[[#This Row],[Order_Date]])</f>
        <v>12</v>
      </c>
      <c r="AH461" s="8" t="str">
        <f>TEXT(RawSalesTable[[#This Row],[Order_Date]],"mmmm")</f>
        <v>décembre</v>
      </c>
      <c r="AI461" s="8" t="str">
        <f>IF(RawSalesTable[[#This Row],[Month_Number]]&lt;=3,"Q1",IF(RawSalesTable[[#This Row],[Month_Number]]&lt;=6,"Q2",IF(RawSalesTable[[#This Row],[Month_Number]]&lt;=9,"Q3","Q4")))</f>
        <v>Q4</v>
      </c>
      <c r="AJ461" s="13">
        <f>DATE(YEAR(RawSalesTable[[#This Row],[Order_Date]]),MONTH(RawSalesTable[[#This Row],[Order_Date]]),1)</f>
        <v>45992</v>
      </c>
      <c r="AK461" s="8" t="str">
        <f>VLOOKUP(RawSalesTable[[#This Row],[Customer_ID_clean]],CustomersTable[],4,FALSE)</f>
        <v>Manitoba</v>
      </c>
    </row>
    <row r="462" spans="1:37">
      <c r="A462" t="s">
        <v>884</v>
      </c>
      <c r="B462" s="3">
        <v>45797</v>
      </c>
      <c r="C462" t="s">
        <v>124</v>
      </c>
      <c r="D462" t="s">
        <v>194</v>
      </c>
      <c r="E462" t="s">
        <v>126</v>
      </c>
      <c r="F462" t="s">
        <v>103</v>
      </c>
      <c r="G462" t="s">
        <v>171</v>
      </c>
      <c r="H462" t="s">
        <v>97</v>
      </c>
      <c r="I462">
        <v>1</v>
      </c>
      <c r="J462" s="2">
        <v>203.87</v>
      </c>
      <c r="K462" s="4">
        <v>0</v>
      </c>
      <c r="L462" t="s">
        <v>521</v>
      </c>
      <c r="M462">
        <v>2</v>
      </c>
      <c r="N462" t="s">
        <v>91</v>
      </c>
      <c r="O462" t="str">
        <f>SUBSTITUTE(PROPER(TRIM(RawSalesTable[[#This Row],[Channel_Raw]])), "Market Place", "Marketplace")</f>
        <v>Retail Store</v>
      </c>
      <c r="P462" t="str">
        <f>TRIM(RawSalesTable[[#This Row],[Store_Raw]])</f>
        <v>Vancouver West</v>
      </c>
      <c r="Q462" t="str">
        <f>IF(TRIM(RawSalesTable[[#This Row],[Payment_Method_Raw]])="","Non renseigné",SUBSTITUTE(TRIM(RawSalesTable[[#This Row],[Payment_Method_Raw]]),"CC","Credit Card"))</f>
        <v>debit card</v>
      </c>
      <c r="R462" s="8" t="str">
        <f>UPPER(PROPER(RawSalesTable[[#This Row],[Customer_ID]]))</f>
        <v>C0021</v>
      </c>
      <c r="S462" s="8" t="str">
        <f>TRIM(LEFT(RawSalesTable[[#This Row],[Customer_Info]],FIND(",",RawSalesTable[[#This Row],[Customer_Info]]) -1))</f>
        <v>Nora King</v>
      </c>
      <c r="T462" s="8" t="str">
        <f>TRIM(MID(RawSalesTable[[#This Row],[Customer_Info]],FIND(",",RawSalesTable[[#This Row],[Customer_Info]])+1,FIND(",",RawSalesTable[[#This Row],[Customer_Info]],FIND(",",RawSalesTable[[#This Row],[Customer_Info]])+1)-FIND(",",RawSalesTable[[#This Row],[Customer_Info]])-1))</f>
        <v>Halifax</v>
      </c>
      <c r="U462" s="8" t="str">
        <f>TRIM(RIGHT(RawSalesTable[[#This Row],[Customer_Info]], LEN(RawSalesTable[[#This Row],[Customer_Info]])-FIND(",",RawSalesTable[[#This Row],[Customer_Info]],FIND(",",RawSalesTable[[#This Row],[Customer_Info]])+1)))</f>
        <v>Corporate</v>
      </c>
      <c r="V462" s="8" t="str">
        <f>VLOOKUP(RawSalesTable[[#This Row],[Product_ID]],ProductsTable[],2,FALSE)</f>
        <v>Jump Rope</v>
      </c>
      <c r="W462" s="8" t="str">
        <f>VLOOKUP(RawSalesTable[[#This Row],[Product_ID]],ProductsTable[],3,FALSE)</f>
        <v>Fitness</v>
      </c>
      <c r="X462" s="8">
        <f>VLOOKUP(RawSalesTable[[#This Row],[Product_ID]],ProductsTable[],5,FALSE)</f>
        <v>101</v>
      </c>
      <c r="Y462" s="8">
        <f>RawSalesTable[[#This Row],[Quantity]]*RawSalesTable[[#This Row],[Unit_Price]]</f>
        <v>203.87</v>
      </c>
      <c r="Z462" s="8">
        <f>RawSalesTable[[#This Row],[Gross_Sales]]*RawSalesTable[[#This Row],[Discount_Pct]]</f>
        <v>0</v>
      </c>
      <c r="AA462" s="8">
        <f>RawSalesTable[[#This Row],[Gross_Sales]]-RawSalesTable[[#This Row],[Discount_Amount]]</f>
        <v>203.87</v>
      </c>
      <c r="AB462" s="8">
        <f>RawSalesTable[[#This Row],[Unit_Cost]]*RawSalesTable[[#This Row],[Quantity]]</f>
        <v>101</v>
      </c>
      <c r="AC462" s="8">
        <f>RawSalesTable[[#This Row],[Net_Sales]]-RawSalesTable[[#This Row],[Total_Cost]]</f>
        <v>102.87</v>
      </c>
      <c r="AD462" s="9">
        <f>RawSalesTable[[#This Row],[Profit]]/RawSalesTable[[#This Row],[Net_Sales]]</f>
        <v>0.50458625594741746</v>
      </c>
      <c r="AE462" s="8">
        <f>IF(RawSalesTable[[#This Row],[Return_Status]]="Yes",1,0)</f>
        <v>0</v>
      </c>
      <c r="AF462" s="8">
        <f>YEAR(RawSalesTable[[#This Row],[Order_Date]])</f>
        <v>2025</v>
      </c>
      <c r="AG462" s="8">
        <f>MONTH(RawSalesTable[[#This Row],[Order_Date]])</f>
        <v>5</v>
      </c>
      <c r="AH462" s="8" t="str">
        <f>TEXT(RawSalesTable[[#This Row],[Order_Date]],"mmmm")</f>
        <v>mai</v>
      </c>
      <c r="AI462" s="8" t="str">
        <f>IF(RawSalesTable[[#This Row],[Month_Number]]&lt;=3,"Q1",IF(RawSalesTable[[#This Row],[Month_Number]]&lt;=6,"Q2",IF(RawSalesTable[[#This Row],[Month_Number]]&lt;=9,"Q3","Q4")))</f>
        <v>Q2</v>
      </c>
      <c r="AJ462" s="13">
        <f>DATE(YEAR(RawSalesTable[[#This Row],[Order_Date]]),MONTH(RawSalesTable[[#This Row],[Order_Date]]),1)</f>
        <v>45778</v>
      </c>
      <c r="AK462" s="8" t="str">
        <f>VLOOKUP(RawSalesTable[[#This Row],[Customer_ID_clean]],CustomersTable[],4,FALSE)</f>
        <v>Nova Scotia</v>
      </c>
    </row>
    <row r="463" spans="1:37">
      <c r="A463" t="s">
        <v>885</v>
      </c>
      <c r="B463" s="3">
        <v>45993</v>
      </c>
      <c r="C463" t="s">
        <v>610</v>
      </c>
      <c r="D463" t="s">
        <v>360</v>
      </c>
      <c r="E463" t="s">
        <v>611</v>
      </c>
      <c r="F463" t="s">
        <v>87</v>
      </c>
      <c r="G463" t="s">
        <v>117</v>
      </c>
      <c r="H463" t="s">
        <v>89</v>
      </c>
      <c r="I463">
        <v>4</v>
      </c>
      <c r="J463" s="2">
        <v>66.59</v>
      </c>
      <c r="K463" s="4">
        <v>0.15</v>
      </c>
      <c r="L463" t="s">
        <v>90</v>
      </c>
      <c r="M463">
        <v>4</v>
      </c>
      <c r="N463" t="s">
        <v>91</v>
      </c>
      <c r="O463" t="str">
        <f>SUBSTITUTE(PROPER(TRIM(RawSalesTable[[#This Row],[Channel_Raw]])), "Market Place", "Marketplace")</f>
        <v>Online</v>
      </c>
      <c r="P463" t="str">
        <f>TRIM(RawSalesTable[[#This Row],[Store_Raw]])</f>
        <v>Online Fulfillment</v>
      </c>
      <c r="Q463" t="str">
        <f>IF(TRIM(RawSalesTable[[#This Row],[Payment_Method_Raw]])="","Non renseigné",SUBSTITUTE(TRIM(RawSalesTable[[#This Row],[Payment_Method_Raw]]),"CC","Credit Card"))</f>
        <v>PayPal</v>
      </c>
      <c r="R463" s="8" t="str">
        <f>UPPER(PROPER(RawSalesTable[[#This Row],[Customer_ID]]))</f>
        <v>C0051</v>
      </c>
      <c r="S463" s="8" t="str">
        <f>TRIM(LEFT(RawSalesTable[[#This Row],[Customer_Info]],FIND(",",RawSalesTable[[#This Row],[Customer_Info]]) -1))</f>
        <v>Daniel Brown</v>
      </c>
      <c r="T463" s="8" t="str">
        <f>TRIM(MID(RawSalesTable[[#This Row],[Customer_Info]],FIND(",",RawSalesTable[[#This Row],[Customer_Info]])+1,FIND(",",RawSalesTable[[#This Row],[Customer_Info]],FIND(",",RawSalesTable[[#This Row],[Customer_Info]])+1)-FIND(",",RawSalesTable[[#This Row],[Customer_Info]])-1))</f>
        <v>Vancouver</v>
      </c>
      <c r="U463" s="8" t="str">
        <f>TRIM(RIGHT(RawSalesTable[[#This Row],[Customer_Info]], LEN(RawSalesTable[[#This Row],[Customer_Info]])-FIND(",",RawSalesTable[[#This Row],[Customer_Info]],FIND(",",RawSalesTable[[#This Row],[Customer_Info]])+1)))</f>
        <v>Small Business</v>
      </c>
      <c r="V463" s="8" t="str">
        <f>VLOOKUP(RawSalesTable[[#This Row],[Product_ID]],ProductsTable[],2,FALSE)</f>
        <v>Blender</v>
      </c>
      <c r="W463" s="8" t="str">
        <f>VLOOKUP(RawSalesTable[[#This Row],[Product_ID]],ProductsTable[],3,FALSE)</f>
        <v>Home</v>
      </c>
      <c r="X463" s="8">
        <f>VLOOKUP(RawSalesTable[[#This Row],[Product_ID]],ProductsTable[],5,FALSE)</f>
        <v>37.46</v>
      </c>
      <c r="Y463" s="8">
        <f>RawSalesTable[[#This Row],[Quantity]]*RawSalesTable[[#This Row],[Unit_Price]]</f>
        <v>266.36</v>
      </c>
      <c r="Z463" s="8">
        <f>RawSalesTable[[#This Row],[Gross_Sales]]*RawSalesTable[[#This Row],[Discount_Pct]]</f>
        <v>39.954000000000001</v>
      </c>
      <c r="AA463" s="8">
        <f>RawSalesTable[[#This Row],[Gross_Sales]]-RawSalesTable[[#This Row],[Discount_Amount]]</f>
        <v>226.40600000000001</v>
      </c>
      <c r="AB463" s="8">
        <f>RawSalesTable[[#This Row],[Unit_Cost]]*RawSalesTable[[#This Row],[Quantity]]</f>
        <v>149.84</v>
      </c>
      <c r="AC463" s="8">
        <f>RawSalesTable[[#This Row],[Net_Sales]]-RawSalesTable[[#This Row],[Total_Cost]]</f>
        <v>76.566000000000003</v>
      </c>
      <c r="AD463" s="9">
        <f>RawSalesTable[[#This Row],[Profit]]/RawSalesTable[[#This Row],[Net_Sales]]</f>
        <v>0.33818008356668994</v>
      </c>
      <c r="AE463" s="8">
        <f>IF(RawSalesTable[[#This Row],[Return_Status]]="Yes",1,0)</f>
        <v>0</v>
      </c>
      <c r="AF463" s="8">
        <f>YEAR(RawSalesTable[[#This Row],[Order_Date]])</f>
        <v>2025</v>
      </c>
      <c r="AG463" s="8">
        <f>MONTH(RawSalesTable[[#This Row],[Order_Date]])</f>
        <v>12</v>
      </c>
      <c r="AH463" s="8" t="str">
        <f>TEXT(RawSalesTable[[#This Row],[Order_Date]],"mmmm")</f>
        <v>décembre</v>
      </c>
      <c r="AI463" s="8" t="str">
        <f>IF(RawSalesTable[[#This Row],[Month_Number]]&lt;=3,"Q1",IF(RawSalesTable[[#This Row],[Month_Number]]&lt;=6,"Q2",IF(RawSalesTable[[#This Row],[Month_Number]]&lt;=9,"Q3","Q4")))</f>
        <v>Q4</v>
      </c>
      <c r="AJ463" s="13">
        <f>DATE(YEAR(RawSalesTable[[#This Row],[Order_Date]]),MONTH(RawSalesTable[[#This Row],[Order_Date]]),1)</f>
        <v>45992</v>
      </c>
      <c r="AK463" s="8" t="str">
        <f>VLOOKUP(RawSalesTable[[#This Row],[Customer_ID_clean]],CustomersTable[],4,FALSE)</f>
        <v>British Columbia</v>
      </c>
    </row>
    <row r="464" spans="1:37">
      <c r="A464" t="s">
        <v>886</v>
      </c>
      <c r="B464" s="3">
        <v>45852</v>
      </c>
      <c r="C464" t="s">
        <v>330</v>
      </c>
      <c r="D464" t="s">
        <v>226</v>
      </c>
      <c r="E464" t="s">
        <v>424</v>
      </c>
      <c r="F464" t="s">
        <v>87</v>
      </c>
      <c r="G464" t="s">
        <v>171</v>
      </c>
      <c r="H464" t="s">
        <v>97</v>
      </c>
      <c r="I464">
        <v>2</v>
      </c>
      <c r="J464" s="2">
        <v>210.56</v>
      </c>
      <c r="K464" s="4">
        <v>0.05</v>
      </c>
      <c r="L464" t="s">
        <v>106</v>
      </c>
      <c r="M464">
        <v>2</v>
      </c>
      <c r="N464" t="s">
        <v>91</v>
      </c>
      <c r="O464" t="str">
        <f>SUBSTITUTE(PROPER(TRIM(RawSalesTable[[#This Row],[Channel_Raw]])), "Market Place", "Marketplace")</f>
        <v>Retail Store</v>
      </c>
      <c r="P464" t="str">
        <f>TRIM(RawSalesTable[[#This Row],[Store_Raw]])</f>
        <v>Online Fulfillment</v>
      </c>
      <c r="Q464" t="str">
        <f>IF(TRIM(RawSalesTable[[#This Row],[Payment_Method_Raw]])="","Non renseigné",SUBSTITUTE(TRIM(RawSalesTable[[#This Row],[Payment_Method_Raw]]),"CC","Credit Card"))</f>
        <v>Credit Card</v>
      </c>
      <c r="R464" s="8" t="str">
        <f>UPPER(PROPER(RawSalesTable[[#This Row],[Customer_ID]]))</f>
        <v>C0108</v>
      </c>
      <c r="S464" s="8" t="str">
        <f>TRIM(LEFT(RawSalesTable[[#This Row],[Customer_Info]],FIND(",",RawSalesTable[[#This Row],[Customer_Info]]) -1))</f>
        <v>Noah Lee</v>
      </c>
      <c r="T464" s="8" t="str">
        <f>TRIM(MID(RawSalesTable[[#This Row],[Customer_Info]],FIND(",",RawSalesTable[[#This Row],[Customer_Info]])+1,FIND(",",RawSalesTable[[#This Row],[Customer_Info]],FIND(",",RawSalesTable[[#This Row],[Customer_Info]])+1)-FIND(",",RawSalesTable[[#This Row],[Customer_Info]])-1))</f>
        <v>Surrey</v>
      </c>
      <c r="U464" s="8" t="str">
        <f>TRIM(RIGHT(RawSalesTable[[#This Row],[Customer_Info]], LEN(RawSalesTable[[#This Row],[Customer_Info]])-FIND(",",RawSalesTable[[#This Row],[Customer_Info]],FIND(",",RawSalesTable[[#This Row],[Customer_Info]])+1)))</f>
        <v>Consumer</v>
      </c>
      <c r="V464" s="8" t="str">
        <f>VLOOKUP(RawSalesTable[[#This Row],[Product_ID]],ProductsTable[],2,FALSE)</f>
        <v>Desk Lamp</v>
      </c>
      <c r="W464" s="8" t="str">
        <f>VLOOKUP(RawSalesTable[[#This Row],[Product_ID]],ProductsTable[],3,FALSE)</f>
        <v>Office</v>
      </c>
      <c r="X464" s="8">
        <f>VLOOKUP(RawSalesTable[[#This Row],[Product_ID]],ProductsTable[],5,FALSE)</f>
        <v>127.21</v>
      </c>
      <c r="Y464" s="8">
        <f>RawSalesTable[[#This Row],[Quantity]]*RawSalesTable[[#This Row],[Unit_Price]]</f>
        <v>421.12</v>
      </c>
      <c r="Z464" s="8">
        <f>RawSalesTable[[#This Row],[Gross_Sales]]*RawSalesTable[[#This Row],[Discount_Pct]]</f>
        <v>21.056000000000001</v>
      </c>
      <c r="AA464" s="8">
        <f>RawSalesTable[[#This Row],[Gross_Sales]]-RawSalesTable[[#This Row],[Discount_Amount]]</f>
        <v>400.06400000000002</v>
      </c>
      <c r="AB464" s="8">
        <f>RawSalesTable[[#This Row],[Unit_Cost]]*RawSalesTable[[#This Row],[Quantity]]</f>
        <v>254.42</v>
      </c>
      <c r="AC464" s="8">
        <f>RawSalesTable[[#This Row],[Net_Sales]]-RawSalesTable[[#This Row],[Total_Cost]]</f>
        <v>145.64400000000003</v>
      </c>
      <c r="AD464" s="9">
        <f>RawSalesTable[[#This Row],[Profit]]/RawSalesTable[[#This Row],[Net_Sales]]</f>
        <v>0.36405175171972493</v>
      </c>
      <c r="AE464" s="8">
        <f>IF(RawSalesTable[[#This Row],[Return_Status]]="Yes",1,0)</f>
        <v>0</v>
      </c>
      <c r="AF464" s="8">
        <f>YEAR(RawSalesTable[[#This Row],[Order_Date]])</f>
        <v>2025</v>
      </c>
      <c r="AG464" s="8">
        <f>MONTH(RawSalesTable[[#This Row],[Order_Date]])</f>
        <v>7</v>
      </c>
      <c r="AH464" s="8" t="str">
        <f>TEXT(RawSalesTable[[#This Row],[Order_Date]],"mmmm")</f>
        <v>juillet</v>
      </c>
      <c r="AI464" s="8" t="str">
        <f>IF(RawSalesTable[[#This Row],[Month_Number]]&lt;=3,"Q1",IF(RawSalesTable[[#This Row],[Month_Number]]&lt;=6,"Q2",IF(RawSalesTable[[#This Row],[Month_Number]]&lt;=9,"Q3","Q4")))</f>
        <v>Q3</v>
      </c>
      <c r="AJ464" s="13">
        <f>DATE(YEAR(RawSalesTable[[#This Row],[Order_Date]]),MONTH(RawSalesTable[[#This Row],[Order_Date]]),1)</f>
        <v>45839</v>
      </c>
      <c r="AK464" s="8" t="str">
        <f>VLOOKUP(RawSalesTable[[#This Row],[Customer_ID_clean]],CustomersTable[],4,FALSE)</f>
        <v>British Columbia</v>
      </c>
    </row>
    <row r="465" spans="1:37">
      <c r="A465" t="s">
        <v>887</v>
      </c>
      <c r="B465" s="3">
        <v>46019</v>
      </c>
      <c r="C465" t="s">
        <v>173</v>
      </c>
      <c r="D465" t="s">
        <v>323</v>
      </c>
      <c r="E465" t="s">
        <v>175</v>
      </c>
      <c r="F465" t="s">
        <v>87</v>
      </c>
      <c r="G465" t="s">
        <v>183</v>
      </c>
      <c r="H465" t="s">
        <v>97</v>
      </c>
      <c r="I465">
        <v>2</v>
      </c>
      <c r="J465" s="2">
        <v>350.32</v>
      </c>
      <c r="K465" s="4">
        <v>0.2</v>
      </c>
      <c r="L465" t="s">
        <v>106</v>
      </c>
      <c r="M465">
        <v>2</v>
      </c>
      <c r="N465" t="s">
        <v>91</v>
      </c>
      <c r="O465" t="str">
        <f>SUBSTITUTE(PROPER(TRIM(RawSalesTable[[#This Row],[Channel_Raw]])), "Market Place", "Marketplace")</f>
        <v>Retail Store</v>
      </c>
      <c r="P465" t="str">
        <f>TRIM(RawSalesTable[[#This Row],[Store_Raw]])</f>
        <v>Online Fulfillment</v>
      </c>
      <c r="Q465" t="str">
        <f>IF(TRIM(RawSalesTable[[#This Row],[Payment_Method_Raw]])="","Non renseigné",SUBSTITUTE(TRIM(RawSalesTable[[#This Row],[Payment_Method_Raw]]),"CC","Credit Card"))</f>
        <v>Credit Card</v>
      </c>
      <c r="R465" s="8" t="str">
        <f>UPPER(PROPER(RawSalesTable[[#This Row],[Customer_ID]]))</f>
        <v>C0077</v>
      </c>
      <c r="S465" s="8" t="str">
        <f>TRIM(LEFT(RawSalesTable[[#This Row],[Customer_Info]],FIND(",",RawSalesTable[[#This Row],[Customer_Info]]) -1))</f>
        <v>Amine Taylor</v>
      </c>
      <c r="T465" s="8" t="str">
        <f>TRIM(MID(RawSalesTable[[#This Row],[Customer_Info]],FIND(",",RawSalesTable[[#This Row],[Customer_Info]])+1,FIND(",",RawSalesTable[[#This Row],[Customer_Info]],FIND(",",RawSalesTable[[#This Row],[Customer_Info]])+1)-FIND(",",RawSalesTable[[#This Row],[Customer_Info]])-1))</f>
        <v>Surrey</v>
      </c>
      <c r="U465" s="8" t="str">
        <f>TRIM(RIGHT(RawSalesTable[[#This Row],[Customer_Info]], LEN(RawSalesTable[[#This Row],[Customer_Info]])-FIND(",",RawSalesTable[[#This Row],[Customer_Info]],FIND(",",RawSalesTable[[#This Row],[Customer_Info]])+1)))</f>
        <v>Small Business</v>
      </c>
      <c r="V465" s="8" t="str">
        <f>VLOOKUP(RawSalesTable[[#This Row],[Product_ID]],ProductsTable[],2,FALSE)</f>
        <v>Toaster</v>
      </c>
      <c r="W465" s="8" t="str">
        <f>VLOOKUP(RawSalesTable[[#This Row],[Product_ID]],ProductsTable[],3,FALSE)</f>
        <v>Home</v>
      </c>
      <c r="X465" s="8">
        <f>VLOOKUP(RawSalesTable[[#This Row],[Product_ID]],ProductsTable[],5,FALSE)</f>
        <v>152.88</v>
      </c>
      <c r="Y465" s="8">
        <f>RawSalesTable[[#This Row],[Quantity]]*RawSalesTable[[#This Row],[Unit_Price]]</f>
        <v>700.64</v>
      </c>
      <c r="Z465" s="8">
        <f>RawSalesTable[[#This Row],[Gross_Sales]]*RawSalesTable[[#This Row],[Discount_Pct]]</f>
        <v>140.12800000000001</v>
      </c>
      <c r="AA465" s="8">
        <f>RawSalesTable[[#This Row],[Gross_Sales]]-RawSalesTable[[#This Row],[Discount_Amount]]</f>
        <v>560.51199999999994</v>
      </c>
      <c r="AB465" s="8">
        <f>RawSalesTable[[#This Row],[Unit_Cost]]*RawSalesTable[[#This Row],[Quantity]]</f>
        <v>305.76</v>
      </c>
      <c r="AC465" s="8">
        <f>RawSalesTable[[#This Row],[Net_Sales]]-RawSalesTable[[#This Row],[Total_Cost]]</f>
        <v>254.75199999999995</v>
      </c>
      <c r="AD465" s="9">
        <f>RawSalesTable[[#This Row],[Profit]]/RawSalesTable[[#This Row],[Net_Sales]]</f>
        <v>0.45449874400548068</v>
      </c>
      <c r="AE465" s="8">
        <f>IF(RawSalesTable[[#This Row],[Return_Status]]="Yes",1,0)</f>
        <v>0</v>
      </c>
      <c r="AF465" s="8">
        <f>YEAR(RawSalesTable[[#This Row],[Order_Date]])</f>
        <v>2025</v>
      </c>
      <c r="AG465" s="8">
        <f>MONTH(RawSalesTable[[#This Row],[Order_Date]])</f>
        <v>12</v>
      </c>
      <c r="AH465" s="8" t="str">
        <f>TEXT(RawSalesTable[[#This Row],[Order_Date]],"mmmm")</f>
        <v>décembre</v>
      </c>
      <c r="AI465" s="8" t="str">
        <f>IF(RawSalesTable[[#This Row],[Month_Number]]&lt;=3,"Q1",IF(RawSalesTable[[#This Row],[Month_Number]]&lt;=6,"Q2",IF(RawSalesTable[[#This Row],[Month_Number]]&lt;=9,"Q3","Q4")))</f>
        <v>Q4</v>
      </c>
      <c r="AJ465" s="13">
        <f>DATE(YEAR(RawSalesTable[[#This Row],[Order_Date]]),MONTH(RawSalesTable[[#This Row],[Order_Date]]),1)</f>
        <v>45992</v>
      </c>
      <c r="AK465" s="8" t="str">
        <f>VLOOKUP(RawSalesTable[[#This Row],[Customer_ID_clean]],CustomersTable[],4,FALSE)</f>
        <v>British Columbia</v>
      </c>
    </row>
    <row r="466" spans="1:37">
      <c r="A466" t="s">
        <v>888</v>
      </c>
      <c r="B466" s="3">
        <v>45908</v>
      </c>
      <c r="C466" t="s">
        <v>265</v>
      </c>
      <c r="D466" t="s">
        <v>346</v>
      </c>
      <c r="E466" t="s">
        <v>266</v>
      </c>
      <c r="F466" t="s">
        <v>87</v>
      </c>
      <c r="G466" t="s">
        <v>122</v>
      </c>
      <c r="H466" t="s">
        <v>97</v>
      </c>
      <c r="I466">
        <v>3</v>
      </c>
      <c r="J466" s="2">
        <v>252.66</v>
      </c>
      <c r="K466" s="4">
        <v>0.25</v>
      </c>
      <c r="L466" t="s">
        <v>98</v>
      </c>
      <c r="M466">
        <v>2</v>
      </c>
      <c r="N466" t="s">
        <v>91</v>
      </c>
      <c r="O466" t="str">
        <f>SUBSTITUTE(PROPER(TRIM(RawSalesTable[[#This Row],[Channel_Raw]])), "Market Place", "Marketplace")</f>
        <v>Retail Store</v>
      </c>
      <c r="P466" t="str">
        <f>TRIM(RawSalesTable[[#This Row],[Store_Raw]])</f>
        <v>Online Fulfillment</v>
      </c>
      <c r="Q466" t="str">
        <f>IF(TRIM(RawSalesTable[[#This Row],[Payment_Method_Raw]])="","Non renseigné",SUBSTITUTE(TRIM(RawSalesTable[[#This Row],[Payment_Method_Raw]]),"CC","Credit Card"))</f>
        <v>Debit Card</v>
      </c>
      <c r="R466" s="8" t="str">
        <f>UPPER(PROPER(RawSalesTable[[#This Row],[Customer_ID]]))</f>
        <v>C0020</v>
      </c>
      <c r="S466" s="8" t="str">
        <f>TRIM(LEFT(RawSalesTable[[#This Row],[Customer_Info]],FIND(",",RawSalesTable[[#This Row],[Customer_Info]]) -1))</f>
        <v>Nora Khan</v>
      </c>
      <c r="T466" s="8" t="str">
        <f>TRIM(MID(RawSalesTable[[#This Row],[Customer_Info]],FIND(",",RawSalesTable[[#This Row],[Customer_Info]])+1,FIND(",",RawSalesTable[[#This Row],[Customer_Info]],FIND(",",RawSalesTable[[#This Row],[Customer_Info]])+1)-FIND(",",RawSalesTable[[#This Row],[Customer_Info]])-1))</f>
        <v>Mississauga</v>
      </c>
      <c r="U466" s="8" t="str">
        <f>TRIM(RIGHT(RawSalesTable[[#This Row],[Customer_Info]], LEN(RawSalesTable[[#This Row],[Customer_Info]])-FIND(",",RawSalesTable[[#This Row],[Customer_Info]],FIND(",",RawSalesTable[[#This Row],[Customer_Info]])+1)))</f>
        <v>Consumer</v>
      </c>
      <c r="V466" s="8" t="str">
        <f>VLOOKUP(RawSalesTable[[#This Row],[Product_ID]],ProductsTable[],2,FALSE)</f>
        <v>Pull-up Bar</v>
      </c>
      <c r="W466" s="8" t="str">
        <f>VLOOKUP(RawSalesTable[[#This Row],[Product_ID]],ProductsTable[],3,FALSE)</f>
        <v>Fitness</v>
      </c>
      <c r="X466" s="8">
        <f>VLOOKUP(RawSalesTable[[#This Row],[Product_ID]],ProductsTable[],5,FALSE)</f>
        <v>125.4</v>
      </c>
      <c r="Y466" s="8">
        <f>RawSalesTable[[#This Row],[Quantity]]*RawSalesTable[[#This Row],[Unit_Price]]</f>
        <v>757.98</v>
      </c>
      <c r="Z466" s="8">
        <f>RawSalesTable[[#This Row],[Gross_Sales]]*RawSalesTable[[#This Row],[Discount_Pct]]</f>
        <v>189.495</v>
      </c>
      <c r="AA466" s="8">
        <f>RawSalesTable[[#This Row],[Gross_Sales]]-RawSalesTable[[#This Row],[Discount_Amount]]</f>
        <v>568.48500000000001</v>
      </c>
      <c r="AB466" s="8">
        <f>RawSalesTable[[#This Row],[Unit_Cost]]*RawSalesTable[[#This Row],[Quantity]]</f>
        <v>376.20000000000005</v>
      </c>
      <c r="AC466" s="8">
        <f>RawSalesTable[[#This Row],[Net_Sales]]-RawSalesTable[[#This Row],[Total_Cost]]</f>
        <v>192.28499999999997</v>
      </c>
      <c r="AD466" s="9">
        <f>RawSalesTable[[#This Row],[Profit]]/RawSalesTable[[#This Row],[Net_Sales]]</f>
        <v>0.3382411145412807</v>
      </c>
      <c r="AE466" s="8">
        <f>IF(RawSalesTable[[#This Row],[Return_Status]]="Yes",1,0)</f>
        <v>0</v>
      </c>
      <c r="AF466" s="8">
        <f>YEAR(RawSalesTable[[#This Row],[Order_Date]])</f>
        <v>2025</v>
      </c>
      <c r="AG466" s="8">
        <f>MONTH(RawSalesTable[[#This Row],[Order_Date]])</f>
        <v>9</v>
      </c>
      <c r="AH466" s="8" t="str">
        <f>TEXT(RawSalesTable[[#This Row],[Order_Date]],"mmmm")</f>
        <v>septembre</v>
      </c>
      <c r="AI466" s="8" t="str">
        <f>IF(RawSalesTable[[#This Row],[Month_Number]]&lt;=3,"Q1",IF(RawSalesTable[[#This Row],[Month_Number]]&lt;=6,"Q2",IF(RawSalesTable[[#This Row],[Month_Number]]&lt;=9,"Q3","Q4")))</f>
        <v>Q3</v>
      </c>
      <c r="AJ466" s="13">
        <f>DATE(YEAR(RawSalesTable[[#This Row],[Order_Date]]),MONTH(RawSalesTable[[#This Row],[Order_Date]]),1)</f>
        <v>45901</v>
      </c>
      <c r="AK466" s="8" t="str">
        <f>VLOOKUP(RawSalesTable[[#This Row],[Customer_ID_clean]],CustomersTable[],4,FALSE)</f>
        <v>Ontario</v>
      </c>
    </row>
    <row r="467" spans="1:37">
      <c r="A467" t="s">
        <v>889</v>
      </c>
      <c r="B467" s="3">
        <v>45908</v>
      </c>
      <c r="C467" t="s">
        <v>536</v>
      </c>
      <c r="D467" t="s">
        <v>271</v>
      </c>
      <c r="E467" t="s">
        <v>431</v>
      </c>
      <c r="F467" t="s">
        <v>111</v>
      </c>
      <c r="G467" t="s">
        <v>171</v>
      </c>
      <c r="H467" t="s">
        <v>105</v>
      </c>
      <c r="I467">
        <v>2</v>
      </c>
      <c r="J467" s="2">
        <v>235.33</v>
      </c>
      <c r="K467" s="4">
        <v>0.05</v>
      </c>
      <c r="L467" t="s">
        <v>98</v>
      </c>
      <c r="M467">
        <v>2</v>
      </c>
      <c r="N467" t="s">
        <v>91</v>
      </c>
      <c r="O467" t="str">
        <f>SUBSTITUTE(PROPER(TRIM(RawSalesTable[[#This Row],[Channel_Raw]])), "Market Place", "Marketplace")</f>
        <v>Marketplace</v>
      </c>
      <c r="P467" t="str">
        <f>TRIM(RawSalesTable[[#This Row],[Store_Raw]])</f>
        <v>Montreal Central</v>
      </c>
      <c r="Q467" t="str">
        <f>IF(TRIM(RawSalesTable[[#This Row],[Payment_Method_Raw]])="","Non renseigné",SUBSTITUTE(TRIM(RawSalesTable[[#This Row],[Payment_Method_Raw]]),"CC","Credit Card"))</f>
        <v>Debit Card</v>
      </c>
      <c r="R467" s="8" t="str">
        <f>UPPER(PROPER(RawSalesTable[[#This Row],[Customer_ID]]))</f>
        <v>C0039</v>
      </c>
      <c r="S467" s="8" t="str">
        <f>TRIM(LEFT(RawSalesTable[[#This Row],[Customer_Info]],FIND(",",RawSalesTable[[#This Row],[Customer_Info]]) -1))</f>
        <v>Sarah Wilson</v>
      </c>
      <c r="T467" s="8" t="str">
        <f>TRIM(MID(RawSalesTable[[#This Row],[Customer_Info]],FIND(",",RawSalesTable[[#This Row],[Customer_Info]])+1,FIND(",",RawSalesTable[[#This Row],[Customer_Info]],FIND(",",RawSalesTable[[#This Row],[Customer_Info]])+1)-FIND(",",RawSalesTable[[#This Row],[Customer_Info]])-1))</f>
        <v>Halifax</v>
      </c>
      <c r="U467" s="8" t="str">
        <f>TRIM(RIGHT(RawSalesTable[[#This Row],[Customer_Info]], LEN(RawSalesTable[[#This Row],[Customer_Info]])-FIND(",",RawSalesTable[[#This Row],[Customer_Info]],FIND(",",RawSalesTable[[#This Row],[Customer_Info]])+1)))</f>
        <v>Consumer</v>
      </c>
      <c r="V467" s="8" t="str">
        <f>VLOOKUP(RawSalesTable[[#This Row],[Product_ID]],ProductsTable[],2,FALSE)</f>
        <v>Resistance Bands</v>
      </c>
      <c r="W467" s="8" t="str">
        <f>VLOOKUP(RawSalesTable[[#This Row],[Product_ID]],ProductsTable[],3,FALSE)</f>
        <v>Fitness</v>
      </c>
      <c r="X467" s="8">
        <f>VLOOKUP(RawSalesTable[[#This Row],[Product_ID]],ProductsTable[],5,FALSE)</f>
        <v>139.19999999999999</v>
      </c>
      <c r="Y467" s="8">
        <f>RawSalesTable[[#This Row],[Quantity]]*RawSalesTable[[#This Row],[Unit_Price]]</f>
        <v>470.66</v>
      </c>
      <c r="Z467" s="8">
        <f>RawSalesTable[[#This Row],[Gross_Sales]]*RawSalesTable[[#This Row],[Discount_Pct]]</f>
        <v>23.533000000000001</v>
      </c>
      <c r="AA467" s="8">
        <f>RawSalesTable[[#This Row],[Gross_Sales]]-RawSalesTable[[#This Row],[Discount_Amount]]</f>
        <v>447.12700000000001</v>
      </c>
      <c r="AB467" s="8">
        <f>RawSalesTable[[#This Row],[Unit_Cost]]*RawSalesTable[[#This Row],[Quantity]]</f>
        <v>278.39999999999998</v>
      </c>
      <c r="AC467" s="8">
        <f>RawSalesTable[[#This Row],[Net_Sales]]-RawSalesTable[[#This Row],[Total_Cost]]</f>
        <v>168.72700000000003</v>
      </c>
      <c r="AD467" s="9">
        <f>RawSalesTable[[#This Row],[Profit]]/RawSalesTable[[#This Row],[Net_Sales]]</f>
        <v>0.37735811078284254</v>
      </c>
      <c r="AE467" s="8">
        <f>IF(RawSalesTable[[#This Row],[Return_Status]]="Yes",1,0)</f>
        <v>0</v>
      </c>
      <c r="AF467" s="8">
        <f>YEAR(RawSalesTable[[#This Row],[Order_Date]])</f>
        <v>2025</v>
      </c>
      <c r="AG467" s="8">
        <f>MONTH(RawSalesTable[[#This Row],[Order_Date]])</f>
        <v>9</v>
      </c>
      <c r="AH467" s="8" t="str">
        <f>TEXT(RawSalesTable[[#This Row],[Order_Date]],"mmmm")</f>
        <v>septembre</v>
      </c>
      <c r="AI467" s="8" t="str">
        <f>IF(RawSalesTable[[#This Row],[Month_Number]]&lt;=3,"Q1",IF(RawSalesTable[[#This Row],[Month_Number]]&lt;=6,"Q2",IF(RawSalesTable[[#This Row],[Month_Number]]&lt;=9,"Q3","Q4")))</f>
        <v>Q3</v>
      </c>
      <c r="AJ467" s="13">
        <f>DATE(YEAR(RawSalesTable[[#This Row],[Order_Date]]),MONTH(RawSalesTable[[#This Row],[Order_Date]]),1)</f>
        <v>45901</v>
      </c>
      <c r="AK467" s="8" t="str">
        <f>VLOOKUP(RawSalesTable[[#This Row],[Customer_ID_clean]],CustomersTable[],4,FALSE)</f>
        <v>Nova Scotia</v>
      </c>
    </row>
    <row r="468" spans="1:37">
      <c r="A468" t="s">
        <v>890</v>
      </c>
      <c r="B468" s="3">
        <v>45734</v>
      </c>
      <c r="C468" t="s">
        <v>406</v>
      </c>
      <c r="D468" t="s">
        <v>157</v>
      </c>
      <c r="E468" t="s">
        <v>407</v>
      </c>
      <c r="F468" t="s">
        <v>116</v>
      </c>
      <c r="G468" t="s">
        <v>104</v>
      </c>
      <c r="H468" t="s">
        <v>233</v>
      </c>
      <c r="I468">
        <v>3</v>
      </c>
      <c r="J468" s="2">
        <v>277.63</v>
      </c>
      <c r="K468" s="4">
        <v>0.1</v>
      </c>
      <c r="L468" t="s">
        <v>90</v>
      </c>
      <c r="M468">
        <v>3</v>
      </c>
      <c r="N468" t="s">
        <v>91</v>
      </c>
      <c r="O468" t="str">
        <f>SUBSTITUTE(PROPER(TRIM(RawSalesTable[[#This Row],[Channel_Raw]])), "Market Place", "Marketplace")</f>
        <v>Retail Store</v>
      </c>
      <c r="P468" t="str">
        <f>TRIM(RawSalesTable[[#This Row],[Store_Raw]])</f>
        <v>Toronto Downtown</v>
      </c>
      <c r="Q468" t="str">
        <f>IF(TRIM(RawSalesTable[[#This Row],[Payment_Method_Raw]])="","Non renseigné",SUBSTITUTE(TRIM(RawSalesTable[[#This Row],[Payment_Method_Raw]]),"CC","Credit Card"))</f>
        <v>PayPal</v>
      </c>
      <c r="R468" s="8" t="str">
        <f>UPPER(PROPER(RawSalesTable[[#This Row],[Customer_ID]]))</f>
        <v>C0038</v>
      </c>
      <c r="S468" s="8" t="str">
        <f>TRIM(LEFT(RawSalesTable[[#This Row],[Customer_Info]],FIND(",",RawSalesTable[[#This Row],[Customer_Info]]) -1))</f>
        <v>Noah Brown</v>
      </c>
      <c r="T468" s="8" t="str">
        <f>TRIM(MID(RawSalesTable[[#This Row],[Customer_Info]],FIND(",",RawSalesTable[[#This Row],[Customer_Info]])+1,FIND(",",RawSalesTable[[#This Row],[Customer_Info]],FIND(",",RawSalesTable[[#This Row],[Customer_Info]])+1)-FIND(",",RawSalesTable[[#This Row],[Customer_Info]])-1))</f>
        <v>Montreal</v>
      </c>
      <c r="U468" s="8" t="str">
        <f>TRIM(RIGHT(RawSalesTable[[#This Row],[Customer_Info]], LEN(RawSalesTable[[#This Row],[Customer_Info]])-FIND(",",RawSalesTable[[#This Row],[Customer_Info]],FIND(",",RawSalesTable[[#This Row],[Customer_Info]])+1)))</f>
        <v>Consumer</v>
      </c>
      <c r="V468" s="8" t="str">
        <f>VLOOKUP(RawSalesTable[[#This Row],[Product_ID]],ProductsTable[],2,FALSE)</f>
        <v>Notebook</v>
      </c>
      <c r="W468" s="8" t="str">
        <f>VLOOKUP(RawSalesTable[[#This Row],[Product_ID]],ProductsTable[],3,FALSE)</f>
        <v>Office</v>
      </c>
      <c r="X468" s="8">
        <f>VLOOKUP(RawSalesTable[[#This Row],[Product_ID]],ProductsTable[],5,FALSE)</f>
        <v>176.13</v>
      </c>
      <c r="Y468" s="8">
        <f>RawSalesTable[[#This Row],[Quantity]]*RawSalesTable[[#This Row],[Unit_Price]]</f>
        <v>832.89</v>
      </c>
      <c r="Z468" s="8">
        <f>RawSalesTable[[#This Row],[Gross_Sales]]*RawSalesTable[[#This Row],[Discount_Pct]]</f>
        <v>83.289000000000001</v>
      </c>
      <c r="AA468" s="8">
        <f>RawSalesTable[[#This Row],[Gross_Sales]]-RawSalesTable[[#This Row],[Discount_Amount]]</f>
        <v>749.601</v>
      </c>
      <c r="AB468" s="8">
        <f>RawSalesTable[[#This Row],[Unit_Cost]]*RawSalesTable[[#This Row],[Quantity]]</f>
        <v>528.39</v>
      </c>
      <c r="AC468" s="8">
        <f>RawSalesTable[[#This Row],[Net_Sales]]-RawSalesTable[[#This Row],[Total_Cost]]</f>
        <v>221.21100000000001</v>
      </c>
      <c r="AD468" s="9">
        <f>RawSalesTable[[#This Row],[Profit]]/RawSalesTable[[#This Row],[Net_Sales]]</f>
        <v>0.29510499585779637</v>
      </c>
      <c r="AE468" s="8">
        <f>IF(RawSalesTable[[#This Row],[Return_Status]]="Yes",1,0)</f>
        <v>0</v>
      </c>
      <c r="AF468" s="8">
        <f>YEAR(RawSalesTable[[#This Row],[Order_Date]])</f>
        <v>2025</v>
      </c>
      <c r="AG468" s="8">
        <f>MONTH(RawSalesTable[[#This Row],[Order_Date]])</f>
        <v>3</v>
      </c>
      <c r="AH468" s="8" t="str">
        <f>TEXT(RawSalesTable[[#This Row],[Order_Date]],"mmmm")</f>
        <v>mars</v>
      </c>
      <c r="AI468" s="8" t="str">
        <f>IF(RawSalesTable[[#This Row],[Month_Number]]&lt;=3,"Q1",IF(RawSalesTable[[#This Row],[Month_Number]]&lt;=6,"Q2",IF(RawSalesTable[[#This Row],[Month_Number]]&lt;=9,"Q3","Q4")))</f>
        <v>Q1</v>
      </c>
      <c r="AJ468" s="13">
        <f>DATE(YEAR(RawSalesTable[[#This Row],[Order_Date]]),MONTH(RawSalesTable[[#This Row],[Order_Date]]),1)</f>
        <v>45717</v>
      </c>
      <c r="AK468" s="8" t="str">
        <f>VLOOKUP(RawSalesTable[[#This Row],[Customer_ID_clean]],CustomersTable[],4,FALSE)</f>
        <v>Quebec</v>
      </c>
    </row>
    <row r="469" spans="1:37">
      <c r="A469" t="s">
        <v>891</v>
      </c>
      <c r="B469" s="3">
        <v>45984</v>
      </c>
      <c r="C469" t="s">
        <v>613</v>
      </c>
      <c r="D469" t="s">
        <v>277</v>
      </c>
      <c r="E469" t="s">
        <v>710</v>
      </c>
      <c r="F469" t="s">
        <v>111</v>
      </c>
      <c r="G469" t="s">
        <v>104</v>
      </c>
      <c r="H469" t="s">
        <v>97</v>
      </c>
      <c r="I469">
        <v>1</v>
      </c>
      <c r="J469" s="2">
        <v>392.21</v>
      </c>
      <c r="K469" s="4">
        <v>0</v>
      </c>
      <c r="L469" t="s">
        <v>106</v>
      </c>
      <c r="M469">
        <v>1</v>
      </c>
      <c r="N469" t="s">
        <v>91</v>
      </c>
      <c r="O469" t="str">
        <f>SUBSTITUTE(PROPER(TRIM(RawSalesTable[[#This Row],[Channel_Raw]])), "Market Place", "Marketplace")</f>
        <v>Retail Store</v>
      </c>
      <c r="P469" t="str">
        <f>TRIM(RawSalesTable[[#This Row],[Store_Raw]])</f>
        <v>Montreal Central</v>
      </c>
      <c r="Q469" t="str">
        <f>IF(TRIM(RawSalesTable[[#This Row],[Payment_Method_Raw]])="","Non renseigné",SUBSTITUTE(TRIM(RawSalesTable[[#This Row],[Payment_Method_Raw]]),"CC","Credit Card"))</f>
        <v>Credit Card</v>
      </c>
      <c r="R469" s="8" t="str">
        <f>UPPER(PROPER(RawSalesTable[[#This Row],[Customer_ID]]))</f>
        <v>C0060</v>
      </c>
      <c r="S469" s="8" t="str">
        <f>TRIM(LEFT(RawSalesTable[[#This Row],[Customer_Info]],FIND(",",RawSalesTable[[#This Row],[Customer_Info]]) -1))</f>
        <v>Sarah Wilson</v>
      </c>
      <c r="T469" s="8" t="str">
        <f>TRIM(MID(RawSalesTable[[#This Row],[Customer_Info]],FIND(",",RawSalesTable[[#This Row],[Customer_Info]])+1,FIND(",",RawSalesTable[[#This Row],[Customer_Info]],FIND(",",RawSalesTable[[#This Row],[Customer_Info]])+1)-FIND(",",RawSalesTable[[#This Row],[Customer_Info]])-1))</f>
        <v>Quebec City</v>
      </c>
      <c r="U469" s="8" t="str">
        <f>TRIM(RIGHT(RawSalesTable[[#This Row],[Customer_Info]], LEN(RawSalesTable[[#This Row],[Customer_Info]])-FIND(",",RawSalesTable[[#This Row],[Customer_Info]],FIND(",",RawSalesTable[[#This Row],[Customer_Info]])+1)))</f>
        <v>Corporate</v>
      </c>
      <c r="V469" s="8" t="str">
        <f>VLOOKUP(RawSalesTable[[#This Row],[Product_ID]],ProductsTable[],2,FALSE)</f>
        <v>Headphones</v>
      </c>
      <c r="W469" s="8" t="str">
        <f>VLOOKUP(RawSalesTable[[#This Row],[Product_ID]],ProductsTable[],3,FALSE)</f>
        <v>Electronics</v>
      </c>
      <c r="X469" s="8">
        <f>VLOOKUP(RawSalesTable[[#This Row],[Product_ID]],ProductsTable[],5,FALSE)</f>
        <v>254.6</v>
      </c>
      <c r="Y469" s="8">
        <f>RawSalesTable[[#This Row],[Quantity]]*RawSalesTable[[#This Row],[Unit_Price]]</f>
        <v>392.21</v>
      </c>
      <c r="Z469" s="8">
        <f>RawSalesTable[[#This Row],[Gross_Sales]]*RawSalesTable[[#This Row],[Discount_Pct]]</f>
        <v>0</v>
      </c>
      <c r="AA469" s="8">
        <f>RawSalesTable[[#This Row],[Gross_Sales]]-RawSalesTable[[#This Row],[Discount_Amount]]</f>
        <v>392.21</v>
      </c>
      <c r="AB469" s="8">
        <f>RawSalesTable[[#This Row],[Unit_Cost]]*RawSalesTable[[#This Row],[Quantity]]</f>
        <v>254.6</v>
      </c>
      <c r="AC469" s="8">
        <f>RawSalesTable[[#This Row],[Net_Sales]]-RawSalesTable[[#This Row],[Total_Cost]]</f>
        <v>137.60999999999999</v>
      </c>
      <c r="AD469" s="9">
        <f>RawSalesTable[[#This Row],[Profit]]/RawSalesTable[[#This Row],[Net_Sales]]</f>
        <v>0.35085795874658982</v>
      </c>
      <c r="AE469" s="8">
        <f>IF(RawSalesTable[[#This Row],[Return_Status]]="Yes",1,0)</f>
        <v>0</v>
      </c>
      <c r="AF469" s="8">
        <f>YEAR(RawSalesTable[[#This Row],[Order_Date]])</f>
        <v>2025</v>
      </c>
      <c r="AG469" s="8">
        <f>MONTH(RawSalesTable[[#This Row],[Order_Date]])</f>
        <v>11</v>
      </c>
      <c r="AH469" s="8" t="str">
        <f>TEXT(RawSalesTable[[#This Row],[Order_Date]],"mmmm")</f>
        <v>novembre</v>
      </c>
      <c r="AI469" s="8" t="str">
        <f>IF(RawSalesTable[[#This Row],[Month_Number]]&lt;=3,"Q1",IF(RawSalesTable[[#This Row],[Month_Number]]&lt;=6,"Q2",IF(RawSalesTable[[#This Row],[Month_Number]]&lt;=9,"Q3","Q4")))</f>
        <v>Q4</v>
      </c>
      <c r="AJ469" s="13">
        <f>DATE(YEAR(RawSalesTable[[#This Row],[Order_Date]]),MONTH(RawSalesTable[[#This Row],[Order_Date]]),1)</f>
        <v>45962</v>
      </c>
      <c r="AK469" s="8" t="str">
        <f>VLOOKUP(RawSalesTable[[#This Row],[Customer_ID_clean]],CustomersTable[],4,FALSE)</f>
        <v>Quebec</v>
      </c>
    </row>
    <row r="470" spans="1:37">
      <c r="A470" t="s">
        <v>892</v>
      </c>
      <c r="B470" s="3">
        <v>45896</v>
      </c>
      <c r="C470" t="s">
        <v>359</v>
      </c>
      <c r="D470" t="s">
        <v>190</v>
      </c>
      <c r="E470" t="s">
        <v>361</v>
      </c>
      <c r="F470" t="s">
        <v>103</v>
      </c>
      <c r="G470" t="s">
        <v>96</v>
      </c>
      <c r="H470" t="s">
        <v>89</v>
      </c>
      <c r="I470">
        <v>1</v>
      </c>
      <c r="J470" s="2">
        <v>279.77</v>
      </c>
      <c r="K470" s="4">
        <v>0</v>
      </c>
      <c r="L470" t="s">
        <v>98</v>
      </c>
      <c r="M470">
        <v>4</v>
      </c>
      <c r="N470" t="s">
        <v>91</v>
      </c>
      <c r="O470" t="str">
        <f>SUBSTITUTE(PROPER(TRIM(RawSalesTable[[#This Row],[Channel_Raw]])), "Market Place", "Marketplace")</f>
        <v>Online</v>
      </c>
      <c r="P470" t="str">
        <f>TRIM(RawSalesTable[[#This Row],[Store_Raw]])</f>
        <v>Vancouver West</v>
      </c>
      <c r="Q470" t="str">
        <f>IF(TRIM(RawSalesTable[[#This Row],[Payment_Method_Raw]])="","Non renseigné",SUBSTITUTE(TRIM(RawSalesTable[[#This Row],[Payment_Method_Raw]]),"CC","Credit Card"))</f>
        <v>Debit Card</v>
      </c>
      <c r="R470" s="8" t="str">
        <f>UPPER(PROPER(RawSalesTable[[#This Row],[Customer_ID]]))</f>
        <v>C0044</v>
      </c>
      <c r="S470" s="8" t="str">
        <f>TRIM(LEFT(RawSalesTable[[#This Row],[Customer_Info]],FIND(",",RawSalesTable[[#This Row],[Customer_Info]]) -1))</f>
        <v>Nora Young</v>
      </c>
      <c r="T470" s="8" t="str">
        <f>TRIM(MID(RawSalesTable[[#This Row],[Customer_Info]],FIND(",",RawSalesTable[[#This Row],[Customer_Info]])+1,FIND(",",RawSalesTable[[#This Row],[Customer_Info]],FIND(",",RawSalesTable[[#This Row],[Customer_Info]])+1)-FIND(",",RawSalesTable[[#This Row],[Customer_Info]])-1))</f>
        <v>Vancouver</v>
      </c>
      <c r="U470" s="8" t="str">
        <f>TRIM(RIGHT(RawSalesTable[[#This Row],[Customer_Info]], LEN(RawSalesTable[[#This Row],[Customer_Info]])-FIND(",",RawSalesTable[[#This Row],[Customer_Info]],FIND(",",RawSalesTable[[#This Row],[Customer_Info]])+1)))</f>
        <v>Corporate</v>
      </c>
      <c r="V470" s="8" t="str">
        <f>VLOOKUP(RawSalesTable[[#This Row],[Product_ID]],ProductsTable[],2,FALSE)</f>
        <v>Webcam</v>
      </c>
      <c r="W470" s="8" t="str">
        <f>VLOOKUP(RawSalesTable[[#This Row],[Product_ID]],ProductsTable[],3,FALSE)</f>
        <v>Electronics</v>
      </c>
      <c r="X470" s="8">
        <f>VLOOKUP(RawSalesTable[[#This Row],[Product_ID]],ProductsTable[],5,FALSE)</f>
        <v>154.72999999999999</v>
      </c>
      <c r="Y470" s="8">
        <f>RawSalesTable[[#This Row],[Quantity]]*RawSalesTable[[#This Row],[Unit_Price]]</f>
        <v>279.77</v>
      </c>
      <c r="Z470" s="8">
        <f>RawSalesTable[[#This Row],[Gross_Sales]]*RawSalesTable[[#This Row],[Discount_Pct]]</f>
        <v>0</v>
      </c>
      <c r="AA470" s="8">
        <f>RawSalesTable[[#This Row],[Gross_Sales]]-RawSalesTable[[#This Row],[Discount_Amount]]</f>
        <v>279.77</v>
      </c>
      <c r="AB470" s="8">
        <f>RawSalesTable[[#This Row],[Unit_Cost]]*RawSalesTable[[#This Row],[Quantity]]</f>
        <v>154.72999999999999</v>
      </c>
      <c r="AC470" s="8">
        <f>RawSalesTable[[#This Row],[Net_Sales]]-RawSalesTable[[#This Row],[Total_Cost]]</f>
        <v>125.03999999999999</v>
      </c>
      <c r="AD470" s="9">
        <f>RawSalesTable[[#This Row],[Profit]]/RawSalesTable[[#This Row],[Net_Sales]]</f>
        <v>0.44693855667155163</v>
      </c>
      <c r="AE470" s="8">
        <f>IF(RawSalesTable[[#This Row],[Return_Status]]="Yes",1,0)</f>
        <v>0</v>
      </c>
      <c r="AF470" s="8">
        <f>YEAR(RawSalesTable[[#This Row],[Order_Date]])</f>
        <v>2025</v>
      </c>
      <c r="AG470" s="8">
        <f>MONTH(RawSalesTable[[#This Row],[Order_Date]])</f>
        <v>8</v>
      </c>
      <c r="AH470" s="8" t="str">
        <f>TEXT(RawSalesTable[[#This Row],[Order_Date]],"mmmm")</f>
        <v>août</v>
      </c>
      <c r="AI470" s="8" t="str">
        <f>IF(RawSalesTable[[#This Row],[Month_Number]]&lt;=3,"Q1",IF(RawSalesTable[[#This Row],[Month_Number]]&lt;=6,"Q2",IF(RawSalesTable[[#This Row],[Month_Number]]&lt;=9,"Q3","Q4")))</f>
        <v>Q3</v>
      </c>
      <c r="AJ470" s="13">
        <f>DATE(YEAR(RawSalesTable[[#This Row],[Order_Date]]),MONTH(RawSalesTable[[#This Row],[Order_Date]]),1)</f>
        <v>45870</v>
      </c>
      <c r="AK470" s="8" t="str">
        <f>VLOOKUP(RawSalesTable[[#This Row],[Customer_ID_clean]],CustomersTable[],4,FALSE)</f>
        <v>British Columbia</v>
      </c>
    </row>
    <row r="471" spans="1:37">
      <c r="A471" t="s">
        <v>893</v>
      </c>
      <c r="B471" s="3">
        <v>45754</v>
      </c>
      <c r="C471" t="s">
        <v>225</v>
      </c>
      <c r="D471" t="s">
        <v>165</v>
      </c>
      <c r="E471" t="s">
        <v>227</v>
      </c>
      <c r="F471" t="s">
        <v>111</v>
      </c>
      <c r="G471" t="s">
        <v>104</v>
      </c>
      <c r="H471" t="s">
        <v>105</v>
      </c>
      <c r="I471">
        <v>1</v>
      </c>
      <c r="J471" s="2">
        <v>103.89</v>
      </c>
      <c r="K471" s="4">
        <v>0.25</v>
      </c>
      <c r="L471" t="s">
        <v>98</v>
      </c>
      <c r="M471">
        <v>8</v>
      </c>
      <c r="N471" t="s">
        <v>91</v>
      </c>
      <c r="O471" t="str">
        <f>SUBSTITUTE(PROPER(TRIM(RawSalesTable[[#This Row],[Channel_Raw]])), "Market Place", "Marketplace")</f>
        <v>Marketplace</v>
      </c>
      <c r="P471" t="str">
        <f>TRIM(RawSalesTable[[#This Row],[Store_Raw]])</f>
        <v>Montreal Central</v>
      </c>
      <c r="Q471" t="str">
        <f>IF(TRIM(RawSalesTable[[#This Row],[Payment_Method_Raw]])="","Non renseigné",SUBSTITUTE(TRIM(RawSalesTable[[#This Row],[Payment_Method_Raw]]),"CC","Credit Card"))</f>
        <v>Debit Card</v>
      </c>
      <c r="R471" s="8" t="str">
        <f>UPPER(PROPER(RawSalesTable[[#This Row],[Customer_ID]]))</f>
        <v>C0110</v>
      </c>
      <c r="S471" s="8" t="str">
        <f>TRIM(LEFT(RawSalesTable[[#This Row],[Customer_Info]],FIND(",",RawSalesTable[[#This Row],[Customer_Info]]) -1))</f>
        <v>Sarah Smith</v>
      </c>
      <c r="T471" s="8" t="str">
        <f>TRIM(MID(RawSalesTable[[#This Row],[Customer_Info]],FIND(",",RawSalesTable[[#This Row],[Customer_Info]])+1,FIND(",",RawSalesTable[[#This Row],[Customer_Info]],FIND(",",RawSalesTable[[#This Row],[Customer_Info]])+1)-FIND(",",RawSalesTable[[#This Row],[Customer_Info]])-1))</f>
        <v>Laval</v>
      </c>
      <c r="U471" s="8" t="str">
        <f>TRIM(RIGHT(RawSalesTable[[#This Row],[Customer_Info]], LEN(RawSalesTable[[#This Row],[Customer_Info]])-FIND(",",RawSalesTable[[#This Row],[Customer_Info]],FIND(",",RawSalesTable[[#This Row],[Customer_Info]])+1)))</f>
        <v>Consumer</v>
      </c>
      <c r="V471" s="8" t="str">
        <f>VLOOKUP(RawSalesTable[[#This Row],[Product_ID]],ProductsTable[],2,FALSE)</f>
        <v>Food Scale</v>
      </c>
      <c r="W471" s="8" t="str">
        <f>VLOOKUP(RawSalesTable[[#This Row],[Product_ID]],ProductsTable[],3,FALSE)</f>
        <v>Home</v>
      </c>
      <c r="X471" s="8">
        <f>VLOOKUP(RawSalesTable[[#This Row],[Product_ID]],ProductsTable[],5,FALSE)</f>
        <v>46.07</v>
      </c>
      <c r="Y471" s="8">
        <f>RawSalesTable[[#This Row],[Quantity]]*RawSalesTable[[#This Row],[Unit_Price]]</f>
        <v>103.89</v>
      </c>
      <c r="Z471" s="8">
        <f>RawSalesTable[[#This Row],[Gross_Sales]]*RawSalesTable[[#This Row],[Discount_Pct]]</f>
        <v>25.9725</v>
      </c>
      <c r="AA471" s="8">
        <f>RawSalesTable[[#This Row],[Gross_Sales]]-RawSalesTable[[#This Row],[Discount_Amount]]</f>
        <v>77.917500000000004</v>
      </c>
      <c r="AB471" s="8">
        <f>RawSalesTable[[#This Row],[Unit_Cost]]*RawSalesTable[[#This Row],[Quantity]]</f>
        <v>46.07</v>
      </c>
      <c r="AC471" s="8">
        <f>RawSalesTable[[#This Row],[Net_Sales]]-RawSalesTable[[#This Row],[Total_Cost]]</f>
        <v>31.847500000000004</v>
      </c>
      <c r="AD471" s="9">
        <f>RawSalesTable[[#This Row],[Profit]]/RawSalesTable[[#This Row],[Net_Sales]]</f>
        <v>0.40873359643212376</v>
      </c>
      <c r="AE471" s="8">
        <f>IF(RawSalesTable[[#This Row],[Return_Status]]="Yes",1,0)</f>
        <v>0</v>
      </c>
      <c r="AF471" s="8">
        <f>YEAR(RawSalesTable[[#This Row],[Order_Date]])</f>
        <v>2025</v>
      </c>
      <c r="AG471" s="8">
        <f>MONTH(RawSalesTable[[#This Row],[Order_Date]])</f>
        <v>4</v>
      </c>
      <c r="AH471" s="8" t="str">
        <f>TEXT(RawSalesTable[[#This Row],[Order_Date]],"mmmm")</f>
        <v>avril</v>
      </c>
      <c r="AI471" s="8" t="str">
        <f>IF(RawSalesTable[[#This Row],[Month_Number]]&lt;=3,"Q1",IF(RawSalesTable[[#This Row],[Month_Number]]&lt;=6,"Q2",IF(RawSalesTable[[#This Row],[Month_Number]]&lt;=9,"Q3","Q4")))</f>
        <v>Q2</v>
      </c>
      <c r="AJ471" s="13">
        <f>DATE(YEAR(RawSalesTable[[#This Row],[Order_Date]]),MONTH(RawSalesTable[[#This Row],[Order_Date]]),1)</f>
        <v>45748</v>
      </c>
      <c r="AK471" s="8" t="str">
        <f>VLOOKUP(RawSalesTable[[#This Row],[Customer_ID_clean]],CustomersTable[],4,FALSE)</f>
        <v>Quebec</v>
      </c>
    </row>
    <row r="472" spans="1:37">
      <c r="A472" t="s">
        <v>895</v>
      </c>
      <c r="B472" s="3">
        <v>45912</v>
      </c>
      <c r="C472" t="s">
        <v>316</v>
      </c>
      <c r="D472" t="s">
        <v>85</v>
      </c>
      <c r="E472" t="s">
        <v>317</v>
      </c>
      <c r="F472" t="s">
        <v>103</v>
      </c>
      <c r="G472" t="s">
        <v>96</v>
      </c>
      <c r="H472" t="s">
        <v>105</v>
      </c>
      <c r="I472">
        <v>1</v>
      </c>
      <c r="J472" s="2">
        <v>295.25</v>
      </c>
      <c r="K472" s="4">
        <v>0.1</v>
      </c>
      <c r="L472" t="s">
        <v>154</v>
      </c>
      <c r="M472">
        <v>5</v>
      </c>
      <c r="N472" t="s">
        <v>91</v>
      </c>
      <c r="O472" t="str">
        <f>SUBSTITUTE(PROPER(TRIM(RawSalesTable[[#This Row],[Channel_Raw]])), "Market Place", "Marketplace")</f>
        <v>Marketplace</v>
      </c>
      <c r="P472" t="str">
        <f>TRIM(RawSalesTable[[#This Row],[Store_Raw]])</f>
        <v>Vancouver West</v>
      </c>
      <c r="Q472" t="str">
        <f>IF(TRIM(RawSalesTable[[#This Row],[Payment_Method_Raw]])="","Non renseigné",SUBSTITUTE(TRIM(RawSalesTable[[#This Row],[Payment_Method_Raw]]),"CC","Credit Card"))</f>
        <v>Gift Card</v>
      </c>
      <c r="R472" s="8" t="str">
        <f>UPPER(PROPER(RawSalesTable[[#This Row],[Customer_ID]]))</f>
        <v>C0075</v>
      </c>
      <c r="S472" s="8" t="str">
        <f>TRIM(LEFT(RawSalesTable[[#This Row],[Customer_Info]],FIND(",",RawSalesTable[[#This Row],[Customer_Info]]) -1))</f>
        <v>Amelia Wilson</v>
      </c>
      <c r="T472" s="8" t="str">
        <f>TRIM(MID(RawSalesTable[[#This Row],[Customer_Info]],FIND(",",RawSalesTable[[#This Row],[Customer_Info]])+1,FIND(",",RawSalesTable[[#This Row],[Customer_Info]],FIND(",",RawSalesTable[[#This Row],[Customer_Info]])+1)-FIND(",",RawSalesTable[[#This Row],[Customer_Info]])-1))</f>
        <v>Vancouver</v>
      </c>
      <c r="U472" s="8" t="str">
        <f>TRIM(RIGHT(RawSalesTable[[#This Row],[Customer_Info]], LEN(RawSalesTable[[#This Row],[Customer_Info]])-FIND(",",RawSalesTable[[#This Row],[Customer_Info]],FIND(",",RawSalesTable[[#This Row],[Customer_Info]])+1)))</f>
        <v>Consumer</v>
      </c>
      <c r="V472" s="8" t="str">
        <f>VLOOKUP(RawSalesTable[[#This Row],[Product_ID]],ProductsTable[],2,FALSE)</f>
        <v>Yoga Mat</v>
      </c>
      <c r="W472" s="8" t="str">
        <f>VLOOKUP(RawSalesTable[[#This Row],[Product_ID]],ProductsTable[],3,FALSE)</f>
        <v>Fitness</v>
      </c>
      <c r="X472" s="8">
        <f>VLOOKUP(RawSalesTable[[#This Row],[Product_ID]],ProductsTable[],5,FALSE)</f>
        <v>197.33</v>
      </c>
      <c r="Y472" s="8">
        <f>RawSalesTable[[#This Row],[Quantity]]*RawSalesTable[[#This Row],[Unit_Price]]</f>
        <v>295.25</v>
      </c>
      <c r="Z472" s="8">
        <f>RawSalesTable[[#This Row],[Gross_Sales]]*RawSalesTable[[#This Row],[Discount_Pct]]</f>
        <v>29.525000000000002</v>
      </c>
      <c r="AA472" s="8">
        <f>RawSalesTable[[#This Row],[Gross_Sales]]-RawSalesTable[[#This Row],[Discount_Amount]]</f>
        <v>265.72500000000002</v>
      </c>
      <c r="AB472" s="8">
        <f>RawSalesTable[[#This Row],[Unit_Cost]]*RawSalesTable[[#This Row],[Quantity]]</f>
        <v>197.33</v>
      </c>
      <c r="AC472" s="8">
        <f>RawSalesTable[[#This Row],[Net_Sales]]-RawSalesTable[[#This Row],[Total_Cost]]</f>
        <v>68.39500000000001</v>
      </c>
      <c r="AD472" s="9">
        <f>RawSalesTable[[#This Row],[Profit]]/RawSalesTable[[#This Row],[Net_Sales]]</f>
        <v>0.25739015899896511</v>
      </c>
      <c r="AE472" s="8">
        <f>IF(RawSalesTable[[#This Row],[Return_Status]]="Yes",1,0)</f>
        <v>0</v>
      </c>
      <c r="AF472" s="8">
        <f>YEAR(RawSalesTable[[#This Row],[Order_Date]])</f>
        <v>2025</v>
      </c>
      <c r="AG472" s="8">
        <f>MONTH(RawSalesTable[[#This Row],[Order_Date]])</f>
        <v>9</v>
      </c>
      <c r="AH472" s="8" t="str">
        <f>TEXT(RawSalesTable[[#This Row],[Order_Date]],"mmmm")</f>
        <v>septembre</v>
      </c>
      <c r="AI472" s="8" t="str">
        <f>IF(RawSalesTable[[#This Row],[Month_Number]]&lt;=3,"Q1",IF(RawSalesTable[[#This Row],[Month_Number]]&lt;=6,"Q2",IF(RawSalesTable[[#This Row],[Month_Number]]&lt;=9,"Q3","Q4")))</f>
        <v>Q3</v>
      </c>
      <c r="AJ472" s="13">
        <f>DATE(YEAR(RawSalesTable[[#This Row],[Order_Date]]),MONTH(RawSalesTable[[#This Row],[Order_Date]]),1)</f>
        <v>45901</v>
      </c>
      <c r="AK472" s="8" t="str">
        <f>VLOOKUP(RawSalesTable[[#This Row],[Customer_ID_clean]],CustomersTable[],4,FALSE)</f>
        <v>British Columbia</v>
      </c>
    </row>
    <row r="473" spans="1:37">
      <c r="A473" t="s">
        <v>896</v>
      </c>
      <c r="B473" s="3">
        <v>45685</v>
      </c>
      <c r="C473" t="s">
        <v>516</v>
      </c>
      <c r="D473" t="s">
        <v>255</v>
      </c>
      <c r="E473" t="s">
        <v>517</v>
      </c>
      <c r="F473" t="s">
        <v>87</v>
      </c>
      <c r="G473" t="s">
        <v>130</v>
      </c>
      <c r="H473" t="s">
        <v>105</v>
      </c>
      <c r="I473">
        <v>1</v>
      </c>
      <c r="J473" s="2">
        <v>252.23</v>
      </c>
      <c r="K473" s="4">
        <v>0</v>
      </c>
      <c r="L473" t="s">
        <v>98</v>
      </c>
      <c r="M473">
        <v>2</v>
      </c>
      <c r="N473" t="s">
        <v>91</v>
      </c>
      <c r="O473" t="str">
        <f>SUBSTITUTE(PROPER(TRIM(RawSalesTable[[#This Row],[Channel_Raw]])), "Market Place", "Marketplace")</f>
        <v>Marketplace</v>
      </c>
      <c r="P473" t="str">
        <f>TRIM(RawSalesTable[[#This Row],[Store_Raw]])</f>
        <v>Online Fulfillment</v>
      </c>
      <c r="Q473" t="str">
        <f>IF(TRIM(RawSalesTable[[#This Row],[Payment_Method_Raw]])="","Non renseigné",SUBSTITUTE(TRIM(RawSalesTable[[#This Row],[Payment_Method_Raw]]),"CC","Credit Card"))</f>
        <v>Debit Card</v>
      </c>
      <c r="R473" s="8" t="str">
        <f>UPPER(PROPER(RawSalesTable[[#This Row],[Customer_ID]]))</f>
        <v>C0120</v>
      </c>
      <c r="S473" s="8" t="str">
        <f>TRIM(LEFT(RawSalesTable[[#This Row],[Customer_Info]],FIND(",",RawSalesTable[[#This Row],[Customer_Info]]) -1))</f>
        <v>Ethan King</v>
      </c>
      <c r="T473" s="8" t="str">
        <f>TRIM(MID(RawSalesTable[[#This Row],[Customer_Info]],FIND(",",RawSalesTable[[#This Row],[Customer_Info]])+1,FIND(",",RawSalesTable[[#This Row],[Customer_Info]],FIND(",",RawSalesTable[[#This Row],[Customer_Info]])+1)-FIND(",",RawSalesTable[[#This Row],[Customer_Info]])-1))</f>
        <v>Mississauga</v>
      </c>
      <c r="U473" s="8" t="str">
        <f>TRIM(RIGHT(RawSalesTable[[#This Row],[Customer_Info]], LEN(RawSalesTable[[#This Row],[Customer_Info]])-FIND(",",RawSalesTable[[#This Row],[Customer_Info]],FIND(",",RawSalesTable[[#This Row],[Customer_Info]])+1)))</f>
        <v>Small Business</v>
      </c>
      <c r="V473" s="8" t="str">
        <f>VLOOKUP(RawSalesTable[[#This Row],[Product_ID]],ProductsTable[],2,FALSE)</f>
        <v>Document Shredder</v>
      </c>
      <c r="W473" s="8" t="str">
        <f>VLOOKUP(RawSalesTable[[#This Row],[Product_ID]],ProductsTable[],3,FALSE)</f>
        <v>Office</v>
      </c>
      <c r="X473" s="8">
        <f>VLOOKUP(RawSalesTable[[#This Row],[Product_ID]],ProductsTable[],5,FALSE)</f>
        <v>117.65</v>
      </c>
      <c r="Y473" s="8">
        <f>RawSalesTable[[#This Row],[Quantity]]*RawSalesTable[[#This Row],[Unit_Price]]</f>
        <v>252.23</v>
      </c>
      <c r="Z473" s="8">
        <f>RawSalesTable[[#This Row],[Gross_Sales]]*RawSalesTable[[#This Row],[Discount_Pct]]</f>
        <v>0</v>
      </c>
      <c r="AA473" s="8">
        <f>RawSalesTable[[#This Row],[Gross_Sales]]-RawSalesTable[[#This Row],[Discount_Amount]]</f>
        <v>252.23</v>
      </c>
      <c r="AB473" s="8">
        <f>RawSalesTable[[#This Row],[Unit_Cost]]*RawSalesTable[[#This Row],[Quantity]]</f>
        <v>117.65</v>
      </c>
      <c r="AC473" s="8">
        <f>RawSalesTable[[#This Row],[Net_Sales]]-RawSalesTable[[#This Row],[Total_Cost]]</f>
        <v>134.57999999999998</v>
      </c>
      <c r="AD473" s="9">
        <f>RawSalesTable[[#This Row],[Profit]]/RawSalesTable[[#This Row],[Net_Sales]]</f>
        <v>0.53356063909923479</v>
      </c>
      <c r="AE473" s="8">
        <f>IF(RawSalesTable[[#This Row],[Return_Status]]="Yes",1,0)</f>
        <v>0</v>
      </c>
      <c r="AF473" s="8">
        <f>YEAR(RawSalesTable[[#This Row],[Order_Date]])</f>
        <v>2025</v>
      </c>
      <c r="AG473" s="8">
        <f>MONTH(RawSalesTable[[#This Row],[Order_Date]])</f>
        <v>1</v>
      </c>
      <c r="AH473" s="8" t="str">
        <f>TEXT(RawSalesTable[[#This Row],[Order_Date]],"mmmm")</f>
        <v>janvier</v>
      </c>
      <c r="AI473" s="8" t="str">
        <f>IF(RawSalesTable[[#This Row],[Month_Number]]&lt;=3,"Q1",IF(RawSalesTable[[#This Row],[Month_Number]]&lt;=6,"Q2",IF(RawSalesTable[[#This Row],[Month_Number]]&lt;=9,"Q3","Q4")))</f>
        <v>Q1</v>
      </c>
      <c r="AJ473" s="13">
        <f>DATE(YEAR(RawSalesTable[[#This Row],[Order_Date]]),MONTH(RawSalesTable[[#This Row],[Order_Date]]),1)</f>
        <v>45658</v>
      </c>
      <c r="AK473" s="8" t="str">
        <f>VLOOKUP(RawSalesTable[[#This Row],[Customer_ID_clean]],CustomersTable[],4,FALSE)</f>
        <v>Ontario</v>
      </c>
    </row>
    <row r="474" spans="1:37">
      <c r="A474" t="s">
        <v>897</v>
      </c>
      <c r="B474" s="3">
        <v>45906</v>
      </c>
      <c r="C474" t="s">
        <v>359</v>
      </c>
      <c r="D474" t="s">
        <v>114</v>
      </c>
      <c r="E474" t="s">
        <v>361</v>
      </c>
      <c r="F474" t="s">
        <v>103</v>
      </c>
      <c r="G474" t="s">
        <v>171</v>
      </c>
      <c r="H474" t="s">
        <v>105</v>
      </c>
      <c r="I474">
        <v>3</v>
      </c>
      <c r="J474" s="2">
        <v>145.91999999999999</v>
      </c>
      <c r="K474" s="4">
        <v>0</v>
      </c>
      <c r="L474" t="s">
        <v>504</v>
      </c>
      <c r="M474">
        <v>7</v>
      </c>
      <c r="N474" t="s">
        <v>91</v>
      </c>
      <c r="O474" t="str">
        <f>SUBSTITUTE(PROPER(TRIM(RawSalesTable[[#This Row],[Channel_Raw]])), "Market Place", "Marketplace")</f>
        <v>Marketplace</v>
      </c>
      <c r="P474" t="str">
        <f>TRIM(RawSalesTable[[#This Row],[Store_Raw]])</f>
        <v>Vancouver West</v>
      </c>
      <c r="Q474" t="str">
        <f>IF(TRIM(RawSalesTable[[#This Row],[Payment_Method_Raw]])="","Non renseigné",SUBSTITUTE(TRIM(RawSalesTable[[#This Row],[Payment_Method_Raw]]),"CC","Credit Card"))</f>
        <v>Debit Card</v>
      </c>
      <c r="R474" s="8" t="str">
        <f>UPPER(PROPER(RawSalesTable[[#This Row],[Customer_ID]]))</f>
        <v>C0044</v>
      </c>
      <c r="S474" s="8" t="str">
        <f>TRIM(LEFT(RawSalesTable[[#This Row],[Customer_Info]],FIND(",",RawSalesTable[[#This Row],[Customer_Info]]) -1))</f>
        <v>Nora Young</v>
      </c>
      <c r="T474" s="8" t="str">
        <f>TRIM(MID(RawSalesTable[[#This Row],[Customer_Info]],FIND(",",RawSalesTable[[#This Row],[Customer_Info]])+1,FIND(",",RawSalesTable[[#This Row],[Customer_Info]],FIND(",",RawSalesTable[[#This Row],[Customer_Info]])+1)-FIND(",",RawSalesTable[[#This Row],[Customer_Info]])-1))</f>
        <v>Vancouver</v>
      </c>
      <c r="U474" s="8" t="str">
        <f>TRIM(RIGHT(RawSalesTable[[#This Row],[Customer_Info]], LEN(RawSalesTable[[#This Row],[Customer_Info]])-FIND(",",RawSalesTable[[#This Row],[Customer_Info]],FIND(",",RawSalesTable[[#This Row],[Customer_Info]])+1)))</f>
        <v>Corporate</v>
      </c>
      <c r="V474" s="8" t="str">
        <f>VLOOKUP(RawSalesTable[[#This Row],[Product_ID]],ProductsTable[],2,FALSE)</f>
        <v>Laptop Sleeve</v>
      </c>
      <c r="W474" s="8" t="str">
        <f>VLOOKUP(RawSalesTable[[#This Row],[Product_ID]],ProductsTable[],3,FALSE)</f>
        <v>Accessories</v>
      </c>
      <c r="X474" s="8">
        <f>VLOOKUP(RawSalesTable[[#This Row],[Product_ID]],ProductsTable[],5,FALSE)</f>
        <v>78.95</v>
      </c>
      <c r="Y474" s="8">
        <f>RawSalesTable[[#This Row],[Quantity]]*RawSalesTable[[#This Row],[Unit_Price]]</f>
        <v>437.76</v>
      </c>
      <c r="Z474" s="8">
        <f>RawSalesTable[[#This Row],[Gross_Sales]]*RawSalesTable[[#This Row],[Discount_Pct]]</f>
        <v>0</v>
      </c>
      <c r="AA474" s="8">
        <f>RawSalesTable[[#This Row],[Gross_Sales]]-RawSalesTable[[#This Row],[Discount_Amount]]</f>
        <v>437.76</v>
      </c>
      <c r="AB474" s="8">
        <f>RawSalesTable[[#This Row],[Unit_Cost]]*RawSalesTable[[#This Row],[Quantity]]</f>
        <v>236.85000000000002</v>
      </c>
      <c r="AC474" s="8">
        <f>RawSalesTable[[#This Row],[Net_Sales]]-RawSalesTable[[#This Row],[Total_Cost]]</f>
        <v>200.90999999999997</v>
      </c>
      <c r="AD474" s="9">
        <f>RawSalesTable[[#This Row],[Profit]]/RawSalesTable[[#This Row],[Net_Sales]]</f>
        <v>0.45895010964912275</v>
      </c>
      <c r="AE474" s="8">
        <f>IF(RawSalesTable[[#This Row],[Return_Status]]="Yes",1,0)</f>
        <v>0</v>
      </c>
      <c r="AF474" s="8">
        <f>YEAR(RawSalesTable[[#This Row],[Order_Date]])</f>
        <v>2025</v>
      </c>
      <c r="AG474" s="8">
        <f>MONTH(RawSalesTable[[#This Row],[Order_Date]])</f>
        <v>9</v>
      </c>
      <c r="AH474" s="8" t="str">
        <f>TEXT(RawSalesTable[[#This Row],[Order_Date]],"mmmm")</f>
        <v>septembre</v>
      </c>
      <c r="AI474" s="8" t="str">
        <f>IF(RawSalesTable[[#This Row],[Month_Number]]&lt;=3,"Q1",IF(RawSalesTable[[#This Row],[Month_Number]]&lt;=6,"Q2",IF(RawSalesTable[[#This Row],[Month_Number]]&lt;=9,"Q3","Q4")))</f>
        <v>Q3</v>
      </c>
      <c r="AJ474" s="13">
        <f>DATE(YEAR(RawSalesTable[[#This Row],[Order_Date]]),MONTH(RawSalesTable[[#This Row],[Order_Date]]),1)</f>
        <v>45901</v>
      </c>
      <c r="AK474" s="8" t="str">
        <f>VLOOKUP(RawSalesTable[[#This Row],[Customer_ID_clean]],CustomersTable[],4,FALSE)</f>
        <v>British Columbia</v>
      </c>
    </row>
    <row r="475" spans="1:37">
      <c r="A475" t="s">
        <v>898</v>
      </c>
      <c r="B475" s="3">
        <v>45837</v>
      </c>
      <c r="C475" t="s">
        <v>466</v>
      </c>
      <c r="D475" t="s">
        <v>101</v>
      </c>
      <c r="E475" t="s">
        <v>467</v>
      </c>
      <c r="F475" t="s">
        <v>111</v>
      </c>
      <c r="G475" t="s">
        <v>117</v>
      </c>
      <c r="H475" t="s">
        <v>89</v>
      </c>
      <c r="I475">
        <v>3</v>
      </c>
      <c r="J475" s="2">
        <v>314.99</v>
      </c>
      <c r="K475" s="4">
        <v>0.15</v>
      </c>
      <c r="L475" t="s">
        <v>98</v>
      </c>
      <c r="M475">
        <v>9</v>
      </c>
      <c r="N475" t="s">
        <v>91</v>
      </c>
      <c r="O475" t="str">
        <f>SUBSTITUTE(PROPER(TRIM(RawSalesTable[[#This Row],[Channel_Raw]])), "Market Place", "Marketplace")</f>
        <v>Online</v>
      </c>
      <c r="P475" t="str">
        <f>TRIM(RawSalesTable[[#This Row],[Store_Raw]])</f>
        <v>Montreal Central</v>
      </c>
      <c r="Q475" t="str">
        <f>IF(TRIM(RawSalesTable[[#This Row],[Payment_Method_Raw]])="","Non renseigné",SUBSTITUTE(TRIM(RawSalesTable[[#This Row],[Payment_Method_Raw]]),"CC","Credit Card"))</f>
        <v>Debit Card</v>
      </c>
      <c r="R475" s="8" t="str">
        <f>UPPER(PROPER(RawSalesTable[[#This Row],[Customer_ID]]))</f>
        <v>C0096</v>
      </c>
      <c r="S475" s="8" t="str">
        <f>TRIM(LEFT(RawSalesTable[[#This Row],[Customer_Info]],FIND(",",RawSalesTable[[#This Row],[Customer_Info]]) -1))</f>
        <v>Ryan Roy</v>
      </c>
      <c r="T475" s="8" t="str">
        <f>TRIM(MID(RawSalesTable[[#This Row],[Customer_Info]],FIND(",",RawSalesTable[[#This Row],[Customer_Info]])+1,FIND(",",RawSalesTable[[#This Row],[Customer_Info]],FIND(",",RawSalesTable[[#This Row],[Customer_Info]])+1)-FIND(",",RawSalesTable[[#This Row],[Customer_Info]])-1))</f>
        <v>Laval</v>
      </c>
      <c r="U475" s="8" t="str">
        <f>TRIM(RIGHT(RawSalesTable[[#This Row],[Customer_Info]], LEN(RawSalesTable[[#This Row],[Customer_Info]])-FIND(",",RawSalesTable[[#This Row],[Customer_Info]],FIND(",",RawSalesTable[[#This Row],[Customer_Info]])+1)))</f>
        <v>Corporate</v>
      </c>
      <c r="V475" s="8" t="str">
        <f>VLOOKUP(RawSalesTable[[#This Row],[Product_ID]],ProductsTable[],2,FALSE)</f>
        <v>Kettle</v>
      </c>
      <c r="W475" s="8" t="str">
        <f>VLOOKUP(RawSalesTable[[#This Row],[Product_ID]],ProductsTable[],3,FALSE)</f>
        <v>Home</v>
      </c>
      <c r="X475" s="8">
        <f>VLOOKUP(RawSalesTable[[#This Row],[Product_ID]],ProductsTable[],5,FALSE)</f>
        <v>139.86000000000001</v>
      </c>
      <c r="Y475" s="8">
        <f>RawSalesTable[[#This Row],[Quantity]]*RawSalesTable[[#This Row],[Unit_Price]]</f>
        <v>944.97</v>
      </c>
      <c r="Z475" s="8">
        <f>RawSalesTable[[#This Row],[Gross_Sales]]*RawSalesTable[[#This Row],[Discount_Pct]]</f>
        <v>141.74549999999999</v>
      </c>
      <c r="AA475" s="8">
        <f>RawSalesTable[[#This Row],[Gross_Sales]]-RawSalesTable[[#This Row],[Discount_Amount]]</f>
        <v>803.22450000000003</v>
      </c>
      <c r="AB475" s="8">
        <f>RawSalesTable[[#This Row],[Unit_Cost]]*RawSalesTable[[#This Row],[Quantity]]</f>
        <v>419.58000000000004</v>
      </c>
      <c r="AC475" s="8">
        <f>RawSalesTable[[#This Row],[Net_Sales]]-RawSalesTable[[#This Row],[Total_Cost]]</f>
        <v>383.64449999999999</v>
      </c>
      <c r="AD475" s="9">
        <f>RawSalesTable[[#This Row],[Profit]]/RawSalesTable[[#This Row],[Net_Sales]]</f>
        <v>0.47763047566402667</v>
      </c>
      <c r="AE475" s="8">
        <f>IF(RawSalesTable[[#This Row],[Return_Status]]="Yes",1,0)</f>
        <v>0</v>
      </c>
      <c r="AF475" s="8">
        <f>YEAR(RawSalesTable[[#This Row],[Order_Date]])</f>
        <v>2025</v>
      </c>
      <c r="AG475" s="8">
        <f>MONTH(RawSalesTable[[#This Row],[Order_Date]])</f>
        <v>6</v>
      </c>
      <c r="AH475" s="8" t="str">
        <f>TEXT(RawSalesTable[[#This Row],[Order_Date]],"mmmm")</f>
        <v>juin</v>
      </c>
      <c r="AI475" s="8" t="str">
        <f>IF(RawSalesTable[[#This Row],[Month_Number]]&lt;=3,"Q1",IF(RawSalesTable[[#This Row],[Month_Number]]&lt;=6,"Q2",IF(RawSalesTable[[#This Row],[Month_Number]]&lt;=9,"Q3","Q4")))</f>
        <v>Q2</v>
      </c>
      <c r="AJ475" s="13">
        <f>DATE(YEAR(RawSalesTable[[#This Row],[Order_Date]]),MONTH(RawSalesTable[[#This Row],[Order_Date]]),1)</f>
        <v>45809</v>
      </c>
      <c r="AK475" s="8" t="str">
        <f>VLOOKUP(RawSalesTable[[#This Row],[Customer_ID_clean]],CustomersTable[],4,FALSE)</f>
        <v>Quebec</v>
      </c>
    </row>
    <row r="476" spans="1:37">
      <c r="A476" t="s">
        <v>899</v>
      </c>
      <c r="B476" s="3">
        <v>45707</v>
      </c>
      <c r="C476" t="s">
        <v>491</v>
      </c>
      <c r="D476" t="s">
        <v>277</v>
      </c>
      <c r="E476" t="s">
        <v>492</v>
      </c>
      <c r="F476" t="s">
        <v>145</v>
      </c>
      <c r="G476" t="s">
        <v>104</v>
      </c>
      <c r="H476" t="s">
        <v>97</v>
      </c>
      <c r="I476">
        <v>1</v>
      </c>
      <c r="J476" s="2">
        <v>380.08</v>
      </c>
      <c r="K476" s="4">
        <v>0</v>
      </c>
      <c r="L476" t="s">
        <v>90</v>
      </c>
      <c r="M476">
        <v>4</v>
      </c>
      <c r="N476" t="s">
        <v>91</v>
      </c>
      <c r="O476" t="str">
        <f>SUBSTITUTE(PROPER(TRIM(RawSalesTable[[#This Row],[Channel_Raw]])), "Market Place", "Marketplace")</f>
        <v>Retail Store</v>
      </c>
      <c r="P476" t="str">
        <f>TRIM(RawSalesTable[[#This Row],[Store_Raw]])</f>
        <v>Calgary North</v>
      </c>
      <c r="Q476" t="str">
        <f>IF(TRIM(RawSalesTable[[#This Row],[Payment_Method_Raw]])="","Non renseigné",SUBSTITUTE(TRIM(RawSalesTable[[#This Row],[Payment_Method_Raw]]),"CC","Credit Card"))</f>
        <v>PayPal</v>
      </c>
      <c r="R476" s="8" t="str">
        <f>UPPER(PROPER(RawSalesTable[[#This Row],[Customer_ID]]))</f>
        <v>C0045</v>
      </c>
      <c r="S476" s="8" t="str">
        <f>TRIM(LEFT(RawSalesTable[[#This Row],[Customer_Info]],FIND(",",RawSalesTable[[#This Row],[Customer_Info]]) -1))</f>
        <v>Lucas Chen</v>
      </c>
      <c r="T476" s="8" t="str">
        <f>TRIM(MID(RawSalesTable[[#This Row],[Customer_Info]],FIND(",",RawSalesTable[[#This Row],[Customer_Info]])+1,FIND(",",RawSalesTable[[#This Row],[Customer_Info]],FIND(",",RawSalesTable[[#This Row],[Customer_Info]])+1)-FIND(",",RawSalesTable[[#This Row],[Customer_Info]])-1))</f>
        <v>Ottawa</v>
      </c>
      <c r="U476" s="8" t="str">
        <f>TRIM(RIGHT(RawSalesTable[[#This Row],[Customer_Info]], LEN(RawSalesTable[[#This Row],[Customer_Info]])-FIND(",",RawSalesTable[[#This Row],[Customer_Info]],FIND(",",RawSalesTable[[#This Row],[Customer_Info]])+1)))</f>
        <v>Corporate</v>
      </c>
      <c r="V476" s="8" t="str">
        <f>VLOOKUP(RawSalesTable[[#This Row],[Product_ID]],ProductsTable[],2,FALSE)</f>
        <v>Headphones</v>
      </c>
      <c r="W476" s="8" t="str">
        <f>VLOOKUP(RawSalesTable[[#This Row],[Product_ID]],ProductsTable[],3,FALSE)</f>
        <v>Electronics</v>
      </c>
      <c r="X476" s="8">
        <f>VLOOKUP(RawSalesTable[[#This Row],[Product_ID]],ProductsTable[],5,FALSE)</f>
        <v>254.6</v>
      </c>
      <c r="Y476" s="8">
        <f>RawSalesTable[[#This Row],[Quantity]]*RawSalesTable[[#This Row],[Unit_Price]]</f>
        <v>380.08</v>
      </c>
      <c r="Z476" s="8">
        <f>RawSalesTable[[#This Row],[Gross_Sales]]*RawSalesTable[[#This Row],[Discount_Pct]]</f>
        <v>0</v>
      </c>
      <c r="AA476" s="8">
        <f>RawSalesTable[[#This Row],[Gross_Sales]]-RawSalesTable[[#This Row],[Discount_Amount]]</f>
        <v>380.08</v>
      </c>
      <c r="AB476" s="8">
        <f>RawSalesTable[[#This Row],[Unit_Cost]]*RawSalesTable[[#This Row],[Quantity]]</f>
        <v>254.6</v>
      </c>
      <c r="AC476" s="8">
        <f>RawSalesTable[[#This Row],[Net_Sales]]-RawSalesTable[[#This Row],[Total_Cost]]</f>
        <v>125.47999999999999</v>
      </c>
      <c r="AD476" s="9">
        <f>RawSalesTable[[#This Row],[Profit]]/RawSalesTable[[#This Row],[Net_Sales]]</f>
        <v>0.33014102294253839</v>
      </c>
      <c r="AE476" s="8">
        <f>IF(RawSalesTable[[#This Row],[Return_Status]]="Yes",1,0)</f>
        <v>0</v>
      </c>
      <c r="AF476" s="8">
        <f>YEAR(RawSalesTable[[#This Row],[Order_Date]])</f>
        <v>2025</v>
      </c>
      <c r="AG476" s="8">
        <f>MONTH(RawSalesTable[[#This Row],[Order_Date]])</f>
        <v>2</v>
      </c>
      <c r="AH476" s="8" t="str">
        <f>TEXT(RawSalesTable[[#This Row],[Order_Date]],"mmmm")</f>
        <v>février</v>
      </c>
      <c r="AI476" s="8" t="str">
        <f>IF(RawSalesTable[[#This Row],[Month_Number]]&lt;=3,"Q1",IF(RawSalesTable[[#This Row],[Month_Number]]&lt;=6,"Q2",IF(RawSalesTable[[#This Row],[Month_Number]]&lt;=9,"Q3","Q4")))</f>
        <v>Q1</v>
      </c>
      <c r="AJ476" s="13">
        <f>DATE(YEAR(RawSalesTable[[#This Row],[Order_Date]]),MONTH(RawSalesTable[[#This Row],[Order_Date]]),1)</f>
        <v>45689</v>
      </c>
      <c r="AK476" s="8" t="str">
        <f>VLOOKUP(RawSalesTable[[#This Row],[Customer_ID_clean]],CustomersTable[],4,FALSE)</f>
        <v>Ontario</v>
      </c>
    </row>
    <row r="477" spans="1:37">
      <c r="A477" t="s">
        <v>900</v>
      </c>
      <c r="B477" s="3">
        <v>45785</v>
      </c>
      <c r="C477" t="s">
        <v>100</v>
      </c>
      <c r="D477" t="s">
        <v>101</v>
      </c>
      <c r="E477" t="s">
        <v>102</v>
      </c>
      <c r="F477" t="s">
        <v>145</v>
      </c>
      <c r="G477" t="s">
        <v>104</v>
      </c>
      <c r="H477" t="s">
        <v>89</v>
      </c>
      <c r="I477">
        <v>4</v>
      </c>
      <c r="J477" s="2">
        <v>310.64999999999998</v>
      </c>
      <c r="K477" s="4">
        <v>0.1</v>
      </c>
      <c r="L477" t="s">
        <v>98</v>
      </c>
      <c r="M477">
        <v>1</v>
      </c>
      <c r="N477" t="s">
        <v>91</v>
      </c>
      <c r="O477" t="str">
        <f>SUBSTITUTE(PROPER(TRIM(RawSalesTable[[#This Row],[Channel_Raw]])), "Market Place", "Marketplace")</f>
        <v>Online</v>
      </c>
      <c r="P477" t="str">
        <f>TRIM(RawSalesTable[[#This Row],[Store_Raw]])</f>
        <v>Calgary North</v>
      </c>
      <c r="Q477" t="str">
        <f>IF(TRIM(RawSalesTable[[#This Row],[Payment_Method_Raw]])="","Non renseigné",SUBSTITUTE(TRIM(RawSalesTable[[#This Row],[Payment_Method_Raw]]),"CC","Credit Card"))</f>
        <v>Debit Card</v>
      </c>
      <c r="R477" s="8" t="str">
        <f>UPPER(PROPER(RawSalesTable[[#This Row],[Customer_ID]]))</f>
        <v>C0003</v>
      </c>
      <c r="S477" s="8" t="str">
        <f>TRIM(LEFT(RawSalesTable[[#This Row],[Customer_Info]],FIND(",",RawSalesTable[[#This Row],[Customer_Info]]) -1))</f>
        <v>Amelia Young</v>
      </c>
      <c r="T477" s="8" t="str">
        <f>TRIM(MID(RawSalesTable[[#This Row],[Customer_Info]],FIND(",",RawSalesTable[[#This Row],[Customer_Info]])+1,FIND(",",RawSalesTable[[#This Row],[Customer_Info]],FIND(",",RawSalesTable[[#This Row],[Customer_Info]])+1)-FIND(",",RawSalesTable[[#This Row],[Customer_Info]])-1))</f>
        <v>Ottawa</v>
      </c>
      <c r="U477" s="8" t="str">
        <f>TRIM(RIGHT(RawSalesTable[[#This Row],[Customer_Info]], LEN(RawSalesTable[[#This Row],[Customer_Info]])-FIND(",",RawSalesTable[[#This Row],[Customer_Info]],FIND(",",RawSalesTable[[#This Row],[Customer_Info]])+1)))</f>
        <v>Corporate</v>
      </c>
      <c r="V477" s="8" t="str">
        <f>VLOOKUP(RawSalesTable[[#This Row],[Product_ID]],ProductsTable[],2,FALSE)</f>
        <v>Kettle</v>
      </c>
      <c r="W477" s="8" t="str">
        <f>VLOOKUP(RawSalesTable[[#This Row],[Product_ID]],ProductsTable[],3,FALSE)</f>
        <v>Home</v>
      </c>
      <c r="X477" s="8">
        <f>VLOOKUP(RawSalesTable[[#This Row],[Product_ID]],ProductsTable[],5,FALSE)</f>
        <v>139.86000000000001</v>
      </c>
      <c r="Y477" s="8">
        <f>RawSalesTable[[#This Row],[Quantity]]*RawSalesTable[[#This Row],[Unit_Price]]</f>
        <v>1242.5999999999999</v>
      </c>
      <c r="Z477" s="8">
        <f>RawSalesTable[[#This Row],[Gross_Sales]]*RawSalesTable[[#This Row],[Discount_Pct]]</f>
        <v>124.25999999999999</v>
      </c>
      <c r="AA477" s="8">
        <f>RawSalesTable[[#This Row],[Gross_Sales]]-RawSalesTable[[#This Row],[Discount_Amount]]</f>
        <v>1118.3399999999999</v>
      </c>
      <c r="AB477" s="8">
        <f>RawSalesTable[[#This Row],[Unit_Cost]]*RawSalesTable[[#This Row],[Quantity]]</f>
        <v>559.44000000000005</v>
      </c>
      <c r="AC477" s="8">
        <f>RawSalesTable[[#This Row],[Net_Sales]]-RawSalesTable[[#This Row],[Total_Cost]]</f>
        <v>558.89999999999986</v>
      </c>
      <c r="AD477" s="9">
        <f>RawSalesTable[[#This Row],[Profit]]/RawSalesTable[[#This Row],[Net_Sales]]</f>
        <v>0.49975857073877344</v>
      </c>
      <c r="AE477" s="8">
        <f>IF(RawSalesTable[[#This Row],[Return_Status]]="Yes",1,0)</f>
        <v>0</v>
      </c>
      <c r="AF477" s="8">
        <f>YEAR(RawSalesTable[[#This Row],[Order_Date]])</f>
        <v>2025</v>
      </c>
      <c r="AG477" s="8">
        <f>MONTH(RawSalesTable[[#This Row],[Order_Date]])</f>
        <v>5</v>
      </c>
      <c r="AH477" s="8" t="str">
        <f>TEXT(RawSalesTable[[#This Row],[Order_Date]],"mmmm")</f>
        <v>mai</v>
      </c>
      <c r="AI477" s="8" t="str">
        <f>IF(RawSalesTable[[#This Row],[Month_Number]]&lt;=3,"Q1",IF(RawSalesTable[[#This Row],[Month_Number]]&lt;=6,"Q2",IF(RawSalesTable[[#This Row],[Month_Number]]&lt;=9,"Q3","Q4")))</f>
        <v>Q2</v>
      </c>
      <c r="AJ477" s="13">
        <f>DATE(YEAR(RawSalesTable[[#This Row],[Order_Date]]),MONTH(RawSalesTable[[#This Row],[Order_Date]]),1)</f>
        <v>45778</v>
      </c>
      <c r="AK477" s="8" t="str">
        <f>VLOOKUP(RawSalesTable[[#This Row],[Customer_ID_clean]],CustomersTable[],4,FALSE)</f>
        <v>Ontario</v>
      </c>
    </row>
    <row r="478" spans="1:37">
      <c r="A478" t="s">
        <v>901</v>
      </c>
      <c r="B478" s="3">
        <v>45806</v>
      </c>
      <c r="C478" t="s">
        <v>366</v>
      </c>
      <c r="D478" t="s">
        <v>249</v>
      </c>
      <c r="E478" t="s">
        <v>367</v>
      </c>
      <c r="F478" t="s">
        <v>87</v>
      </c>
      <c r="G478" t="s">
        <v>122</v>
      </c>
      <c r="H478" t="s">
        <v>97</v>
      </c>
      <c r="I478">
        <v>2</v>
      </c>
      <c r="J478" s="2">
        <v>440.76</v>
      </c>
      <c r="K478" s="4">
        <v>0.2</v>
      </c>
      <c r="L478" t="s">
        <v>106</v>
      </c>
      <c r="M478">
        <v>2</v>
      </c>
      <c r="N478" t="s">
        <v>91</v>
      </c>
      <c r="O478" t="str">
        <f>SUBSTITUTE(PROPER(TRIM(RawSalesTable[[#This Row],[Channel_Raw]])), "Market Place", "Marketplace")</f>
        <v>Retail Store</v>
      </c>
      <c r="P478" t="str">
        <f>TRIM(RawSalesTable[[#This Row],[Store_Raw]])</f>
        <v>Online Fulfillment</v>
      </c>
      <c r="Q478" t="str">
        <f>IF(TRIM(RawSalesTable[[#This Row],[Payment_Method_Raw]])="","Non renseigné",SUBSTITUTE(TRIM(RawSalesTable[[#This Row],[Payment_Method_Raw]]),"CC","Credit Card"))</f>
        <v>Credit Card</v>
      </c>
      <c r="R478" s="8" t="str">
        <f>UPPER(PROPER(RawSalesTable[[#This Row],[Customer_ID]]))</f>
        <v>C0117</v>
      </c>
      <c r="S478" s="8" t="str">
        <f>TRIM(LEFT(RawSalesTable[[#This Row],[Customer_Info]],FIND(",",RawSalesTable[[#This Row],[Customer_Info]]) -1))</f>
        <v>Ethan Hall</v>
      </c>
      <c r="T478" s="8" t="str">
        <f>TRIM(MID(RawSalesTable[[#This Row],[Customer_Info]],FIND(",",RawSalesTable[[#This Row],[Customer_Info]])+1,FIND(",",RawSalesTable[[#This Row],[Customer_Info]],FIND(",",RawSalesTable[[#This Row],[Customer_Info]])+1)-FIND(",",RawSalesTable[[#This Row],[Customer_Info]])-1))</f>
        <v>Vancouver</v>
      </c>
      <c r="U478" s="8" t="str">
        <f>TRIM(RIGHT(RawSalesTable[[#This Row],[Customer_Info]], LEN(RawSalesTable[[#This Row],[Customer_Info]])-FIND(",",RawSalesTable[[#This Row],[Customer_Info]],FIND(",",RawSalesTable[[#This Row],[Customer_Info]])+1)))</f>
        <v>Consumer</v>
      </c>
      <c r="V478" s="8" t="str">
        <f>VLOOKUP(RawSalesTable[[#This Row],[Product_ID]],ProductsTable[],2,FALSE)</f>
        <v>Humidifier</v>
      </c>
      <c r="W478" s="8" t="str">
        <f>VLOOKUP(RawSalesTable[[#This Row],[Product_ID]],ProductsTable[],3,FALSE)</f>
        <v>Home</v>
      </c>
      <c r="X478" s="8">
        <f>VLOOKUP(RawSalesTable[[#This Row],[Product_ID]],ProductsTable[],5,FALSE)</f>
        <v>239.67</v>
      </c>
      <c r="Y478" s="8">
        <f>RawSalesTable[[#This Row],[Quantity]]*RawSalesTable[[#This Row],[Unit_Price]]</f>
        <v>881.52</v>
      </c>
      <c r="Z478" s="8">
        <f>RawSalesTable[[#This Row],[Gross_Sales]]*RawSalesTable[[#This Row],[Discount_Pct]]</f>
        <v>176.304</v>
      </c>
      <c r="AA478" s="8">
        <f>RawSalesTable[[#This Row],[Gross_Sales]]-RawSalesTable[[#This Row],[Discount_Amount]]</f>
        <v>705.21600000000001</v>
      </c>
      <c r="AB478" s="8">
        <f>RawSalesTable[[#This Row],[Unit_Cost]]*RawSalesTable[[#This Row],[Quantity]]</f>
        <v>479.34</v>
      </c>
      <c r="AC478" s="8">
        <f>RawSalesTable[[#This Row],[Net_Sales]]-RawSalesTable[[#This Row],[Total_Cost]]</f>
        <v>225.87600000000003</v>
      </c>
      <c r="AD478" s="9">
        <f>RawSalesTable[[#This Row],[Profit]]/RawSalesTable[[#This Row],[Net_Sales]]</f>
        <v>0.32029335692894095</v>
      </c>
      <c r="AE478" s="8">
        <f>IF(RawSalesTable[[#This Row],[Return_Status]]="Yes",1,0)</f>
        <v>0</v>
      </c>
      <c r="AF478" s="8">
        <f>YEAR(RawSalesTable[[#This Row],[Order_Date]])</f>
        <v>2025</v>
      </c>
      <c r="AG478" s="8">
        <f>MONTH(RawSalesTable[[#This Row],[Order_Date]])</f>
        <v>5</v>
      </c>
      <c r="AH478" s="8" t="str">
        <f>TEXT(RawSalesTable[[#This Row],[Order_Date]],"mmmm")</f>
        <v>mai</v>
      </c>
      <c r="AI478" s="8" t="str">
        <f>IF(RawSalesTable[[#This Row],[Month_Number]]&lt;=3,"Q1",IF(RawSalesTable[[#This Row],[Month_Number]]&lt;=6,"Q2",IF(RawSalesTable[[#This Row],[Month_Number]]&lt;=9,"Q3","Q4")))</f>
        <v>Q2</v>
      </c>
      <c r="AJ478" s="13">
        <f>DATE(YEAR(RawSalesTable[[#This Row],[Order_Date]]),MONTH(RawSalesTable[[#This Row],[Order_Date]]),1)</f>
        <v>45778</v>
      </c>
      <c r="AK478" s="8" t="str">
        <f>VLOOKUP(RawSalesTable[[#This Row],[Customer_ID_clean]],CustomersTable[],4,FALSE)</f>
        <v>British Columbia</v>
      </c>
    </row>
    <row r="479" spans="1:37">
      <c r="A479" t="s">
        <v>902</v>
      </c>
      <c r="B479" s="3">
        <v>45978</v>
      </c>
      <c r="C479" t="s">
        <v>335</v>
      </c>
      <c r="D479" t="s">
        <v>152</v>
      </c>
      <c r="E479" t="s">
        <v>336</v>
      </c>
      <c r="F479" t="s">
        <v>87</v>
      </c>
      <c r="G479" t="s">
        <v>122</v>
      </c>
      <c r="H479" t="s">
        <v>105</v>
      </c>
      <c r="I479">
        <v>1</v>
      </c>
      <c r="J479" s="2">
        <v>133.57</v>
      </c>
      <c r="K479" s="4">
        <v>0.15</v>
      </c>
      <c r="L479" t="s">
        <v>154</v>
      </c>
      <c r="M479">
        <v>9</v>
      </c>
      <c r="N479" t="s">
        <v>91</v>
      </c>
      <c r="O479" t="str">
        <f>SUBSTITUTE(PROPER(TRIM(RawSalesTable[[#This Row],[Channel_Raw]])), "Market Place", "Marketplace")</f>
        <v>Marketplace</v>
      </c>
      <c r="P479" t="str">
        <f>TRIM(RawSalesTable[[#This Row],[Store_Raw]])</f>
        <v>Online Fulfillment</v>
      </c>
      <c r="Q479" t="str">
        <f>IF(TRIM(RawSalesTable[[#This Row],[Payment_Method_Raw]])="","Non renseigné",SUBSTITUTE(TRIM(RawSalesTable[[#This Row],[Payment_Method_Raw]]),"CC","Credit Card"))</f>
        <v>Gift Card</v>
      </c>
      <c r="R479" s="8" t="str">
        <f>UPPER(PROPER(RawSalesTable[[#This Row],[Customer_ID]]))</f>
        <v>C0037</v>
      </c>
      <c r="S479" s="8" t="str">
        <f>TRIM(LEFT(RawSalesTable[[#This Row],[Customer_Info]],FIND(",",RawSalesTable[[#This Row],[Customer_Info]]) -1))</f>
        <v>Lucas Scott</v>
      </c>
      <c r="T479" s="8" t="str">
        <f>TRIM(MID(RawSalesTable[[#This Row],[Customer_Info]],FIND(",",RawSalesTable[[#This Row],[Customer_Info]])+1,FIND(",",RawSalesTable[[#This Row],[Customer_Info]],FIND(",",RawSalesTable[[#This Row],[Customer_Info]])+1)-FIND(",",RawSalesTable[[#This Row],[Customer_Info]])-1))</f>
        <v>Victoria</v>
      </c>
      <c r="U479" s="8" t="str">
        <f>TRIM(RIGHT(RawSalesTable[[#This Row],[Customer_Info]], LEN(RawSalesTable[[#This Row],[Customer_Info]])-FIND(",",RawSalesTable[[#This Row],[Customer_Info]],FIND(",",RawSalesTable[[#This Row],[Customer_Info]])+1)))</f>
        <v>Small Business</v>
      </c>
      <c r="V479" s="8" t="str">
        <f>VLOOKUP(RawSalesTable[[#This Row],[Product_ID]],ProductsTable[],2,FALSE)</f>
        <v>Smart Speaker</v>
      </c>
      <c r="W479" s="8" t="str">
        <f>VLOOKUP(RawSalesTable[[#This Row],[Product_ID]],ProductsTable[],3,FALSE)</f>
        <v>Electronics</v>
      </c>
      <c r="X479" s="8">
        <f>VLOOKUP(RawSalesTable[[#This Row],[Product_ID]],ProductsTable[],5,FALSE)</f>
        <v>69</v>
      </c>
      <c r="Y479" s="8">
        <f>RawSalesTable[[#This Row],[Quantity]]*RawSalesTable[[#This Row],[Unit_Price]]</f>
        <v>133.57</v>
      </c>
      <c r="Z479" s="8">
        <f>RawSalesTable[[#This Row],[Gross_Sales]]*RawSalesTable[[#This Row],[Discount_Pct]]</f>
        <v>20.035499999999999</v>
      </c>
      <c r="AA479" s="8">
        <f>RawSalesTable[[#This Row],[Gross_Sales]]-RawSalesTable[[#This Row],[Discount_Amount]]</f>
        <v>113.53449999999999</v>
      </c>
      <c r="AB479" s="8">
        <f>RawSalesTable[[#This Row],[Unit_Cost]]*RawSalesTable[[#This Row],[Quantity]]</f>
        <v>69</v>
      </c>
      <c r="AC479" s="8">
        <f>RawSalesTable[[#This Row],[Net_Sales]]-RawSalesTable[[#This Row],[Total_Cost]]</f>
        <v>44.534499999999994</v>
      </c>
      <c r="AD479" s="9">
        <f>RawSalesTable[[#This Row],[Profit]]/RawSalesTable[[#This Row],[Net_Sales]]</f>
        <v>0.39225521757703602</v>
      </c>
      <c r="AE479" s="8">
        <f>IF(RawSalesTable[[#This Row],[Return_Status]]="Yes",1,0)</f>
        <v>0</v>
      </c>
      <c r="AF479" s="8">
        <f>YEAR(RawSalesTable[[#This Row],[Order_Date]])</f>
        <v>2025</v>
      </c>
      <c r="AG479" s="8">
        <f>MONTH(RawSalesTable[[#This Row],[Order_Date]])</f>
        <v>11</v>
      </c>
      <c r="AH479" s="8" t="str">
        <f>TEXT(RawSalesTable[[#This Row],[Order_Date]],"mmmm")</f>
        <v>novembre</v>
      </c>
      <c r="AI479" s="8" t="str">
        <f>IF(RawSalesTable[[#This Row],[Month_Number]]&lt;=3,"Q1",IF(RawSalesTable[[#This Row],[Month_Number]]&lt;=6,"Q2",IF(RawSalesTable[[#This Row],[Month_Number]]&lt;=9,"Q3","Q4")))</f>
        <v>Q4</v>
      </c>
      <c r="AJ479" s="13">
        <f>DATE(YEAR(RawSalesTable[[#This Row],[Order_Date]]),MONTH(RawSalesTable[[#This Row],[Order_Date]]),1)</f>
        <v>45962</v>
      </c>
      <c r="AK479" s="8" t="str">
        <f>VLOOKUP(RawSalesTable[[#This Row],[Customer_ID_clean]],CustomersTable[],4,FALSE)</f>
        <v>British Columbia</v>
      </c>
    </row>
    <row r="480" spans="1:37">
      <c r="A480" t="s">
        <v>903</v>
      </c>
      <c r="B480" s="3">
        <v>45693</v>
      </c>
      <c r="C480" t="s">
        <v>448</v>
      </c>
      <c r="D480" t="s">
        <v>360</v>
      </c>
      <c r="E480" t="s">
        <v>790</v>
      </c>
      <c r="F480" t="s">
        <v>111</v>
      </c>
      <c r="G480" t="s">
        <v>117</v>
      </c>
      <c r="H480" t="s">
        <v>97</v>
      </c>
      <c r="I480">
        <v>1</v>
      </c>
      <c r="J480" s="2">
        <v>68.52</v>
      </c>
      <c r="K480" s="4">
        <v>0.1</v>
      </c>
      <c r="L480" t="s">
        <v>106</v>
      </c>
      <c r="M480">
        <v>1</v>
      </c>
      <c r="N480" t="s">
        <v>91</v>
      </c>
      <c r="O480" t="str">
        <f>SUBSTITUTE(PROPER(TRIM(RawSalesTable[[#This Row],[Channel_Raw]])), "Market Place", "Marketplace")</f>
        <v>Retail Store</v>
      </c>
      <c r="P480" t="str">
        <f>TRIM(RawSalesTable[[#This Row],[Store_Raw]])</f>
        <v>Montreal Central</v>
      </c>
      <c r="Q480" t="str">
        <f>IF(TRIM(RawSalesTable[[#This Row],[Payment_Method_Raw]])="","Non renseigné",SUBSTITUTE(TRIM(RawSalesTable[[#This Row],[Payment_Method_Raw]]),"CC","Credit Card"))</f>
        <v>Credit Card</v>
      </c>
      <c r="R480" s="8" t="str">
        <f>UPPER(PROPER(RawSalesTable[[#This Row],[Customer_ID]]))</f>
        <v>C0074</v>
      </c>
      <c r="S480" s="8" t="str">
        <f>TRIM(LEFT(RawSalesTable[[#This Row],[Customer_Info]],FIND(",",RawSalesTable[[#This Row],[Customer_Info]]) -1))</f>
        <v>Sophia Chen</v>
      </c>
      <c r="T480" s="8" t="str">
        <f>TRIM(MID(RawSalesTable[[#This Row],[Customer_Info]],FIND(",",RawSalesTable[[#This Row],[Customer_Info]])+1,FIND(",",RawSalesTable[[#This Row],[Customer_Info]],FIND(",",RawSalesTable[[#This Row],[Customer_Info]])+1)-FIND(",",RawSalesTable[[#This Row],[Customer_Info]])-1))</f>
        <v>Vancouver</v>
      </c>
      <c r="U480" s="8" t="str">
        <f>TRIM(RIGHT(RawSalesTable[[#This Row],[Customer_Info]], LEN(RawSalesTable[[#This Row],[Customer_Info]])-FIND(",",RawSalesTable[[#This Row],[Customer_Info]],FIND(",",RawSalesTable[[#This Row],[Customer_Info]])+1)))</f>
        <v>Corporate</v>
      </c>
      <c r="V480" s="8" t="str">
        <f>VLOOKUP(RawSalesTable[[#This Row],[Product_ID]],ProductsTable[],2,FALSE)</f>
        <v>Blender</v>
      </c>
      <c r="W480" s="8" t="str">
        <f>VLOOKUP(RawSalesTable[[#This Row],[Product_ID]],ProductsTable[],3,FALSE)</f>
        <v>Home</v>
      </c>
      <c r="X480" s="8">
        <f>VLOOKUP(RawSalesTable[[#This Row],[Product_ID]],ProductsTable[],5,FALSE)</f>
        <v>37.46</v>
      </c>
      <c r="Y480" s="8">
        <f>RawSalesTable[[#This Row],[Quantity]]*RawSalesTable[[#This Row],[Unit_Price]]</f>
        <v>68.52</v>
      </c>
      <c r="Z480" s="8">
        <f>RawSalesTable[[#This Row],[Gross_Sales]]*RawSalesTable[[#This Row],[Discount_Pct]]</f>
        <v>6.8520000000000003</v>
      </c>
      <c r="AA480" s="8">
        <f>RawSalesTable[[#This Row],[Gross_Sales]]-RawSalesTable[[#This Row],[Discount_Amount]]</f>
        <v>61.667999999999992</v>
      </c>
      <c r="AB480" s="8">
        <f>RawSalesTable[[#This Row],[Unit_Cost]]*RawSalesTable[[#This Row],[Quantity]]</f>
        <v>37.46</v>
      </c>
      <c r="AC480" s="8">
        <f>RawSalesTable[[#This Row],[Net_Sales]]-RawSalesTable[[#This Row],[Total_Cost]]</f>
        <v>24.207999999999991</v>
      </c>
      <c r="AD480" s="9">
        <f>RawSalesTable[[#This Row],[Profit]]/RawSalesTable[[#This Row],[Net_Sales]]</f>
        <v>0.3925536745151455</v>
      </c>
      <c r="AE480" s="8">
        <f>IF(RawSalesTable[[#This Row],[Return_Status]]="Yes",1,0)</f>
        <v>0</v>
      </c>
      <c r="AF480" s="8">
        <f>YEAR(RawSalesTable[[#This Row],[Order_Date]])</f>
        <v>2025</v>
      </c>
      <c r="AG480" s="8">
        <f>MONTH(RawSalesTable[[#This Row],[Order_Date]])</f>
        <v>2</v>
      </c>
      <c r="AH480" s="8" t="str">
        <f>TEXT(RawSalesTable[[#This Row],[Order_Date]],"mmmm")</f>
        <v>février</v>
      </c>
      <c r="AI480" s="8" t="str">
        <f>IF(RawSalesTable[[#This Row],[Month_Number]]&lt;=3,"Q1",IF(RawSalesTable[[#This Row],[Month_Number]]&lt;=6,"Q2",IF(RawSalesTable[[#This Row],[Month_Number]]&lt;=9,"Q3","Q4")))</f>
        <v>Q1</v>
      </c>
      <c r="AJ480" s="13">
        <f>DATE(YEAR(RawSalesTable[[#This Row],[Order_Date]]),MONTH(RawSalesTable[[#This Row],[Order_Date]]),1)</f>
        <v>45689</v>
      </c>
      <c r="AK480" s="8" t="str">
        <f>VLOOKUP(RawSalesTable[[#This Row],[Customer_ID_clean]],CustomersTable[],4,FALSE)</f>
        <v>British Columbia</v>
      </c>
    </row>
    <row r="481" spans="1:37">
      <c r="A481" t="s">
        <v>904</v>
      </c>
      <c r="B481" s="3">
        <v>45812</v>
      </c>
      <c r="C481" t="s">
        <v>169</v>
      </c>
      <c r="D481" t="s">
        <v>85</v>
      </c>
      <c r="E481" t="s">
        <v>170</v>
      </c>
      <c r="F481" t="s">
        <v>116</v>
      </c>
      <c r="G481" t="s">
        <v>130</v>
      </c>
      <c r="H481" t="s">
        <v>105</v>
      </c>
      <c r="I481">
        <v>1</v>
      </c>
      <c r="J481" s="2">
        <v>294.06</v>
      </c>
      <c r="K481" s="4">
        <v>0.15</v>
      </c>
      <c r="L481" t="s">
        <v>106</v>
      </c>
      <c r="M481">
        <v>8</v>
      </c>
      <c r="N481" t="s">
        <v>91</v>
      </c>
      <c r="O481" t="str">
        <f>SUBSTITUTE(PROPER(TRIM(RawSalesTable[[#This Row],[Channel_Raw]])), "Market Place", "Marketplace")</f>
        <v>Marketplace</v>
      </c>
      <c r="P481" t="str">
        <f>TRIM(RawSalesTable[[#This Row],[Store_Raw]])</f>
        <v>Toronto Downtown</v>
      </c>
      <c r="Q481" t="str">
        <f>IF(TRIM(RawSalesTable[[#This Row],[Payment_Method_Raw]])="","Non renseigné",SUBSTITUTE(TRIM(RawSalesTable[[#This Row],[Payment_Method_Raw]]),"CC","Credit Card"))</f>
        <v>Credit Card</v>
      </c>
      <c r="R481" s="8" t="str">
        <f>UPPER(PROPER(RawSalesTable[[#This Row],[Customer_ID]]))</f>
        <v>C0064</v>
      </c>
      <c r="S481" s="8" t="str">
        <f>TRIM(LEFT(RawSalesTable[[#This Row],[Customer_Info]],FIND(",",RawSalesTable[[#This Row],[Customer_Info]]) -1))</f>
        <v>Amine Khan</v>
      </c>
      <c r="T481" s="8" t="str">
        <f>TRIM(MID(RawSalesTable[[#This Row],[Customer_Info]],FIND(",",RawSalesTable[[#This Row],[Customer_Info]])+1,FIND(",",RawSalesTable[[#This Row],[Customer_Info]],FIND(",",RawSalesTable[[#This Row],[Customer_Info]])+1)-FIND(",",RawSalesTable[[#This Row],[Customer_Info]])-1))</f>
        <v>Edmonton</v>
      </c>
      <c r="U481" s="8" t="str">
        <f>TRIM(RIGHT(RawSalesTable[[#This Row],[Customer_Info]], LEN(RawSalesTable[[#This Row],[Customer_Info]])-FIND(",",RawSalesTable[[#This Row],[Customer_Info]],FIND(",",RawSalesTable[[#This Row],[Customer_Info]])+1)))</f>
        <v>Consumer</v>
      </c>
      <c r="V481" s="8" t="str">
        <f>VLOOKUP(RawSalesTable[[#This Row],[Product_ID]],ProductsTable[],2,FALSE)</f>
        <v>Yoga Mat</v>
      </c>
      <c r="W481" s="8" t="str">
        <f>VLOOKUP(RawSalesTable[[#This Row],[Product_ID]],ProductsTable[],3,FALSE)</f>
        <v>Fitness</v>
      </c>
      <c r="X481" s="8">
        <f>VLOOKUP(RawSalesTable[[#This Row],[Product_ID]],ProductsTable[],5,FALSE)</f>
        <v>197.33</v>
      </c>
      <c r="Y481" s="8">
        <f>RawSalesTable[[#This Row],[Quantity]]*RawSalesTable[[#This Row],[Unit_Price]]</f>
        <v>294.06</v>
      </c>
      <c r="Z481" s="8">
        <f>RawSalesTable[[#This Row],[Gross_Sales]]*RawSalesTable[[#This Row],[Discount_Pct]]</f>
        <v>44.109000000000002</v>
      </c>
      <c r="AA481" s="8">
        <f>RawSalesTable[[#This Row],[Gross_Sales]]-RawSalesTable[[#This Row],[Discount_Amount]]</f>
        <v>249.95099999999999</v>
      </c>
      <c r="AB481" s="8">
        <f>RawSalesTable[[#This Row],[Unit_Cost]]*RawSalesTable[[#This Row],[Quantity]]</f>
        <v>197.33</v>
      </c>
      <c r="AC481" s="8">
        <f>RawSalesTable[[#This Row],[Net_Sales]]-RawSalesTable[[#This Row],[Total_Cost]]</f>
        <v>52.620999999999981</v>
      </c>
      <c r="AD481" s="9">
        <f>RawSalesTable[[#This Row],[Profit]]/RawSalesTable[[#This Row],[Net_Sales]]</f>
        <v>0.21052526295153842</v>
      </c>
      <c r="AE481" s="8">
        <f>IF(RawSalesTable[[#This Row],[Return_Status]]="Yes",1,0)</f>
        <v>0</v>
      </c>
      <c r="AF481" s="8">
        <f>YEAR(RawSalesTable[[#This Row],[Order_Date]])</f>
        <v>2025</v>
      </c>
      <c r="AG481" s="8">
        <f>MONTH(RawSalesTable[[#This Row],[Order_Date]])</f>
        <v>6</v>
      </c>
      <c r="AH481" s="8" t="str">
        <f>TEXT(RawSalesTable[[#This Row],[Order_Date]],"mmmm")</f>
        <v>juin</v>
      </c>
      <c r="AI481" s="8" t="str">
        <f>IF(RawSalesTable[[#This Row],[Month_Number]]&lt;=3,"Q1",IF(RawSalesTable[[#This Row],[Month_Number]]&lt;=6,"Q2",IF(RawSalesTable[[#This Row],[Month_Number]]&lt;=9,"Q3","Q4")))</f>
        <v>Q2</v>
      </c>
      <c r="AJ481" s="13">
        <f>DATE(YEAR(RawSalesTable[[#This Row],[Order_Date]]),MONTH(RawSalesTable[[#This Row],[Order_Date]]),1)</f>
        <v>45809</v>
      </c>
      <c r="AK481" s="8" t="str">
        <f>VLOOKUP(RawSalesTable[[#This Row],[Customer_ID_clean]],CustomersTable[],4,FALSE)</f>
        <v>Alberta</v>
      </c>
    </row>
    <row r="482" spans="1:37">
      <c r="A482" t="s">
        <v>905</v>
      </c>
      <c r="B482" s="3">
        <v>45896</v>
      </c>
      <c r="C482" t="s">
        <v>551</v>
      </c>
      <c r="D482" t="s">
        <v>217</v>
      </c>
      <c r="E482" t="s">
        <v>552</v>
      </c>
      <c r="F482" t="s">
        <v>116</v>
      </c>
      <c r="G482" t="s">
        <v>117</v>
      </c>
      <c r="H482" t="s">
        <v>89</v>
      </c>
      <c r="I482">
        <v>3</v>
      </c>
      <c r="J482" s="2">
        <v>111.3</v>
      </c>
      <c r="K482" s="4">
        <v>0.2</v>
      </c>
      <c r="L482" t="s">
        <v>98</v>
      </c>
      <c r="M482">
        <v>4</v>
      </c>
      <c r="N482" t="s">
        <v>91</v>
      </c>
      <c r="O482" t="str">
        <f>SUBSTITUTE(PROPER(TRIM(RawSalesTable[[#This Row],[Channel_Raw]])), "Market Place", "Marketplace")</f>
        <v>Online</v>
      </c>
      <c r="P482" t="str">
        <f>TRIM(RawSalesTable[[#This Row],[Store_Raw]])</f>
        <v>Toronto Downtown</v>
      </c>
      <c r="Q482" t="str">
        <f>IF(TRIM(RawSalesTable[[#This Row],[Payment_Method_Raw]])="","Non renseigné",SUBSTITUTE(TRIM(RawSalesTable[[#This Row],[Payment_Method_Raw]]),"CC","Credit Card"))</f>
        <v>Debit Card</v>
      </c>
      <c r="R482" s="8" t="str">
        <f>UPPER(PROPER(RawSalesTable[[#This Row],[Customer_ID]]))</f>
        <v>C0094</v>
      </c>
      <c r="S482" s="8" t="str">
        <f>TRIM(LEFT(RawSalesTable[[#This Row],[Customer_Info]],FIND(",",RawSalesTable[[#This Row],[Customer_Info]]) -1))</f>
        <v>Mia Singh</v>
      </c>
      <c r="T482" s="8" t="str">
        <f>TRIM(MID(RawSalesTable[[#This Row],[Customer_Info]],FIND(",",RawSalesTable[[#This Row],[Customer_Info]])+1,FIND(",",RawSalesTable[[#This Row],[Customer_Info]],FIND(",",RawSalesTable[[#This Row],[Customer_Info]])+1)-FIND(",",RawSalesTable[[#This Row],[Customer_Info]])-1))</f>
        <v>Quebec City</v>
      </c>
      <c r="U482" s="8" t="str">
        <f>TRIM(RIGHT(RawSalesTable[[#This Row],[Customer_Info]], LEN(RawSalesTable[[#This Row],[Customer_Info]])-FIND(",",RawSalesTable[[#This Row],[Customer_Info]],FIND(",",RawSalesTable[[#This Row],[Customer_Info]])+1)))</f>
        <v>Consumer</v>
      </c>
      <c r="V482" s="8" t="str">
        <f>VLOOKUP(RawSalesTable[[#This Row],[Product_ID]],ProductsTable[],2,FALSE)</f>
        <v>USB-C Hub</v>
      </c>
      <c r="W482" s="8" t="str">
        <f>VLOOKUP(RawSalesTable[[#This Row],[Product_ID]],ProductsTable[],3,FALSE)</f>
        <v>Electronics</v>
      </c>
      <c r="X482" s="8">
        <f>VLOOKUP(RawSalesTable[[#This Row],[Product_ID]],ProductsTable[],5,FALSE)</f>
        <v>72</v>
      </c>
      <c r="Y482" s="8">
        <f>RawSalesTable[[#This Row],[Quantity]]*RawSalesTable[[#This Row],[Unit_Price]]</f>
        <v>333.9</v>
      </c>
      <c r="Z482" s="8">
        <f>RawSalesTable[[#This Row],[Gross_Sales]]*RawSalesTable[[#This Row],[Discount_Pct]]</f>
        <v>66.78</v>
      </c>
      <c r="AA482" s="8">
        <f>RawSalesTable[[#This Row],[Gross_Sales]]-RawSalesTable[[#This Row],[Discount_Amount]]</f>
        <v>267.12</v>
      </c>
      <c r="AB482" s="8">
        <f>RawSalesTable[[#This Row],[Unit_Cost]]*RawSalesTable[[#This Row],[Quantity]]</f>
        <v>216</v>
      </c>
      <c r="AC482" s="8">
        <f>RawSalesTable[[#This Row],[Net_Sales]]-RawSalesTable[[#This Row],[Total_Cost]]</f>
        <v>51.120000000000005</v>
      </c>
      <c r="AD482" s="9">
        <f>RawSalesTable[[#This Row],[Profit]]/RawSalesTable[[#This Row],[Net_Sales]]</f>
        <v>0.19137466307277629</v>
      </c>
      <c r="AE482" s="8">
        <f>IF(RawSalesTable[[#This Row],[Return_Status]]="Yes",1,0)</f>
        <v>0</v>
      </c>
      <c r="AF482" s="8">
        <f>YEAR(RawSalesTable[[#This Row],[Order_Date]])</f>
        <v>2025</v>
      </c>
      <c r="AG482" s="8">
        <f>MONTH(RawSalesTable[[#This Row],[Order_Date]])</f>
        <v>8</v>
      </c>
      <c r="AH482" s="8" t="str">
        <f>TEXT(RawSalesTable[[#This Row],[Order_Date]],"mmmm")</f>
        <v>août</v>
      </c>
      <c r="AI482" s="8" t="str">
        <f>IF(RawSalesTable[[#This Row],[Month_Number]]&lt;=3,"Q1",IF(RawSalesTable[[#This Row],[Month_Number]]&lt;=6,"Q2",IF(RawSalesTable[[#This Row],[Month_Number]]&lt;=9,"Q3","Q4")))</f>
        <v>Q3</v>
      </c>
      <c r="AJ482" s="13">
        <f>DATE(YEAR(RawSalesTable[[#This Row],[Order_Date]]),MONTH(RawSalesTable[[#This Row],[Order_Date]]),1)</f>
        <v>45870</v>
      </c>
      <c r="AK482" s="8" t="str">
        <f>VLOOKUP(RawSalesTable[[#This Row],[Customer_ID_clean]],CustomersTable[],4,FALSE)</f>
        <v>Quebec</v>
      </c>
    </row>
    <row r="483" spans="1:37">
      <c r="A483" t="s">
        <v>906</v>
      </c>
      <c r="B483" s="3">
        <v>45974</v>
      </c>
      <c r="C483" t="s">
        <v>213</v>
      </c>
      <c r="D483" t="s">
        <v>249</v>
      </c>
      <c r="E483" t="s">
        <v>907</v>
      </c>
      <c r="F483" t="s">
        <v>103</v>
      </c>
      <c r="G483" t="s">
        <v>122</v>
      </c>
      <c r="H483" t="s">
        <v>246</v>
      </c>
      <c r="I483">
        <v>2</v>
      </c>
      <c r="J483" s="2">
        <v>401.68</v>
      </c>
      <c r="K483" s="4">
        <v>0.1</v>
      </c>
      <c r="L483" t="s">
        <v>98</v>
      </c>
      <c r="M483">
        <v>3</v>
      </c>
      <c r="N483" t="s">
        <v>91</v>
      </c>
      <c r="O483" t="str">
        <f>SUBSTITUTE(PROPER(TRIM(RawSalesTable[[#This Row],[Channel_Raw]])), "Market Place", "Marketplace")</f>
        <v>Retail Store</v>
      </c>
      <c r="P483" t="str">
        <f>TRIM(RawSalesTable[[#This Row],[Store_Raw]])</f>
        <v>Vancouver West</v>
      </c>
      <c r="Q483" t="str">
        <f>IF(TRIM(RawSalesTable[[#This Row],[Payment_Method_Raw]])="","Non renseigné",SUBSTITUTE(TRIM(RawSalesTable[[#This Row],[Payment_Method_Raw]]),"CC","Credit Card"))</f>
        <v>Debit Card</v>
      </c>
      <c r="R483" s="8" t="str">
        <f>UPPER(PROPER(RawSalesTable[[#This Row],[Customer_ID]]))</f>
        <v>C0001</v>
      </c>
      <c r="S483" s="8" t="str">
        <f>TRIM(LEFT(RawSalesTable[[#This Row],[Customer_Info]],FIND(",",RawSalesTable[[#This Row],[Customer_Info]]) -1))</f>
        <v>Ethan Roy</v>
      </c>
      <c r="T483" s="8" t="str">
        <f>TRIM(MID(RawSalesTable[[#This Row],[Customer_Info]],FIND(",",RawSalesTable[[#This Row],[Customer_Info]])+1,FIND(",",RawSalesTable[[#This Row],[Customer_Info]],FIND(",",RawSalesTable[[#This Row],[Customer_Info]])+1)-FIND(",",RawSalesTable[[#This Row],[Customer_Info]])-1))</f>
        <v>Halifax</v>
      </c>
      <c r="U483" s="8" t="str">
        <f>TRIM(RIGHT(RawSalesTable[[#This Row],[Customer_Info]], LEN(RawSalesTable[[#This Row],[Customer_Info]])-FIND(",",RawSalesTable[[#This Row],[Customer_Info]],FIND(",",RawSalesTable[[#This Row],[Customer_Info]])+1)))</f>
        <v>Consumer</v>
      </c>
      <c r="V483" s="8" t="str">
        <f>VLOOKUP(RawSalesTable[[#This Row],[Product_ID]],ProductsTable[],2,FALSE)</f>
        <v>Humidifier</v>
      </c>
      <c r="W483" s="8" t="str">
        <f>VLOOKUP(RawSalesTable[[#This Row],[Product_ID]],ProductsTable[],3,FALSE)</f>
        <v>Home</v>
      </c>
      <c r="X483" s="8">
        <f>VLOOKUP(RawSalesTable[[#This Row],[Product_ID]],ProductsTable[],5,FALSE)</f>
        <v>239.67</v>
      </c>
      <c r="Y483" s="8">
        <f>RawSalesTable[[#This Row],[Quantity]]*RawSalesTable[[#This Row],[Unit_Price]]</f>
        <v>803.36</v>
      </c>
      <c r="Z483" s="8">
        <f>RawSalesTable[[#This Row],[Gross_Sales]]*RawSalesTable[[#This Row],[Discount_Pct]]</f>
        <v>80.336000000000013</v>
      </c>
      <c r="AA483" s="8">
        <f>RawSalesTable[[#This Row],[Gross_Sales]]-RawSalesTable[[#This Row],[Discount_Amount]]</f>
        <v>723.024</v>
      </c>
      <c r="AB483" s="8">
        <f>RawSalesTable[[#This Row],[Unit_Cost]]*RawSalesTable[[#This Row],[Quantity]]</f>
        <v>479.34</v>
      </c>
      <c r="AC483" s="8">
        <f>RawSalesTable[[#This Row],[Net_Sales]]-RawSalesTable[[#This Row],[Total_Cost]]</f>
        <v>243.68400000000003</v>
      </c>
      <c r="AD483" s="9">
        <f>RawSalesTable[[#This Row],[Profit]]/RawSalesTable[[#This Row],[Net_Sales]]</f>
        <v>0.3370344552877913</v>
      </c>
      <c r="AE483" s="8">
        <f>IF(RawSalesTable[[#This Row],[Return_Status]]="Yes",1,0)</f>
        <v>0</v>
      </c>
      <c r="AF483" s="8">
        <f>YEAR(RawSalesTable[[#This Row],[Order_Date]])</f>
        <v>2025</v>
      </c>
      <c r="AG483" s="8">
        <f>MONTH(RawSalesTable[[#This Row],[Order_Date]])</f>
        <v>11</v>
      </c>
      <c r="AH483" s="8" t="str">
        <f>TEXT(RawSalesTable[[#This Row],[Order_Date]],"mmmm")</f>
        <v>novembre</v>
      </c>
      <c r="AI483" s="8" t="str">
        <f>IF(RawSalesTable[[#This Row],[Month_Number]]&lt;=3,"Q1",IF(RawSalesTable[[#This Row],[Month_Number]]&lt;=6,"Q2",IF(RawSalesTable[[#This Row],[Month_Number]]&lt;=9,"Q3","Q4")))</f>
        <v>Q4</v>
      </c>
      <c r="AJ483" s="13">
        <f>DATE(YEAR(RawSalesTable[[#This Row],[Order_Date]]),MONTH(RawSalesTable[[#This Row],[Order_Date]]),1)</f>
        <v>45962</v>
      </c>
      <c r="AK483" s="8" t="str">
        <f>VLOOKUP(RawSalesTable[[#This Row],[Customer_ID_clean]],CustomersTable[],4,FALSE)</f>
        <v>Nova Scotia</v>
      </c>
    </row>
    <row r="484" spans="1:37">
      <c r="A484" t="s">
        <v>908</v>
      </c>
      <c r="B484" s="3">
        <v>45773</v>
      </c>
      <c r="C484" t="s">
        <v>230</v>
      </c>
      <c r="D484" t="s">
        <v>738</v>
      </c>
      <c r="E484" t="s">
        <v>909</v>
      </c>
      <c r="F484" t="s">
        <v>87</v>
      </c>
      <c r="G484" t="s">
        <v>88</v>
      </c>
      <c r="H484" t="s">
        <v>89</v>
      </c>
      <c r="I484">
        <v>3</v>
      </c>
      <c r="J484" s="2">
        <v>329.79</v>
      </c>
      <c r="K484" s="4">
        <v>0.1</v>
      </c>
      <c r="L484" t="s">
        <v>90</v>
      </c>
      <c r="M484">
        <v>3</v>
      </c>
      <c r="N484" t="s">
        <v>91</v>
      </c>
      <c r="O484" t="str">
        <f>SUBSTITUTE(PROPER(TRIM(RawSalesTable[[#This Row],[Channel_Raw]])), "Market Place", "Marketplace")</f>
        <v>Online</v>
      </c>
      <c r="P484" t="str">
        <f>TRIM(RawSalesTable[[#This Row],[Store_Raw]])</f>
        <v>Online Fulfillment</v>
      </c>
      <c r="Q484" t="str">
        <f>IF(TRIM(RawSalesTable[[#This Row],[Payment_Method_Raw]])="","Non renseigné",SUBSTITUTE(TRIM(RawSalesTable[[#This Row],[Payment_Method_Raw]]),"CC","Credit Card"))</f>
        <v>PayPal</v>
      </c>
      <c r="R484" s="8" t="str">
        <f>UPPER(PROPER(RawSalesTable[[#This Row],[Customer_ID]]))</f>
        <v>C0063</v>
      </c>
      <c r="S484" s="8" t="str">
        <f>TRIM(LEFT(RawSalesTable[[#This Row],[Customer_Info]],FIND(",",RawSalesTable[[#This Row],[Customer_Info]]) -1))</f>
        <v>Adam Singh</v>
      </c>
      <c r="T484" s="8" t="str">
        <f>TRIM(MID(RawSalesTable[[#This Row],[Customer_Info]],FIND(",",RawSalesTable[[#This Row],[Customer_Info]])+1,FIND(",",RawSalesTable[[#This Row],[Customer_Info]],FIND(",",RawSalesTable[[#This Row],[Customer_Info]])+1)-FIND(",",RawSalesTable[[#This Row],[Customer_Info]])-1))</f>
        <v>Laval</v>
      </c>
      <c r="U484" s="8" t="str">
        <f>TRIM(RIGHT(RawSalesTable[[#This Row],[Customer_Info]], LEN(RawSalesTable[[#This Row],[Customer_Info]])-FIND(",",RawSalesTable[[#This Row],[Customer_Info]],FIND(",",RawSalesTable[[#This Row],[Customer_Info]])+1)))</f>
        <v>Small Business</v>
      </c>
      <c r="V484" s="8" t="str">
        <f>VLOOKUP(RawSalesTable[[#This Row],[Product_ID]],ProductsTable[],2,FALSE)</f>
        <v>Printer</v>
      </c>
      <c r="W484" s="8" t="str">
        <f>VLOOKUP(RawSalesTable[[#This Row],[Product_ID]],ProductsTable[],3,FALSE)</f>
        <v>Office</v>
      </c>
      <c r="X484" s="8">
        <f>VLOOKUP(RawSalesTable[[#This Row],[Product_ID]],ProductsTable[],5,FALSE)</f>
        <v>156.75</v>
      </c>
      <c r="Y484" s="8">
        <f>RawSalesTable[[#This Row],[Quantity]]*RawSalesTable[[#This Row],[Unit_Price]]</f>
        <v>989.37000000000012</v>
      </c>
      <c r="Z484" s="8">
        <f>RawSalesTable[[#This Row],[Gross_Sales]]*RawSalesTable[[#This Row],[Discount_Pct]]</f>
        <v>98.937000000000012</v>
      </c>
      <c r="AA484" s="8">
        <f>RawSalesTable[[#This Row],[Gross_Sales]]-RawSalesTable[[#This Row],[Discount_Amount]]</f>
        <v>890.43300000000011</v>
      </c>
      <c r="AB484" s="8">
        <f>RawSalesTable[[#This Row],[Unit_Cost]]*RawSalesTable[[#This Row],[Quantity]]</f>
        <v>470.25</v>
      </c>
      <c r="AC484" s="8">
        <f>RawSalesTable[[#This Row],[Net_Sales]]-RawSalesTable[[#This Row],[Total_Cost]]</f>
        <v>420.18300000000011</v>
      </c>
      <c r="AD484" s="9">
        <f>RawSalesTable[[#This Row],[Profit]]/RawSalesTable[[#This Row],[Net_Sales]]</f>
        <v>0.47188614977207727</v>
      </c>
      <c r="AE484" s="8">
        <f>IF(RawSalesTable[[#This Row],[Return_Status]]="Yes",1,0)</f>
        <v>0</v>
      </c>
      <c r="AF484" s="8">
        <f>YEAR(RawSalesTable[[#This Row],[Order_Date]])</f>
        <v>2025</v>
      </c>
      <c r="AG484" s="8">
        <f>MONTH(RawSalesTable[[#This Row],[Order_Date]])</f>
        <v>4</v>
      </c>
      <c r="AH484" s="8" t="str">
        <f>TEXT(RawSalesTable[[#This Row],[Order_Date]],"mmmm")</f>
        <v>avril</v>
      </c>
      <c r="AI484" s="8" t="str">
        <f>IF(RawSalesTable[[#This Row],[Month_Number]]&lt;=3,"Q1",IF(RawSalesTable[[#This Row],[Month_Number]]&lt;=6,"Q2",IF(RawSalesTable[[#This Row],[Month_Number]]&lt;=9,"Q3","Q4")))</f>
        <v>Q2</v>
      </c>
      <c r="AJ484" s="13">
        <f>DATE(YEAR(RawSalesTable[[#This Row],[Order_Date]]),MONTH(RawSalesTable[[#This Row],[Order_Date]]),1)</f>
        <v>45748</v>
      </c>
      <c r="AK484" s="8" t="str">
        <f>VLOOKUP(RawSalesTable[[#This Row],[Customer_ID_clean]],CustomersTable[],4,FALSE)</f>
        <v>Quebec</v>
      </c>
    </row>
    <row r="485" spans="1:37">
      <c r="A485" t="s">
        <v>910</v>
      </c>
      <c r="B485" s="3">
        <v>45837</v>
      </c>
      <c r="C485" t="s">
        <v>177</v>
      </c>
      <c r="D485" t="s">
        <v>109</v>
      </c>
      <c r="E485" t="s">
        <v>178</v>
      </c>
      <c r="F485" t="s">
        <v>87</v>
      </c>
      <c r="G485" t="s">
        <v>171</v>
      </c>
      <c r="H485" t="s">
        <v>89</v>
      </c>
      <c r="I485">
        <v>1</v>
      </c>
      <c r="J485" s="2">
        <v>202.81</v>
      </c>
      <c r="K485" s="4">
        <v>0.15</v>
      </c>
      <c r="L485" t="s">
        <v>106</v>
      </c>
      <c r="M485">
        <v>9</v>
      </c>
      <c r="N485" t="s">
        <v>91</v>
      </c>
      <c r="O485" t="str">
        <f>SUBSTITUTE(PROPER(TRIM(RawSalesTable[[#This Row],[Channel_Raw]])), "Market Place", "Marketplace")</f>
        <v>Online</v>
      </c>
      <c r="P485" t="str">
        <f>TRIM(RawSalesTable[[#This Row],[Store_Raw]])</f>
        <v>Online Fulfillment</v>
      </c>
      <c r="Q485" t="str">
        <f>IF(TRIM(RawSalesTable[[#This Row],[Payment_Method_Raw]])="","Non renseigné",SUBSTITUTE(TRIM(RawSalesTable[[#This Row],[Payment_Method_Raw]]),"CC","Credit Card"))</f>
        <v>Credit Card</v>
      </c>
      <c r="R485" s="8" t="str">
        <f>UPPER(PROPER(RawSalesTable[[#This Row],[Customer_ID]]))</f>
        <v>C0041</v>
      </c>
      <c r="S485" s="8" t="str">
        <f>TRIM(LEFT(RawSalesTable[[#This Row],[Customer_Info]],FIND(",",RawSalesTable[[#This Row],[Customer_Info]]) -1))</f>
        <v>Amine Chen</v>
      </c>
      <c r="T485" s="8" t="str">
        <f>TRIM(MID(RawSalesTable[[#This Row],[Customer_Info]],FIND(",",RawSalesTable[[#This Row],[Customer_Info]])+1,FIND(",",RawSalesTable[[#This Row],[Customer_Info]],FIND(",",RawSalesTable[[#This Row],[Customer_Info]])+1)-FIND(",",RawSalesTable[[#This Row],[Customer_Info]])-1))</f>
        <v>Halifax</v>
      </c>
      <c r="U485" s="8" t="str">
        <f>TRIM(RIGHT(RawSalesTable[[#This Row],[Customer_Info]], LEN(RawSalesTable[[#This Row],[Customer_Info]])-FIND(",",RawSalesTable[[#This Row],[Customer_Info]],FIND(",",RawSalesTable[[#This Row],[Customer_Info]])+1)))</f>
        <v>Small Business</v>
      </c>
      <c r="V485" s="8" t="str">
        <f>VLOOKUP(RawSalesTable[[#This Row],[Product_ID]],ProductsTable[],2,FALSE)</f>
        <v>Gym Bag</v>
      </c>
      <c r="W485" s="8" t="str">
        <f>VLOOKUP(RawSalesTable[[#This Row],[Product_ID]],ProductsTable[],3,FALSE)</f>
        <v>Fitness</v>
      </c>
      <c r="X485" s="8">
        <f>VLOOKUP(RawSalesTable[[#This Row],[Product_ID]],ProductsTable[],5,FALSE)</f>
        <v>132.72</v>
      </c>
      <c r="Y485" s="8">
        <f>RawSalesTable[[#This Row],[Quantity]]*RawSalesTable[[#This Row],[Unit_Price]]</f>
        <v>202.81</v>
      </c>
      <c r="Z485" s="8">
        <f>RawSalesTable[[#This Row],[Gross_Sales]]*RawSalesTable[[#This Row],[Discount_Pct]]</f>
        <v>30.421499999999998</v>
      </c>
      <c r="AA485" s="8">
        <f>RawSalesTable[[#This Row],[Gross_Sales]]-RawSalesTable[[#This Row],[Discount_Amount]]</f>
        <v>172.38849999999999</v>
      </c>
      <c r="AB485" s="8">
        <f>RawSalesTable[[#This Row],[Unit_Cost]]*RawSalesTable[[#This Row],[Quantity]]</f>
        <v>132.72</v>
      </c>
      <c r="AC485" s="8">
        <f>RawSalesTable[[#This Row],[Net_Sales]]-RawSalesTable[[#This Row],[Total_Cost]]</f>
        <v>39.668499999999995</v>
      </c>
      <c r="AD485" s="9">
        <f>RawSalesTable[[#This Row],[Profit]]/RawSalesTable[[#This Row],[Net_Sales]]</f>
        <v>0.23011105729210474</v>
      </c>
      <c r="AE485" s="8">
        <f>IF(RawSalesTable[[#This Row],[Return_Status]]="Yes",1,0)</f>
        <v>0</v>
      </c>
      <c r="AF485" s="8">
        <f>YEAR(RawSalesTable[[#This Row],[Order_Date]])</f>
        <v>2025</v>
      </c>
      <c r="AG485" s="8">
        <f>MONTH(RawSalesTable[[#This Row],[Order_Date]])</f>
        <v>6</v>
      </c>
      <c r="AH485" s="8" t="str">
        <f>TEXT(RawSalesTable[[#This Row],[Order_Date]],"mmmm")</f>
        <v>juin</v>
      </c>
      <c r="AI485" s="8" t="str">
        <f>IF(RawSalesTable[[#This Row],[Month_Number]]&lt;=3,"Q1",IF(RawSalesTable[[#This Row],[Month_Number]]&lt;=6,"Q2",IF(RawSalesTable[[#This Row],[Month_Number]]&lt;=9,"Q3","Q4")))</f>
        <v>Q2</v>
      </c>
      <c r="AJ485" s="13">
        <f>DATE(YEAR(RawSalesTable[[#This Row],[Order_Date]]),MONTH(RawSalesTable[[#This Row],[Order_Date]]),1)</f>
        <v>45809</v>
      </c>
      <c r="AK485" s="8" t="str">
        <f>VLOOKUP(RawSalesTable[[#This Row],[Customer_ID_clean]],CustomersTable[],4,FALSE)</f>
        <v>Nova Scotia</v>
      </c>
    </row>
    <row r="486" spans="1:37">
      <c r="A486" t="s">
        <v>911</v>
      </c>
      <c r="B486" s="3">
        <v>45956</v>
      </c>
      <c r="C486" t="s">
        <v>283</v>
      </c>
      <c r="D486" t="s">
        <v>152</v>
      </c>
      <c r="E486" t="s">
        <v>284</v>
      </c>
      <c r="F486" t="s">
        <v>187</v>
      </c>
      <c r="G486" t="s">
        <v>130</v>
      </c>
      <c r="H486" t="s">
        <v>89</v>
      </c>
      <c r="I486">
        <v>2</v>
      </c>
      <c r="J486" s="2">
        <v>128.86000000000001</v>
      </c>
      <c r="K486" s="4">
        <v>0</v>
      </c>
      <c r="L486" t="s">
        <v>441</v>
      </c>
      <c r="M486">
        <v>6</v>
      </c>
      <c r="N486" t="s">
        <v>147</v>
      </c>
      <c r="O486" t="str">
        <f>SUBSTITUTE(PROPER(TRIM(RawSalesTable[[#This Row],[Channel_Raw]])), "Market Place", "Marketplace")</f>
        <v>Online</v>
      </c>
      <c r="P486" t="str">
        <f>TRIM(RawSalesTable[[#This Row],[Store_Raw]])</f>
        <v>Vancouver West</v>
      </c>
      <c r="Q486" t="str">
        <f>IF(TRIM(RawSalesTable[[#This Row],[Payment_Method_Raw]])="","Non renseigné",SUBSTITUTE(TRIM(RawSalesTable[[#This Row],[Payment_Method_Raw]]),"CC","Credit Card"))</f>
        <v>credit card</v>
      </c>
      <c r="R486" s="8" t="str">
        <f>UPPER(PROPER(RawSalesTable[[#This Row],[Customer_ID]]))</f>
        <v>C0033</v>
      </c>
      <c r="S486" s="8" t="str">
        <f>TRIM(LEFT(RawSalesTable[[#This Row],[Customer_Info]],FIND(",",RawSalesTable[[#This Row],[Customer_Info]]) -1))</f>
        <v>Maya Hall</v>
      </c>
      <c r="T486" s="8" t="str">
        <f>TRIM(MID(RawSalesTable[[#This Row],[Customer_Info]],FIND(",",RawSalesTable[[#This Row],[Customer_Info]])+1,FIND(",",RawSalesTable[[#This Row],[Customer_Info]],FIND(",",RawSalesTable[[#This Row],[Customer_Info]])+1)-FIND(",",RawSalesTable[[#This Row],[Customer_Info]])-1))</f>
        <v>Winnipeg</v>
      </c>
      <c r="U486" s="8" t="str">
        <f>TRIM(RIGHT(RawSalesTable[[#This Row],[Customer_Info]], LEN(RawSalesTable[[#This Row],[Customer_Info]])-FIND(",",RawSalesTable[[#This Row],[Customer_Info]],FIND(",",RawSalesTable[[#This Row],[Customer_Info]])+1)))</f>
        <v>Consumer</v>
      </c>
      <c r="V486" s="8" t="str">
        <f>VLOOKUP(RawSalesTable[[#This Row],[Product_ID]],ProductsTable[],2,FALSE)</f>
        <v>Smart Speaker</v>
      </c>
      <c r="W486" s="8" t="str">
        <f>VLOOKUP(RawSalesTable[[#This Row],[Product_ID]],ProductsTable[],3,FALSE)</f>
        <v>Electronics</v>
      </c>
      <c r="X486" s="8">
        <f>VLOOKUP(RawSalesTable[[#This Row],[Product_ID]],ProductsTable[],5,FALSE)</f>
        <v>69</v>
      </c>
      <c r="Y486" s="8">
        <f>RawSalesTable[[#This Row],[Quantity]]*RawSalesTable[[#This Row],[Unit_Price]]</f>
        <v>257.72000000000003</v>
      </c>
      <c r="Z486" s="8">
        <f>RawSalesTable[[#This Row],[Gross_Sales]]*RawSalesTable[[#This Row],[Discount_Pct]]</f>
        <v>0</v>
      </c>
      <c r="AA486" s="8">
        <f>RawSalesTable[[#This Row],[Gross_Sales]]-RawSalesTable[[#This Row],[Discount_Amount]]</f>
        <v>257.72000000000003</v>
      </c>
      <c r="AB486" s="8">
        <f>RawSalesTable[[#This Row],[Unit_Cost]]*RawSalesTable[[#This Row],[Quantity]]</f>
        <v>138</v>
      </c>
      <c r="AC486" s="8">
        <f>RawSalesTable[[#This Row],[Net_Sales]]-RawSalesTable[[#This Row],[Total_Cost]]</f>
        <v>119.72000000000003</v>
      </c>
      <c r="AD486" s="9">
        <f>RawSalesTable[[#This Row],[Profit]]/RawSalesTable[[#This Row],[Net_Sales]]</f>
        <v>0.46453515443116566</v>
      </c>
      <c r="AE486" s="8">
        <f>IF(RawSalesTable[[#This Row],[Return_Status]]="Yes",1,0)</f>
        <v>1</v>
      </c>
      <c r="AF486" s="8">
        <f>YEAR(RawSalesTable[[#This Row],[Order_Date]])</f>
        <v>2025</v>
      </c>
      <c r="AG486" s="8">
        <f>MONTH(RawSalesTable[[#This Row],[Order_Date]])</f>
        <v>10</v>
      </c>
      <c r="AH486" s="8" t="str">
        <f>TEXT(RawSalesTable[[#This Row],[Order_Date]],"mmmm")</f>
        <v>octobre</v>
      </c>
      <c r="AI486" s="8" t="str">
        <f>IF(RawSalesTable[[#This Row],[Month_Number]]&lt;=3,"Q1",IF(RawSalesTable[[#This Row],[Month_Number]]&lt;=6,"Q2",IF(RawSalesTable[[#This Row],[Month_Number]]&lt;=9,"Q3","Q4")))</f>
        <v>Q4</v>
      </c>
      <c r="AJ486" s="13">
        <f>DATE(YEAR(RawSalesTable[[#This Row],[Order_Date]]),MONTH(RawSalesTable[[#This Row],[Order_Date]]),1)</f>
        <v>45931</v>
      </c>
      <c r="AK486" s="8" t="str">
        <f>VLOOKUP(RawSalesTable[[#This Row],[Customer_ID_clean]],CustomersTable[],4,FALSE)</f>
        <v>Manitoba</v>
      </c>
    </row>
    <row r="487" spans="1:37">
      <c r="A487" t="s">
        <v>912</v>
      </c>
      <c r="B487" s="3">
        <v>45735</v>
      </c>
      <c r="C487" t="s">
        <v>290</v>
      </c>
      <c r="D487" t="s">
        <v>271</v>
      </c>
      <c r="E487" t="s">
        <v>732</v>
      </c>
      <c r="F487" t="s">
        <v>103</v>
      </c>
      <c r="G487" t="s">
        <v>171</v>
      </c>
      <c r="H487" t="s">
        <v>89</v>
      </c>
      <c r="I487">
        <v>2</v>
      </c>
      <c r="J487" s="2">
        <v>223.1</v>
      </c>
      <c r="K487" s="4">
        <v>0.25</v>
      </c>
      <c r="L487" t="s">
        <v>106</v>
      </c>
      <c r="M487">
        <v>8</v>
      </c>
      <c r="N487" t="s">
        <v>91</v>
      </c>
      <c r="O487" t="str">
        <f>SUBSTITUTE(PROPER(TRIM(RawSalesTable[[#This Row],[Channel_Raw]])), "Market Place", "Marketplace")</f>
        <v>Online</v>
      </c>
      <c r="P487" t="str">
        <f>TRIM(RawSalesTable[[#This Row],[Store_Raw]])</f>
        <v>Vancouver West</v>
      </c>
      <c r="Q487" t="str">
        <f>IF(TRIM(RawSalesTable[[#This Row],[Payment_Method_Raw]])="","Non renseigné",SUBSTITUTE(TRIM(RawSalesTable[[#This Row],[Payment_Method_Raw]]),"CC","Credit Card"))</f>
        <v>Credit Card</v>
      </c>
      <c r="R487" s="8" t="str">
        <f>UPPER(PROPER(RawSalesTable[[#This Row],[Customer_ID]]))</f>
        <v>C0116</v>
      </c>
      <c r="S487" s="8" t="str">
        <f>TRIM(LEFT(RawSalesTable[[#This Row],[Customer_Info]],FIND(",",RawSalesTable[[#This Row],[Customer_Info]]) -1))</f>
        <v>Lucas Brown</v>
      </c>
      <c r="T487" s="8" t="str">
        <f>TRIM(MID(RawSalesTable[[#This Row],[Customer_Info]],FIND(",",RawSalesTable[[#This Row],[Customer_Info]])+1,FIND(",",RawSalesTable[[#This Row],[Customer_Info]],FIND(",",RawSalesTable[[#This Row],[Customer_Info]])+1)-FIND(",",RawSalesTable[[#This Row],[Customer_Info]])-1))</f>
        <v>Mississauga</v>
      </c>
      <c r="U487" s="8" t="str">
        <f>TRIM(RIGHT(RawSalesTable[[#This Row],[Customer_Info]], LEN(RawSalesTable[[#This Row],[Customer_Info]])-FIND(",",RawSalesTable[[#This Row],[Customer_Info]],FIND(",",RawSalesTable[[#This Row],[Customer_Info]])+1)))</f>
        <v>Corporate</v>
      </c>
      <c r="V487" s="8" t="str">
        <f>VLOOKUP(RawSalesTable[[#This Row],[Product_ID]],ProductsTable[],2,FALSE)</f>
        <v>Resistance Bands</v>
      </c>
      <c r="W487" s="8" t="str">
        <f>VLOOKUP(RawSalesTable[[#This Row],[Product_ID]],ProductsTable[],3,FALSE)</f>
        <v>Fitness</v>
      </c>
      <c r="X487" s="8">
        <f>VLOOKUP(RawSalesTable[[#This Row],[Product_ID]],ProductsTable[],5,FALSE)</f>
        <v>139.19999999999999</v>
      </c>
      <c r="Y487" s="8">
        <f>RawSalesTable[[#This Row],[Quantity]]*RawSalesTable[[#This Row],[Unit_Price]]</f>
        <v>446.2</v>
      </c>
      <c r="Z487" s="8">
        <f>RawSalesTable[[#This Row],[Gross_Sales]]*RawSalesTable[[#This Row],[Discount_Pct]]</f>
        <v>111.55</v>
      </c>
      <c r="AA487" s="8">
        <f>RawSalesTable[[#This Row],[Gross_Sales]]-RawSalesTable[[#This Row],[Discount_Amount]]</f>
        <v>334.65</v>
      </c>
      <c r="AB487" s="8">
        <f>RawSalesTable[[#This Row],[Unit_Cost]]*RawSalesTable[[#This Row],[Quantity]]</f>
        <v>278.39999999999998</v>
      </c>
      <c r="AC487" s="8">
        <f>RawSalesTable[[#This Row],[Net_Sales]]-RawSalesTable[[#This Row],[Total_Cost]]</f>
        <v>56.25</v>
      </c>
      <c r="AD487" s="9">
        <f>RawSalesTable[[#This Row],[Profit]]/RawSalesTable[[#This Row],[Net_Sales]]</f>
        <v>0.16808606006275215</v>
      </c>
      <c r="AE487" s="8">
        <f>IF(RawSalesTable[[#This Row],[Return_Status]]="Yes",1,0)</f>
        <v>0</v>
      </c>
      <c r="AF487" s="8">
        <f>YEAR(RawSalesTable[[#This Row],[Order_Date]])</f>
        <v>2025</v>
      </c>
      <c r="AG487" s="8">
        <f>MONTH(RawSalesTable[[#This Row],[Order_Date]])</f>
        <v>3</v>
      </c>
      <c r="AH487" s="8" t="str">
        <f>TEXT(RawSalesTable[[#This Row],[Order_Date]],"mmmm")</f>
        <v>mars</v>
      </c>
      <c r="AI487" s="8" t="str">
        <f>IF(RawSalesTable[[#This Row],[Month_Number]]&lt;=3,"Q1",IF(RawSalesTable[[#This Row],[Month_Number]]&lt;=6,"Q2",IF(RawSalesTable[[#This Row],[Month_Number]]&lt;=9,"Q3","Q4")))</f>
        <v>Q1</v>
      </c>
      <c r="AJ487" s="13">
        <f>DATE(YEAR(RawSalesTable[[#This Row],[Order_Date]]),MONTH(RawSalesTable[[#This Row],[Order_Date]]),1)</f>
        <v>45717</v>
      </c>
      <c r="AK487" s="8" t="str">
        <f>VLOOKUP(RawSalesTable[[#This Row],[Customer_ID_clean]],CustomersTable[],4,FALSE)</f>
        <v>Ontario</v>
      </c>
    </row>
    <row r="488" spans="1:37">
      <c r="A488" t="s">
        <v>913</v>
      </c>
      <c r="B488" s="3">
        <v>45768</v>
      </c>
      <c r="C488" t="s">
        <v>548</v>
      </c>
      <c r="D488" t="s">
        <v>261</v>
      </c>
      <c r="E488" t="s">
        <v>585</v>
      </c>
      <c r="F488" t="s">
        <v>116</v>
      </c>
      <c r="G488" t="s">
        <v>130</v>
      </c>
      <c r="H488" t="s">
        <v>246</v>
      </c>
      <c r="I488">
        <v>2</v>
      </c>
      <c r="J488" s="2">
        <v>254.63</v>
      </c>
      <c r="K488" s="4">
        <v>0.1</v>
      </c>
      <c r="L488" t="s">
        <v>90</v>
      </c>
      <c r="M488">
        <v>2</v>
      </c>
      <c r="N488" t="s">
        <v>91</v>
      </c>
      <c r="O488" t="str">
        <f>SUBSTITUTE(PROPER(TRIM(RawSalesTable[[#This Row],[Channel_Raw]])), "Market Place", "Marketplace")</f>
        <v>Retail Store</v>
      </c>
      <c r="P488" t="str">
        <f>TRIM(RawSalesTable[[#This Row],[Store_Raw]])</f>
        <v>Toronto Downtown</v>
      </c>
      <c r="Q488" t="str">
        <f>IF(TRIM(RawSalesTable[[#This Row],[Payment_Method_Raw]])="","Non renseigné",SUBSTITUTE(TRIM(RawSalesTable[[#This Row],[Payment_Method_Raw]]),"CC","Credit Card"))</f>
        <v>PayPal</v>
      </c>
      <c r="R488" s="8" t="str">
        <f>UPPER(PROPER(RawSalesTable[[#This Row],[Customer_ID]]))</f>
        <v>C0099</v>
      </c>
      <c r="S488" s="8" t="str">
        <f>TRIM(LEFT(RawSalesTable[[#This Row],[Customer_Info]],FIND(",",RawSalesTable[[#This Row],[Customer_Info]]) -1))</f>
        <v>Amine Gagnon</v>
      </c>
      <c r="T488" s="8" t="str">
        <f>TRIM(MID(RawSalesTable[[#This Row],[Customer_Info]],FIND(",",RawSalesTable[[#This Row],[Customer_Info]])+1,FIND(",",RawSalesTable[[#This Row],[Customer_Info]],FIND(",",RawSalesTable[[#This Row],[Customer_Info]])+1)-FIND(",",RawSalesTable[[#This Row],[Customer_Info]])-1))</f>
        <v>Laval</v>
      </c>
      <c r="U488" s="8" t="str">
        <f>TRIM(RIGHT(RawSalesTable[[#This Row],[Customer_Info]], LEN(RawSalesTable[[#This Row],[Customer_Info]])-FIND(",",RawSalesTable[[#This Row],[Customer_Info]],FIND(",",RawSalesTable[[#This Row],[Customer_Info]])+1)))</f>
        <v>Small Business</v>
      </c>
      <c r="V488" s="8" t="str">
        <f>VLOOKUP(RawSalesTable[[#This Row],[Product_ID]],ProductsTable[],2,FALSE)</f>
        <v>Dumbbell Set</v>
      </c>
      <c r="W488" s="8" t="str">
        <f>VLOOKUP(RawSalesTable[[#This Row],[Product_ID]],ProductsTable[],3,FALSE)</f>
        <v>Fitness</v>
      </c>
      <c r="X488" s="8">
        <f>VLOOKUP(RawSalesTable[[#This Row],[Product_ID]],ProductsTable[],5,FALSE)</f>
        <v>131.72999999999999</v>
      </c>
      <c r="Y488" s="8">
        <f>RawSalesTable[[#This Row],[Quantity]]*RawSalesTable[[#This Row],[Unit_Price]]</f>
        <v>509.26</v>
      </c>
      <c r="Z488" s="8">
        <f>RawSalesTable[[#This Row],[Gross_Sales]]*RawSalesTable[[#This Row],[Discount_Pct]]</f>
        <v>50.926000000000002</v>
      </c>
      <c r="AA488" s="8">
        <f>RawSalesTable[[#This Row],[Gross_Sales]]-RawSalesTable[[#This Row],[Discount_Amount]]</f>
        <v>458.334</v>
      </c>
      <c r="AB488" s="8">
        <f>RawSalesTable[[#This Row],[Unit_Cost]]*RawSalesTable[[#This Row],[Quantity]]</f>
        <v>263.45999999999998</v>
      </c>
      <c r="AC488" s="8">
        <f>RawSalesTable[[#This Row],[Net_Sales]]-RawSalesTable[[#This Row],[Total_Cost]]</f>
        <v>194.87400000000002</v>
      </c>
      <c r="AD488" s="9">
        <f>RawSalesTable[[#This Row],[Profit]]/RawSalesTable[[#This Row],[Net_Sales]]</f>
        <v>0.42517901792142854</v>
      </c>
      <c r="AE488" s="8">
        <f>IF(RawSalesTable[[#This Row],[Return_Status]]="Yes",1,0)</f>
        <v>0</v>
      </c>
      <c r="AF488" s="8">
        <f>YEAR(RawSalesTable[[#This Row],[Order_Date]])</f>
        <v>2025</v>
      </c>
      <c r="AG488" s="8">
        <f>MONTH(RawSalesTable[[#This Row],[Order_Date]])</f>
        <v>4</v>
      </c>
      <c r="AH488" s="8" t="str">
        <f>TEXT(RawSalesTable[[#This Row],[Order_Date]],"mmmm")</f>
        <v>avril</v>
      </c>
      <c r="AI488" s="8" t="str">
        <f>IF(RawSalesTable[[#This Row],[Month_Number]]&lt;=3,"Q1",IF(RawSalesTable[[#This Row],[Month_Number]]&lt;=6,"Q2",IF(RawSalesTable[[#This Row],[Month_Number]]&lt;=9,"Q3","Q4")))</f>
        <v>Q2</v>
      </c>
      <c r="AJ488" s="13">
        <f>DATE(YEAR(RawSalesTable[[#This Row],[Order_Date]]),MONTH(RawSalesTable[[#This Row],[Order_Date]]),1)</f>
        <v>45748</v>
      </c>
      <c r="AK488" s="8" t="str">
        <f>VLOOKUP(RawSalesTable[[#This Row],[Customer_ID_clean]],CustomersTable[],4,FALSE)</f>
        <v>Quebec</v>
      </c>
    </row>
    <row r="489" spans="1:37">
      <c r="A489" t="s">
        <v>914</v>
      </c>
      <c r="B489" s="3">
        <v>45801</v>
      </c>
      <c r="C489" t="s">
        <v>151</v>
      </c>
      <c r="D489" t="s">
        <v>277</v>
      </c>
      <c r="E489" t="s">
        <v>153</v>
      </c>
      <c r="F489" t="s">
        <v>103</v>
      </c>
      <c r="G489" t="s">
        <v>117</v>
      </c>
      <c r="H489" t="s">
        <v>89</v>
      </c>
      <c r="I489">
        <v>2</v>
      </c>
      <c r="J489" s="2">
        <v>375.55</v>
      </c>
      <c r="K489" s="4">
        <v>0.05</v>
      </c>
      <c r="L489" t="s">
        <v>106</v>
      </c>
      <c r="M489">
        <v>8</v>
      </c>
      <c r="N489" t="s">
        <v>91</v>
      </c>
      <c r="O489" t="str">
        <f>SUBSTITUTE(PROPER(TRIM(RawSalesTable[[#This Row],[Channel_Raw]])), "Market Place", "Marketplace")</f>
        <v>Online</v>
      </c>
      <c r="P489" t="str">
        <f>TRIM(RawSalesTable[[#This Row],[Store_Raw]])</f>
        <v>Vancouver West</v>
      </c>
      <c r="Q489" t="str">
        <f>IF(TRIM(RawSalesTable[[#This Row],[Payment_Method_Raw]])="","Non renseigné",SUBSTITUTE(TRIM(RawSalesTable[[#This Row],[Payment_Method_Raw]]),"CC","Credit Card"))</f>
        <v>Credit Card</v>
      </c>
      <c r="R489" s="8" t="str">
        <f>UPPER(PROPER(RawSalesTable[[#This Row],[Customer_ID]]))</f>
        <v>C0014</v>
      </c>
      <c r="S489" s="8" t="str">
        <f>TRIM(LEFT(RawSalesTable[[#This Row],[Customer_Info]],FIND(",",RawSalesTable[[#This Row],[Customer_Info]]) -1))</f>
        <v>Zoe Scott</v>
      </c>
      <c r="T489" s="8" t="str">
        <f>TRIM(MID(RawSalesTable[[#This Row],[Customer_Info]],FIND(",",RawSalesTable[[#This Row],[Customer_Info]])+1,FIND(",",RawSalesTable[[#This Row],[Customer_Info]],FIND(",",RawSalesTable[[#This Row],[Customer_Info]])+1)-FIND(",",RawSalesTable[[#This Row],[Customer_Info]])-1))</f>
        <v>Montreal</v>
      </c>
      <c r="U489" s="8" t="str">
        <f>TRIM(RIGHT(RawSalesTable[[#This Row],[Customer_Info]], LEN(RawSalesTable[[#This Row],[Customer_Info]])-FIND(",",RawSalesTable[[#This Row],[Customer_Info]],FIND(",",RawSalesTable[[#This Row],[Customer_Info]])+1)))</f>
        <v>Small Business</v>
      </c>
      <c r="V489" s="8" t="str">
        <f>VLOOKUP(RawSalesTable[[#This Row],[Product_ID]],ProductsTable[],2,FALSE)</f>
        <v>Headphones</v>
      </c>
      <c r="W489" s="8" t="str">
        <f>VLOOKUP(RawSalesTable[[#This Row],[Product_ID]],ProductsTable[],3,FALSE)</f>
        <v>Electronics</v>
      </c>
      <c r="X489" s="8">
        <f>VLOOKUP(RawSalesTable[[#This Row],[Product_ID]],ProductsTable[],5,FALSE)</f>
        <v>254.6</v>
      </c>
      <c r="Y489" s="8">
        <f>RawSalesTable[[#This Row],[Quantity]]*RawSalesTable[[#This Row],[Unit_Price]]</f>
        <v>751.1</v>
      </c>
      <c r="Z489" s="8">
        <f>RawSalesTable[[#This Row],[Gross_Sales]]*RawSalesTable[[#This Row],[Discount_Pct]]</f>
        <v>37.555</v>
      </c>
      <c r="AA489" s="8">
        <f>RawSalesTable[[#This Row],[Gross_Sales]]-RawSalesTable[[#This Row],[Discount_Amount]]</f>
        <v>713.54500000000007</v>
      </c>
      <c r="AB489" s="8">
        <f>RawSalesTable[[#This Row],[Unit_Cost]]*RawSalesTable[[#This Row],[Quantity]]</f>
        <v>509.2</v>
      </c>
      <c r="AC489" s="8">
        <f>RawSalesTable[[#This Row],[Net_Sales]]-RawSalesTable[[#This Row],[Total_Cost]]</f>
        <v>204.34500000000008</v>
      </c>
      <c r="AD489" s="9">
        <f>RawSalesTable[[#This Row],[Profit]]/RawSalesTable[[#This Row],[Net_Sales]]</f>
        <v>0.28637997603514853</v>
      </c>
      <c r="AE489" s="8">
        <f>IF(RawSalesTable[[#This Row],[Return_Status]]="Yes",1,0)</f>
        <v>0</v>
      </c>
      <c r="AF489" s="8">
        <f>YEAR(RawSalesTable[[#This Row],[Order_Date]])</f>
        <v>2025</v>
      </c>
      <c r="AG489" s="8">
        <f>MONTH(RawSalesTable[[#This Row],[Order_Date]])</f>
        <v>5</v>
      </c>
      <c r="AH489" s="8" t="str">
        <f>TEXT(RawSalesTable[[#This Row],[Order_Date]],"mmmm")</f>
        <v>mai</v>
      </c>
      <c r="AI489" s="8" t="str">
        <f>IF(RawSalesTable[[#This Row],[Month_Number]]&lt;=3,"Q1",IF(RawSalesTable[[#This Row],[Month_Number]]&lt;=6,"Q2",IF(RawSalesTable[[#This Row],[Month_Number]]&lt;=9,"Q3","Q4")))</f>
        <v>Q2</v>
      </c>
      <c r="AJ489" s="13">
        <f>DATE(YEAR(RawSalesTable[[#This Row],[Order_Date]]),MONTH(RawSalesTable[[#This Row],[Order_Date]]),1)</f>
        <v>45778</v>
      </c>
      <c r="AK489" s="8" t="str">
        <f>VLOOKUP(RawSalesTable[[#This Row],[Customer_ID_clean]],CustomersTable[],4,FALSE)</f>
        <v>Quebec</v>
      </c>
    </row>
    <row r="490" spans="1:37">
      <c r="A490" t="s">
        <v>915</v>
      </c>
      <c r="B490" s="3">
        <v>45847</v>
      </c>
      <c r="C490" t="s">
        <v>273</v>
      </c>
      <c r="D490" t="s">
        <v>194</v>
      </c>
      <c r="E490" t="s">
        <v>274</v>
      </c>
      <c r="F490" t="s">
        <v>111</v>
      </c>
      <c r="G490" t="s">
        <v>130</v>
      </c>
      <c r="H490" t="s">
        <v>97</v>
      </c>
      <c r="I490">
        <v>2</v>
      </c>
      <c r="J490" s="2">
        <v>190.66</v>
      </c>
      <c r="K490" s="4">
        <v>0</v>
      </c>
      <c r="L490" t="s">
        <v>106</v>
      </c>
      <c r="M490">
        <v>3</v>
      </c>
      <c r="N490" t="s">
        <v>91</v>
      </c>
      <c r="O490" t="str">
        <f>SUBSTITUTE(PROPER(TRIM(RawSalesTable[[#This Row],[Channel_Raw]])), "Market Place", "Marketplace")</f>
        <v>Retail Store</v>
      </c>
      <c r="P490" t="str">
        <f>TRIM(RawSalesTable[[#This Row],[Store_Raw]])</f>
        <v>Montreal Central</v>
      </c>
      <c r="Q490" t="str">
        <f>IF(TRIM(RawSalesTable[[#This Row],[Payment_Method_Raw]])="","Non renseigné",SUBSTITUTE(TRIM(RawSalesTable[[#This Row],[Payment_Method_Raw]]),"CC","Credit Card"))</f>
        <v>Credit Card</v>
      </c>
      <c r="R490" s="8" t="str">
        <f>UPPER(PROPER(RawSalesTable[[#This Row],[Customer_ID]]))</f>
        <v>C0066</v>
      </c>
      <c r="S490" s="8" t="str">
        <f>TRIM(LEFT(RawSalesTable[[#This Row],[Customer_Info]],FIND(",",RawSalesTable[[#This Row],[Customer_Info]]) -1))</f>
        <v>Noah Clark</v>
      </c>
      <c r="T490" s="8" t="str">
        <f>TRIM(MID(RawSalesTable[[#This Row],[Customer_Info]],FIND(",",RawSalesTable[[#This Row],[Customer_Info]])+1,FIND(",",RawSalesTable[[#This Row],[Customer_Info]],FIND(",",RawSalesTable[[#This Row],[Customer_Info]])+1)-FIND(",",RawSalesTable[[#This Row],[Customer_Info]])-1))</f>
        <v>Laval</v>
      </c>
      <c r="U490" s="8" t="str">
        <f>TRIM(RIGHT(RawSalesTable[[#This Row],[Customer_Info]], LEN(RawSalesTable[[#This Row],[Customer_Info]])-FIND(",",RawSalesTable[[#This Row],[Customer_Info]],FIND(",",RawSalesTable[[#This Row],[Customer_Info]])+1)))</f>
        <v>Consumer</v>
      </c>
      <c r="V490" s="8" t="str">
        <f>VLOOKUP(RawSalesTable[[#This Row],[Product_ID]],ProductsTable[],2,FALSE)</f>
        <v>Jump Rope</v>
      </c>
      <c r="W490" s="8" t="str">
        <f>VLOOKUP(RawSalesTable[[#This Row],[Product_ID]],ProductsTable[],3,FALSE)</f>
        <v>Fitness</v>
      </c>
      <c r="X490" s="8">
        <f>VLOOKUP(RawSalesTable[[#This Row],[Product_ID]],ProductsTable[],5,FALSE)</f>
        <v>101</v>
      </c>
      <c r="Y490" s="8">
        <f>RawSalesTable[[#This Row],[Quantity]]*RawSalesTable[[#This Row],[Unit_Price]]</f>
        <v>381.32</v>
      </c>
      <c r="Z490" s="8">
        <f>RawSalesTable[[#This Row],[Gross_Sales]]*RawSalesTable[[#This Row],[Discount_Pct]]</f>
        <v>0</v>
      </c>
      <c r="AA490" s="8">
        <f>RawSalesTable[[#This Row],[Gross_Sales]]-RawSalesTable[[#This Row],[Discount_Amount]]</f>
        <v>381.32</v>
      </c>
      <c r="AB490" s="8">
        <f>RawSalesTable[[#This Row],[Unit_Cost]]*RawSalesTable[[#This Row],[Quantity]]</f>
        <v>202</v>
      </c>
      <c r="AC490" s="8">
        <f>RawSalesTable[[#This Row],[Net_Sales]]-RawSalesTable[[#This Row],[Total_Cost]]</f>
        <v>179.32</v>
      </c>
      <c r="AD490" s="9">
        <f>RawSalesTable[[#This Row],[Profit]]/RawSalesTable[[#This Row],[Net_Sales]]</f>
        <v>0.47026119794398402</v>
      </c>
      <c r="AE490" s="8">
        <f>IF(RawSalesTable[[#This Row],[Return_Status]]="Yes",1,0)</f>
        <v>0</v>
      </c>
      <c r="AF490" s="8">
        <f>YEAR(RawSalesTable[[#This Row],[Order_Date]])</f>
        <v>2025</v>
      </c>
      <c r="AG490" s="8">
        <f>MONTH(RawSalesTable[[#This Row],[Order_Date]])</f>
        <v>7</v>
      </c>
      <c r="AH490" s="8" t="str">
        <f>TEXT(RawSalesTable[[#This Row],[Order_Date]],"mmmm")</f>
        <v>juillet</v>
      </c>
      <c r="AI490" s="8" t="str">
        <f>IF(RawSalesTable[[#This Row],[Month_Number]]&lt;=3,"Q1",IF(RawSalesTable[[#This Row],[Month_Number]]&lt;=6,"Q2",IF(RawSalesTable[[#This Row],[Month_Number]]&lt;=9,"Q3","Q4")))</f>
        <v>Q3</v>
      </c>
      <c r="AJ490" s="13">
        <f>DATE(YEAR(RawSalesTable[[#This Row],[Order_Date]]),MONTH(RawSalesTable[[#This Row],[Order_Date]]),1)</f>
        <v>45839</v>
      </c>
      <c r="AK490" s="8" t="str">
        <f>VLOOKUP(RawSalesTable[[#This Row],[Customer_ID_clean]],CustomersTable[],4,FALSE)</f>
        <v>Quebec</v>
      </c>
    </row>
    <row r="491" spans="1:37">
      <c r="A491" t="s">
        <v>916</v>
      </c>
      <c r="B491" s="3">
        <v>45785</v>
      </c>
      <c r="C491" t="s">
        <v>169</v>
      </c>
      <c r="D491" t="s">
        <v>255</v>
      </c>
      <c r="E491" t="s">
        <v>170</v>
      </c>
      <c r="F491" t="s">
        <v>145</v>
      </c>
      <c r="G491" t="s">
        <v>117</v>
      </c>
      <c r="H491" t="s">
        <v>167</v>
      </c>
      <c r="I491">
        <v>1</v>
      </c>
      <c r="J491" s="2">
        <v>229.48</v>
      </c>
      <c r="K491" s="4">
        <v>0.1</v>
      </c>
      <c r="L491" t="s">
        <v>154</v>
      </c>
      <c r="M491">
        <v>3</v>
      </c>
      <c r="N491" t="s">
        <v>91</v>
      </c>
      <c r="O491" t="str">
        <f>SUBSTITUTE(PROPER(TRIM(RawSalesTable[[#This Row],[Channel_Raw]])), "Market Place", "Marketplace")</f>
        <v>Marketplace</v>
      </c>
      <c r="P491" t="str">
        <f>TRIM(RawSalesTable[[#This Row],[Store_Raw]])</f>
        <v>Calgary North</v>
      </c>
      <c r="Q491" t="str">
        <f>IF(TRIM(RawSalesTable[[#This Row],[Payment_Method_Raw]])="","Non renseigné",SUBSTITUTE(TRIM(RawSalesTable[[#This Row],[Payment_Method_Raw]]),"CC","Credit Card"))</f>
        <v>Gift Card</v>
      </c>
      <c r="R491" s="8" t="str">
        <f>UPPER(PROPER(RawSalesTable[[#This Row],[Customer_ID]]))</f>
        <v>C0064</v>
      </c>
      <c r="S491" s="8" t="str">
        <f>TRIM(LEFT(RawSalesTable[[#This Row],[Customer_Info]],FIND(",",RawSalesTable[[#This Row],[Customer_Info]]) -1))</f>
        <v>Amine Khan</v>
      </c>
      <c r="T491" s="8" t="str">
        <f>TRIM(MID(RawSalesTable[[#This Row],[Customer_Info]],FIND(",",RawSalesTable[[#This Row],[Customer_Info]])+1,FIND(",",RawSalesTable[[#This Row],[Customer_Info]],FIND(",",RawSalesTable[[#This Row],[Customer_Info]])+1)-FIND(",",RawSalesTable[[#This Row],[Customer_Info]])-1))</f>
        <v>Edmonton</v>
      </c>
      <c r="U491" s="8" t="str">
        <f>TRIM(RIGHT(RawSalesTable[[#This Row],[Customer_Info]], LEN(RawSalesTable[[#This Row],[Customer_Info]])-FIND(",",RawSalesTable[[#This Row],[Customer_Info]],FIND(",",RawSalesTable[[#This Row],[Customer_Info]])+1)))</f>
        <v>Consumer</v>
      </c>
      <c r="V491" s="8" t="str">
        <f>VLOOKUP(RawSalesTable[[#This Row],[Product_ID]],ProductsTable[],2,FALSE)</f>
        <v>Document Shredder</v>
      </c>
      <c r="W491" s="8" t="str">
        <f>VLOOKUP(RawSalesTable[[#This Row],[Product_ID]],ProductsTable[],3,FALSE)</f>
        <v>Office</v>
      </c>
      <c r="X491" s="8">
        <f>VLOOKUP(RawSalesTable[[#This Row],[Product_ID]],ProductsTable[],5,FALSE)</f>
        <v>117.65</v>
      </c>
      <c r="Y491" s="8">
        <f>RawSalesTable[[#This Row],[Quantity]]*RawSalesTable[[#This Row],[Unit_Price]]</f>
        <v>229.48</v>
      </c>
      <c r="Z491" s="8">
        <f>RawSalesTable[[#This Row],[Gross_Sales]]*RawSalesTable[[#This Row],[Discount_Pct]]</f>
        <v>22.948</v>
      </c>
      <c r="AA491" s="8">
        <f>RawSalesTable[[#This Row],[Gross_Sales]]-RawSalesTable[[#This Row],[Discount_Amount]]</f>
        <v>206.53199999999998</v>
      </c>
      <c r="AB491" s="8">
        <f>RawSalesTable[[#This Row],[Unit_Cost]]*RawSalesTable[[#This Row],[Quantity]]</f>
        <v>117.65</v>
      </c>
      <c r="AC491" s="8">
        <f>RawSalesTable[[#This Row],[Net_Sales]]-RawSalesTable[[#This Row],[Total_Cost]]</f>
        <v>88.881999999999977</v>
      </c>
      <c r="AD491" s="9">
        <f>RawSalesTable[[#This Row],[Profit]]/RawSalesTable[[#This Row],[Net_Sales]]</f>
        <v>0.43035461817054976</v>
      </c>
      <c r="AE491" s="8">
        <f>IF(RawSalesTable[[#This Row],[Return_Status]]="Yes",1,0)</f>
        <v>0</v>
      </c>
      <c r="AF491" s="8">
        <f>YEAR(RawSalesTable[[#This Row],[Order_Date]])</f>
        <v>2025</v>
      </c>
      <c r="AG491" s="8">
        <f>MONTH(RawSalesTable[[#This Row],[Order_Date]])</f>
        <v>5</v>
      </c>
      <c r="AH491" s="8" t="str">
        <f>TEXT(RawSalesTable[[#This Row],[Order_Date]],"mmmm")</f>
        <v>mai</v>
      </c>
      <c r="AI491" s="8" t="str">
        <f>IF(RawSalesTable[[#This Row],[Month_Number]]&lt;=3,"Q1",IF(RawSalesTable[[#This Row],[Month_Number]]&lt;=6,"Q2",IF(RawSalesTable[[#This Row],[Month_Number]]&lt;=9,"Q3","Q4")))</f>
        <v>Q2</v>
      </c>
      <c r="AJ491" s="13">
        <f>DATE(YEAR(RawSalesTable[[#This Row],[Order_Date]]),MONTH(RawSalesTable[[#This Row],[Order_Date]]),1)</f>
        <v>45778</v>
      </c>
      <c r="AK491" s="8" t="str">
        <f>VLOOKUP(RawSalesTable[[#This Row],[Customer_ID_clean]],CustomersTable[],4,FALSE)</f>
        <v>Alberta</v>
      </c>
    </row>
    <row r="492" spans="1:37">
      <c r="A492" t="s">
        <v>917</v>
      </c>
      <c r="B492" s="3">
        <v>45708</v>
      </c>
      <c r="C492" t="s">
        <v>349</v>
      </c>
      <c r="D492" t="s">
        <v>271</v>
      </c>
      <c r="E492" t="s">
        <v>350</v>
      </c>
      <c r="F492" t="s">
        <v>87</v>
      </c>
      <c r="G492" t="s">
        <v>183</v>
      </c>
      <c r="H492" t="s">
        <v>97</v>
      </c>
      <c r="I492">
        <v>1</v>
      </c>
      <c r="J492" s="2">
        <v>231.28</v>
      </c>
      <c r="K492" s="4">
        <v>0</v>
      </c>
      <c r="L492" t="s">
        <v>90</v>
      </c>
      <c r="M492">
        <v>2</v>
      </c>
      <c r="N492" t="s">
        <v>147</v>
      </c>
      <c r="O492" t="str">
        <f>SUBSTITUTE(PROPER(TRIM(RawSalesTable[[#This Row],[Channel_Raw]])), "Market Place", "Marketplace")</f>
        <v>Retail Store</v>
      </c>
      <c r="P492" t="str">
        <f>TRIM(RawSalesTable[[#This Row],[Store_Raw]])</f>
        <v>Online Fulfillment</v>
      </c>
      <c r="Q492" t="str">
        <f>IF(TRIM(RawSalesTable[[#This Row],[Payment_Method_Raw]])="","Non renseigné",SUBSTITUTE(TRIM(RawSalesTable[[#This Row],[Payment_Method_Raw]]),"CC","Credit Card"))</f>
        <v>PayPal</v>
      </c>
      <c r="R492" s="8" t="str">
        <f>UPPER(PROPER(RawSalesTable[[#This Row],[Customer_ID]]))</f>
        <v>C0088</v>
      </c>
      <c r="S492" s="8" t="str">
        <f>TRIM(LEFT(RawSalesTable[[#This Row],[Customer_Info]],FIND(",",RawSalesTable[[#This Row],[Customer_Info]]) -1))</f>
        <v>Olivia Bennett</v>
      </c>
      <c r="T492" s="8" t="str">
        <f>TRIM(MID(RawSalesTable[[#This Row],[Customer_Info]],FIND(",",RawSalesTable[[#This Row],[Customer_Info]])+1,FIND(",",RawSalesTable[[#This Row],[Customer_Info]],FIND(",",RawSalesTable[[#This Row],[Customer_Info]])+1)-FIND(",",RawSalesTable[[#This Row],[Customer_Info]])-1))</f>
        <v>Vancouver</v>
      </c>
      <c r="U492" s="8" t="str">
        <f>TRIM(RIGHT(RawSalesTable[[#This Row],[Customer_Info]], LEN(RawSalesTable[[#This Row],[Customer_Info]])-FIND(",",RawSalesTable[[#This Row],[Customer_Info]],FIND(",",RawSalesTable[[#This Row],[Customer_Info]])+1)))</f>
        <v>Small Business</v>
      </c>
      <c r="V492" s="8" t="str">
        <f>VLOOKUP(RawSalesTable[[#This Row],[Product_ID]],ProductsTable[],2,FALSE)</f>
        <v>Resistance Bands</v>
      </c>
      <c r="W492" s="8" t="str">
        <f>VLOOKUP(RawSalesTable[[#This Row],[Product_ID]],ProductsTable[],3,FALSE)</f>
        <v>Fitness</v>
      </c>
      <c r="X492" s="8">
        <f>VLOOKUP(RawSalesTable[[#This Row],[Product_ID]],ProductsTable[],5,FALSE)</f>
        <v>139.19999999999999</v>
      </c>
      <c r="Y492" s="8">
        <f>RawSalesTable[[#This Row],[Quantity]]*RawSalesTable[[#This Row],[Unit_Price]]</f>
        <v>231.28</v>
      </c>
      <c r="Z492" s="8">
        <f>RawSalesTable[[#This Row],[Gross_Sales]]*RawSalesTable[[#This Row],[Discount_Pct]]</f>
        <v>0</v>
      </c>
      <c r="AA492" s="8">
        <f>RawSalesTable[[#This Row],[Gross_Sales]]-RawSalesTable[[#This Row],[Discount_Amount]]</f>
        <v>231.28</v>
      </c>
      <c r="AB492" s="8">
        <f>RawSalesTable[[#This Row],[Unit_Cost]]*RawSalesTable[[#This Row],[Quantity]]</f>
        <v>139.19999999999999</v>
      </c>
      <c r="AC492" s="8">
        <f>RawSalesTable[[#This Row],[Net_Sales]]-RawSalesTable[[#This Row],[Total_Cost]]</f>
        <v>92.080000000000013</v>
      </c>
      <c r="AD492" s="9">
        <f>RawSalesTable[[#This Row],[Profit]]/RawSalesTable[[#This Row],[Net_Sales]]</f>
        <v>0.39813213420961613</v>
      </c>
      <c r="AE492" s="8">
        <f>IF(RawSalesTable[[#This Row],[Return_Status]]="Yes",1,0)</f>
        <v>1</v>
      </c>
      <c r="AF492" s="8">
        <f>YEAR(RawSalesTable[[#This Row],[Order_Date]])</f>
        <v>2025</v>
      </c>
      <c r="AG492" s="8">
        <f>MONTH(RawSalesTable[[#This Row],[Order_Date]])</f>
        <v>2</v>
      </c>
      <c r="AH492" s="8" t="str">
        <f>TEXT(RawSalesTable[[#This Row],[Order_Date]],"mmmm")</f>
        <v>février</v>
      </c>
      <c r="AI492" s="8" t="str">
        <f>IF(RawSalesTable[[#This Row],[Month_Number]]&lt;=3,"Q1",IF(RawSalesTable[[#This Row],[Month_Number]]&lt;=6,"Q2",IF(RawSalesTable[[#This Row],[Month_Number]]&lt;=9,"Q3","Q4")))</f>
        <v>Q1</v>
      </c>
      <c r="AJ492" s="13">
        <f>DATE(YEAR(RawSalesTable[[#This Row],[Order_Date]]),MONTH(RawSalesTable[[#This Row],[Order_Date]]),1)</f>
        <v>45689</v>
      </c>
      <c r="AK492" s="8" t="str">
        <f>VLOOKUP(RawSalesTable[[#This Row],[Customer_ID_clean]],CustomersTable[],4,FALSE)</f>
        <v>British Columbia</v>
      </c>
    </row>
    <row r="493" spans="1:37">
      <c r="A493" t="s">
        <v>918</v>
      </c>
      <c r="B493" s="3">
        <v>45841</v>
      </c>
      <c r="C493" t="s">
        <v>500</v>
      </c>
      <c r="D493" t="s">
        <v>503</v>
      </c>
      <c r="E493" t="s">
        <v>501</v>
      </c>
      <c r="F493" t="s">
        <v>87</v>
      </c>
      <c r="G493" t="s">
        <v>96</v>
      </c>
      <c r="H493" t="s">
        <v>89</v>
      </c>
      <c r="I493">
        <v>2</v>
      </c>
      <c r="J493" s="2">
        <v>121.51</v>
      </c>
      <c r="K493" s="4">
        <v>0.1</v>
      </c>
      <c r="M493">
        <v>7</v>
      </c>
      <c r="N493" t="s">
        <v>91</v>
      </c>
      <c r="O493" t="str">
        <f>SUBSTITUTE(PROPER(TRIM(RawSalesTable[[#This Row],[Channel_Raw]])), "Market Place", "Marketplace")</f>
        <v>Online</v>
      </c>
      <c r="P493" t="str">
        <f>TRIM(RawSalesTable[[#This Row],[Store_Raw]])</f>
        <v>Online Fulfillment</v>
      </c>
      <c r="Q493" t="str">
        <f>IF(TRIM(RawSalesTable[[#This Row],[Payment_Method_Raw]])="","Non renseigné",SUBSTITUTE(TRIM(RawSalesTable[[#This Row],[Payment_Method_Raw]]),"CC","Credit Card"))</f>
        <v>Non renseigné</v>
      </c>
      <c r="R493" s="8" t="str">
        <f>UPPER(PROPER(RawSalesTable[[#This Row],[Customer_ID]]))</f>
        <v>C0059</v>
      </c>
      <c r="S493" s="8" t="str">
        <f>TRIM(LEFT(RawSalesTable[[#This Row],[Customer_Info]],FIND(",",RawSalesTable[[#This Row],[Customer_Info]]) -1))</f>
        <v>Lucas Chen</v>
      </c>
      <c r="T493" s="8" t="str">
        <f>TRIM(MID(RawSalesTable[[#This Row],[Customer_Info]],FIND(",",RawSalesTable[[#This Row],[Customer_Info]])+1,FIND(",",RawSalesTable[[#This Row],[Customer_Info]],FIND(",",RawSalesTable[[#This Row],[Customer_Info]])+1)-FIND(",",RawSalesTable[[#This Row],[Customer_Info]])-1))</f>
        <v>Vancouver</v>
      </c>
      <c r="U493" s="8" t="str">
        <f>TRIM(RIGHT(RawSalesTable[[#This Row],[Customer_Info]], LEN(RawSalesTable[[#This Row],[Customer_Info]])-FIND(",",RawSalesTable[[#This Row],[Customer_Info]],FIND(",",RawSalesTable[[#This Row],[Customer_Info]])+1)))</f>
        <v>Corporate</v>
      </c>
      <c r="V493" s="8" t="str">
        <f>VLOOKUP(RawSalesTable[[#This Row],[Product_ID]],ProductsTable[],2,FALSE)</f>
        <v>Whiteboard</v>
      </c>
      <c r="W493" s="8" t="str">
        <f>VLOOKUP(RawSalesTable[[#This Row],[Product_ID]],ProductsTable[],3,FALSE)</f>
        <v>Office</v>
      </c>
      <c r="X493" s="8">
        <f>VLOOKUP(RawSalesTable[[#This Row],[Product_ID]],ProductsTable[],5,FALSE)</f>
        <v>85.73</v>
      </c>
      <c r="Y493" s="8">
        <f>RawSalesTable[[#This Row],[Quantity]]*RawSalesTable[[#This Row],[Unit_Price]]</f>
        <v>243.02</v>
      </c>
      <c r="Z493" s="8">
        <f>RawSalesTable[[#This Row],[Gross_Sales]]*RawSalesTable[[#This Row],[Discount_Pct]]</f>
        <v>24.302000000000003</v>
      </c>
      <c r="AA493" s="8">
        <f>RawSalesTable[[#This Row],[Gross_Sales]]-RawSalesTable[[#This Row],[Discount_Amount]]</f>
        <v>218.71800000000002</v>
      </c>
      <c r="AB493" s="8">
        <f>RawSalesTable[[#This Row],[Unit_Cost]]*RawSalesTable[[#This Row],[Quantity]]</f>
        <v>171.46</v>
      </c>
      <c r="AC493" s="8">
        <f>RawSalesTable[[#This Row],[Net_Sales]]-RawSalesTable[[#This Row],[Total_Cost]]</f>
        <v>47.25800000000001</v>
      </c>
      <c r="AD493" s="9">
        <f>RawSalesTable[[#This Row],[Profit]]/RawSalesTable[[#This Row],[Net_Sales]]</f>
        <v>0.21606817911648793</v>
      </c>
      <c r="AE493" s="8">
        <f>IF(RawSalesTable[[#This Row],[Return_Status]]="Yes",1,0)</f>
        <v>0</v>
      </c>
      <c r="AF493" s="8">
        <f>YEAR(RawSalesTable[[#This Row],[Order_Date]])</f>
        <v>2025</v>
      </c>
      <c r="AG493" s="8">
        <f>MONTH(RawSalesTable[[#This Row],[Order_Date]])</f>
        <v>7</v>
      </c>
      <c r="AH493" s="8" t="str">
        <f>TEXT(RawSalesTable[[#This Row],[Order_Date]],"mmmm")</f>
        <v>juillet</v>
      </c>
      <c r="AI493" s="8" t="str">
        <f>IF(RawSalesTable[[#This Row],[Month_Number]]&lt;=3,"Q1",IF(RawSalesTable[[#This Row],[Month_Number]]&lt;=6,"Q2",IF(RawSalesTable[[#This Row],[Month_Number]]&lt;=9,"Q3","Q4")))</f>
        <v>Q3</v>
      </c>
      <c r="AJ493" s="13">
        <f>DATE(YEAR(RawSalesTable[[#This Row],[Order_Date]]),MONTH(RawSalesTable[[#This Row],[Order_Date]]),1)</f>
        <v>45839</v>
      </c>
      <c r="AK493" s="8" t="str">
        <f>VLOOKUP(RawSalesTable[[#This Row],[Customer_ID_clean]],CustomersTable[],4,FALSE)</f>
        <v>British Columbia</v>
      </c>
    </row>
    <row r="494" spans="1:37">
      <c r="A494" t="s">
        <v>919</v>
      </c>
      <c r="B494" s="3">
        <v>45800</v>
      </c>
      <c r="C494" t="s">
        <v>661</v>
      </c>
      <c r="D494" t="s">
        <v>157</v>
      </c>
      <c r="E494" t="s">
        <v>662</v>
      </c>
      <c r="F494" t="s">
        <v>103</v>
      </c>
      <c r="G494" t="s">
        <v>171</v>
      </c>
      <c r="H494" t="s">
        <v>89</v>
      </c>
      <c r="I494">
        <v>1</v>
      </c>
      <c r="J494" s="2">
        <v>296.25</v>
      </c>
      <c r="K494" s="4">
        <v>0.2</v>
      </c>
      <c r="L494" t="s">
        <v>106</v>
      </c>
      <c r="M494">
        <v>3</v>
      </c>
      <c r="N494" t="s">
        <v>91</v>
      </c>
      <c r="O494" t="str">
        <f>SUBSTITUTE(PROPER(TRIM(RawSalesTable[[#This Row],[Channel_Raw]])), "Market Place", "Marketplace")</f>
        <v>Online</v>
      </c>
      <c r="P494" t="str">
        <f>TRIM(RawSalesTable[[#This Row],[Store_Raw]])</f>
        <v>Vancouver West</v>
      </c>
      <c r="Q494" t="str">
        <f>IF(TRIM(RawSalesTable[[#This Row],[Payment_Method_Raw]])="","Non renseigné",SUBSTITUTE(TRIM(RawSalesTable[[#This Row],[Payment_Method_Raw]]),"CC","Credit Card"))</f>
        <v>Credit Card</v>
      </c>
      <c r="R494" s="8" t="str">
        <f>UPPER(PROPER(RawSalesTable[[#This Row],[Customer_ID]]))</f>
        <v>C0111</v>
      </c>
      <c r="S494" s="8" t="str">
        <f>TRIM(LEFT(RawSalesTable[[#This Row],[Customer_Info]],FIND(",",RawSalesTable[[#This Row],[Customer_Info]]) -1))</f>
        <v>Noah Khan</v>
      </c>
      <c r="T494" s="8" t="str">
        <f>TRIM(MID(RawSalesTable[[#This Row],[Customer_Info]],FIND(",",RawSalesTable[[#This Row],[Customer_Info]])+1,FIND(",",RawSalesTable[[#This Row],[Customer_Info]],FIND(",",RawSalesTable[[#This Row],[Customer_Info]])+1)-FIND(",",RawSalesTable[[#This Row],[Customer_Info]])-1))</f>
        <v>Halifax</v>
      </c>
      <c r="U494" s="8" t="str">
        <f>TRIM(RIGHT(RawSalesTable[[#This Row],[Customer_Info]], LEN(RawSalesTable[[#This Row],[Customer_Info]])-FIND(",",RawSalesTable[[#This Row],[Customer_Info]],FIND(",",RawSalesTable[[#This Row],[Customer_Info]])+1)))</f>
        <v>Consumer</v>
      </c>
      <c r="V494" s="8" t="str">
        <f>VLOOKUP(RawSalesTable[[#This Row],[Product_ID]],ProductsTable[],2,FALSE)</f>
        <v>Notebook</v>
      </c>
      <c r="W494" s="8" t="str">
        <f>VLOOKUP(RawSalesTable[[#This Row],[Product_ID]],ProductsTable[],3,FALSE)</f>
        <v>Office</v>
      </c>
      <c r="X494" s="8">
        <f>VLOOKUP(RawSalesTable[[#This Row],[Product_ID]],ProductsTable[],5,FALSE)</f>
        <v>176.13</v>
      </c>
      <c r="Y494" s="8">
        <f>RawSalesTable[[#This Row],[Quantity]]*RawSalesTable[[#This Row],[Unit_Price]]</f>
        <v>296.25</v>
      </c>
      <c r="Z494" s="8">
        <f>RawSalesTable[[#This Row],[Gross_Sales]]*RawSalesTable[[#This Row],[Discount_Pct]]</f>
        <v>59.25</v>
      </c>
      <c r="AA494" s="8">
        <f>RawSalesTable[[#This Row],[Gross_Sales]]-RawSalesTable[[#This Row],[Discount_Amount]]</f>
        <v>237</v>
      </c>
      <c r="AB494" s="8">
        <f>RawSalesTable[[#This Row],[Unit_Cost]]*RawSalesTable[[#This Row],[Quantity]]</f>
        <v>176.13</v>
      </c>
      <c r="AC494" s="8">
        <f>RawSalesTable[[#This Row],[Net_Sales]]-RawSalesTable[[#This Row],[Total_Cost]]</f>
        <v>60.870000000000005</v>
      </c>
      <c r="AD494" s="9">
        <f>RawSalesTable[[#This Row],[Profit]]/RawSalesTable[[#This Row],[Net_Sales]]</f>
        <v>0.25683544303797468</v>
      </c>
      <c r="AE494" s="8">
        <f>IF(RawSalesTable[[#This Row],[Return_Status]]="Yes",1,0)</f>
        <v>0</v>
      </c>
      <c r="AF494" s="8">
        <f>YEAR(RawSalesTable[[#This Row],[Order_Date]])</f>
        <v>2025</v>
      </c>
      <c r="AG494" s="8">
        <f>MONTH(RawSalesTable[[#This Row],[Order_Date]])</f>
        <v>5</v>
      </c>
      <c r="AH494" s="8" t="str">
        <f>TEXT(RawSalesTable[[#This Row],[Order_Date]],"mmmm")</f>
        <v>mai</v>
      </c>
      <c r="AI494" s="8" t="str">
        <f>IF(RawSalesTable[[#This Row],[Month_Number]]&lt;=3,"Q1",IF(RawSalesTable[[#This Row],[Month_Number]]&lt;=6,"Q2",IF(RawSalesTable[[#This Row],[Month_Number]]&lt;=9,"Q3","Q4")))</f>
        <v>Q2</v>
      </c>
      <c r="AJ494" s="13">
        <f>DATE(YEAR(RawSalesTable[[#This Row],[Order_Date]]),MONTH(RawSalesTable[[#This Row],[Order_Date]]),1)</f>
        <v>45778</v>
      </c>
      <c r="AK494" s="8" t="str">
        <f>VLOOKUP(RawSalesTable[[#This Row],[Customer_ID_clean]],CustomersTable[],4,FALSE)</f>
        <v>Nova Scotia</v>
      </c>
    </row>
    <row r="495" spans="1:37">
      <c r="A495" t="s">
        <v>920</v>
      </c>
      <c r="B495" s="3">
        <v>45872</v>
      </c>
      <c r="C495" t="s">
        <v>491</v>
      </c>
      <c r="D495" t="s">
        <v>346</v>
      </c>
      <c r="E495" t="s">
        <v>492</v>
      </c>
      <c r="F495" t="s">
        <v>145</v>
      </c>
      <c r="G495" t="s">
        <v>88</v>
      </c>
      <c r="H495" t="s">
        <v>89</v>
      </c>
      <c r="I495">
        <v>2</v>
      </c>
      <c r="J495" s="2">
        <v>238.38</v>
      </c>
      <c r="K495" s="4">
        <v>0.15</v>
      </c>
      <c r="L495" t="s">
        <v>90</v>
      </c>
      <c r="M495">
        <v>6</v>
      </c>
      <c r="N495" t="s">
        <v>91</v>
      </c>
      <c r="O495" t="str">
        <f>SUBSTITUTE(PROPER(TRIM(RawSalesTable[[#This Row],[Channel_Raw]])), "Market Place", "Marketplace")</f>
        <v>Online</v>
      </c>
      <c r="P495" t="str">
        <f>TRIM(RawSalesTable[[#This Row],[Store_Raw]])</f>
        <v>Calgary North</v>
      </c>
      <c r="Q495" t="str">
        <f>IF(TRIM(RawSalesTable[[#This Row],[Payment_Method_Raw]])="","Non renseigné",SUBSTITUTE(TRIM(RawSalesTable[[#This Row],[Payment_Method_Raw]]),"CC","Credit Card"))</f>
        <v>PayPal</v>
      </c>
      <c r="R495" s="8" t="str">
        <f>UPPER(PROPER(RawSalesTable[[#This Row],[Customer_ID]]))</f>
        <v>C0045</v>
      </c>
      <c r="S495" s="8" t="str">
        <f>TRIM(LEFT(RawSalesTable[[#This Row],[Customer_Info]],FIND(",",RawSalesTable[[#This Row],[Customer_Info]]) -1))</f>
        <v>Lucas Chen</v>
      </c>
      <c r="T495" s="8" t="str">
        <f>TRIM(MID(RawSalesTable[[#This Row],[Customer_Info]],FIND(",",RawSalesTable[[#This Row],[Customer_Info]])+1,FIND(",",RawSalesTable[[#This Row],[Customer_Info]],FIND(",",RawSalesTable[[#This Row],[Customer_Info]])+1)-FIND(",",RawSalesTable[[#This Row],[Customer_Info]])-1))</f>
        <v>Ottawa</v>
      </c>
      <c r="U495" s="8" t="str">
        <f>TRIM(RIGHT(RawSalesTable[[#This Row],[Customer_Info]], LEN(RawSalesTable[[#This Row],[Customer_Info]])-FIND(",",RawSalesTable[[#This Row],[Customer_Info]],FIND(",",RawSalesTable[[#This Row],[Customer_Info]])+1)))</f>
        <v>Corporate</v>
      </c>
      <c r="V495" s="8" t="str">
        <f>VLOOKUP(RawSalesTable[[#This Row],[Product_ID]],ProductsTable[],2,FALSE)</f>
        <v>Pull-up Bar</v>
      </c>
      <c r="W495" s="8" t="str">
        <f>VLOOKUP(RawSalesTable[[#This Row],[Product_ID]],ProductsTable[],3,FALSE)</f>
        <v>Fitness</v>
      </c>
      <c r="X495" s="8">
        <f>VLOOKUP(RawSalesTable[[#This Row],[Product_ID]],ProductsTable[],5,FALSE)</f>
        <v>125.4</v>
      </c>
      <c r="Y495" s="8">
        <f>RawSalesTable[[#This Row],[Quantity]]*RawSalesTable[[#This Row],[Unit_Price]]</f>
        <v>476.76</v>
      </c>
      <c r="Z495" s="8">
        <f>RawSalesTable[[#This Row],[Gross_Sales]]*RawSalesTable[[#This Row],[Discount_Pct]]</f>
        <v>71.513999999999996</v>
      </c>
      <c r="AA495" s="8">
        <f>RawSalesTable[[#This Row],[Gross_Sales]]-RawSalesTable[[#This Row],[Discount_Amount]]</f>
        <v>405.24599999999998</v>
      </c>
      <c r="AB495" s="8">
        <f>RawSalesTable[[#This Row],[Unit_Cost]]*RawSalesTable[[#This Row],[Quantity]]</f>
        <v>250.8</v>
      </c>
      <c r="AC495" s="8">
        <f>RawSalesTable[[#This Row],[Net_Sales]]-RawSalesTable[[#This Row],[Total_Cost]]</f>
        <v>154.44599999999997</v>
      </c>
      <c r="AD495" s="9">
        <f>RawSalesTable[[#This Row],[Profit]]/RawSalesTable[[#This Row],[Net_Sales]]</f>
        <v>0.38111665506877296</v>
      </c>
      <c r="AE495" s="8">
        <f>IF(RawSalesTable[[#This Row],[Return_Status]]="Yes",1,0)</f>
        <v>0</v>
      </c>
      <c r="AF495" s="8">
        <f>YEAR(RawSalesTable[[#This Row],[Order_Date]])</f>
        <v>2025</v>
      </c>
      <c r="AG495" s="8">
        <f>MONTH(RawSalesTable[[#This Row],[Order_Date]])</f>
        <v>8</v>
      </c>
      <c r="AH495" s="8" t="str">
        <f>TEXT(RawSalesTable[[#This Row],[Order_Date]],"mmmm")</f>
        <v>août</v>
      </c>
      <c r="AI495" s="8" t="str">
        <f>IF(RawSalesTable[[#This Row],[Month_Number]]&lt;=3,"Q1",IF(RawSalesTable[[#This Row],[Month_Number]]&lt;=6,"Q2",IF(RawSalesTable[[#This Row],[Month_Number]]&lt;=9,"Q3","Q4")))</f>
        <v>Q3</v>
      </c>
      <c r="AJ495" s="13">
        <f>DATE(YEAR(RawSalesTable[[#This Row],[Order_Date]]),MONTH(RawSalesTable[[#This Row],[Order_Date]]),1)</f>
        <v>45870</v>
      </c>
      <c r="AK495" s="8" t="str">
        <f>VLOOKUP(RawSalesTable[[#This Row],[Customer_ID_clean]],CustomersTable[],4,FALSE)</f>
        <v>Ontario</v>
      </c>
    </row>
    <row r="496" spans="1:37">
      <c r="A496" t="s">
        <v>921</v>
      </c>
      <c r="B496" s="3">
        <v>45849</v>
      </c>
      <c r="C496" t="s">
        <v>389</v>
      </c>
      <c r="D496" t="s">
        <v>85</v>
      </c>
      <c r="E496" t="s">
        <v>390</v>
      </c>
      <c r="F496" t="s">
        <v>145</v>
      </c>
      <c r="G496" t="s">
        <v>117</v>
      </c>
      <c r="H496" t="s">
        <v>105</v>
      </c>
      <c r="I496">
        <v>1</v>
      </c>
      <c r="J496" s="2">
        <v>295.45</v>
      </c>
      <c r="K496" s="4">
        <v>0.2</v>
      </c>
      <c r="L496" t="s">
        <v>98</v>
      </c>
      <c r="M496">
        <v>6</v>
      </c>
      <c r="N496" t="s">
        <v>91</v>
      </c>
      <c r="O496" t="str">
        <f>SUBSTITUTE(PROPER(TRIM(RawSalesTable[[#This Row],[Channel_Raw]])), "Market Place", "Marketplace")</f>
        <v>Marketplace</v>
      </c>
      <c r="P496" t="str">
        <f>TRIM(RawSalesTable[[#This Row],[Store_Raw]])</f>
        <v>Calgary North</v>
      </c>
      <c r="Q496" t="str">
        <f>IF(TRIM(RawSalesTable[[#This Row],[Payment_Method_Raw]])="","Non renseigné",SUBSTITUTE(TRIM(RawSalesTable[[#This Row],[Payment_Method_Raw]]),"CC","Credit Card"))</f>
        <v>Debit Card</v>
      </c>
      <c r="R496" s="8" t="str">
        <f>UPPER(PROPER(RawSalesTable[[#This Row],[Customer_ID]]))</f>
        <v>C0103</v>
      </c>
      <c r="S496" s="8" t="str">
        <f>TRIM(LEFT(RawSalesTable[[#This Row],[Customer_Info]],FIND(",",RawSalesTable[[#This Row],[Customer_Info]]) -1))</f>
        <v>Zoe Singh</v>
      </c>
      <c r="T496" s="8" t="str">
        <f>TRIM(MID(RawSalesTable[[#This Row],[Customer_Info]],FIND(",",RawSalesTable[[#This Row],[Customer_Info]])+1,FIND(",",RawSalesTable[[#This Row],[Customer_Info]],FIND(",",RawSalesTable[[#This Row],[Customer_Info]])+1)-FIND(",",RawSalesTable[[#This Row],[Customer_Info]])-1))</f>
        <v>Saskatoon</v>
      </c>
      <c r="U496" s="8" t="str">
        <f>TRIM(RIGHT(RawSalesTable[[#This Row],[Customer_Info]], LEN(RawSalesTable[[#This Row],[Customer_Info]])-FIND(",",RawSalesTable[[#This Row],[Customer_Info]],FIND(",",RawSalesTable[[#This Row],[Customer_Info]])+1)))</f>
        <v>Corporate</v>
      </c>
      <c r="V496" s="8" t="str">
        <f>VLOOKUP(RawSalesTable[[#This Row],[Product_ID]],ProductsTable[],2,FALSE)</f>
        <v>Yoga Mat</v>
      </c>
      <c r="W496" s="8" t="str">
        <f>VLOOKUP(RawSalesTable[[#This Row],[Product_ID]],ProductsTable[],3,FALSE)</f>
        <v>Fitness</v>
      </c>
      <c r="X496" s="8">
        <f>VLOOKUP(RawSalesTable[[#This Row],[Product_ID]],ProductsTable[],5,FALSE)</f>
        <v>197.33</v>
      </c>
      <c r="Y496" s="8">
        <f>RawSalesTable[[#This Row],[Quantity]]*RawSalesTable[[#This Row],[Unit_Price]]</f>
        <v>295.45</v>
      </c>
      <c r="Z496" s="8">
        <f>RawSalesTable[[#This Row],[Gross_Sales]]*RawSalesTable[[#This Row],[Discount_Pct]]</f>
        <v>59.09</v>
      </c>
      <c r="AA496" s="8">
        <f>RawSalesTable[[#This Row],[Gross_Sales]]-RawSalesTable[[#This Row],[Discount_Amount]]</f>
        <v>236.35999999999999</v>
      </c>
      <c r="AB496" s="8">
        <f>RawSalesTable[[#This Row],[Unit_Cost]]*RawSalesTable[[#This Row],[Quantity]]</f>
        <v>197.33</v>
      </c>
      <c r="AC496" s="8">
        <f>RawSalesTable[[#This Row],[Net_Sales]]-RawSalesTable[[#This Row],[Total_Cost]]</f>
        <v>39.029999999999973</v>
      </c>
      <c r="AD496" s="9">
        <f>RawSalesTable[[#This Row],[Profit]]/RawSalesTable[[#This Row],[Net_Sales]]</f>
        <v>0.16512946353020805</v>
      </c>
      <c r="AE496" s="8">
        <f>IF(RawSalesTable[[#This Row],[Return_Status]]="Yes",1,0)</f>
        <v>0</v>
      </c>
      <c r="AF496" s="8">
        <f>YEAR(RawSalesTable[[#This Row],[Order_Date]])</f>
        <v>2025</v>
      </c>
      <c r="AG496" s="8">
        <f>MONTH(RawSalesTable[[#This Row],[Order_Date]])</f>
        <v>7</v>
      </c>
      <c r="AH496" s="8" t="str">
        <f>TEXT(RawSalesTable[[#This Row],[Order_Date]],"mmmm")</f>
        <v>juillet</v>
      </c>
      <c r="AI496" s="8" t="str">
        <f>IF(RawSalesTable[[#This Row],[Month_Number]]&lt;=3,"Q1",IF(RawSalesTable[[#This Row],[Month_Number]]&lt;=6,"Q2",IF(RawSalesTable[[#This Row],[Month_Number]]&lt;=9,"Q3","Q4")))</f>
        <v>Q3</v>
      </c>
      <c r="AJ496" s="13">
        <f>DATE(YEAR(RawSalesTable[[#This Row],[Order_Date]]),MONTH(RawSalesTable[[#This Row],[Order_Date]]),1)</f>
        <v>45839</v>
      </c>
      <c r="AK496" s="8" t="str">
        <f>VLOOKUP(RawSalesTable[[#This Row],[Customer_ID_clean]],CustomersTable[],4,FALSE)</f>
        <v>Saskatchewan</v>
      </c>
    </row>
    <row r="497" spans="1:37">
      <c r="A497" t="s">
        <v>922</v>
      </c>
      <c r="B497" s="3">
        <v>45849</v>
      </c>
      <c r="C497" t="s">
        <v>809</v>
      </c>
      <c r="D497" t="s">
        <v>249</v>
      </c>
      <c r="E497" t="s">
        <v>810</v>
      </c>
      <c r="F497" t="s">
        <v>111</v>
      </c>
      <c r="G497" t="s">
        <v>130</v>
      </c>
      <c r="H497" t="s">
        <v>97</v>
      </c>
      <c r="I497">
        <v>1</v>
      </c>
      <c r="J497" s="2">
        <v>420.77</v>
      </c>
      <c r="K497" s="4">
        <v>0.05</v>
      </c>
      <c r="M497">
        <v>1</v>
      </c>
      <c r="N497" t="s">
        <v>91</v>
      </c>
      <c r="O497" t="str">
        <f>SUBSTITUTE(PROPER(TRIM(RawSalesTable[[#This Row],[Channel_Raw]])), "Market Place", "Marketplace")</f>
        <v>Retail Store</v>
      </c>
      <c r="P497" t="str">
        <f>TRIM(RawSalesTable[[#This Row],[Store_Raw]])</f>
        <v>Montreal Central</v>
      </c>
      <c r="Q497" t="str">
        <f>IF(TRIM(RawSalesTable[[#This Row],[Payment_Method_Raw]])="","Non renseigné",SUBSTITUTE(TRIM(RawSalesTable[[#This Row],[Payment_Method_Raw]]),"CC","Credit Card"))</f>
        <v>Non renseigné</v>
      </c>
      <c r="R497" s="8" t="str">
        <f>UPPER(PROPER(RawSalesTable[[#This Row],[Customer_ID]]))</f>
        <v>C0046</v>
      </c>
      <c r="S497" s="8" t="str">
        <f>TRIM(LEFT(RawSalesTable[[#This Row],[Customer_Info]],FIND(",",RawSalesTable[[#This Row],[Customer_Info]]) -1))</f>
        <v>Amelia Bennett</v>
      </c>
      <c r="T497" s="8" t="str">
        <f>TRIM(MID(RawSalesTable[[#This Row],[Customer_Info]],FIND(",",RawSalesTable[[#This Row],[Customer_Info]])+1,FIND(",",RawSalesTable[[#This Row],[Customer_Info]],FIND(",",RawSalesTable[[#This Row],[Customer_Info]])+1)-FIND(",",RawSalesTable[[#This Row],[Customer_Info]])-1))</f>
        <v>Laval</v>
      </c>
      <c r="U497" s="8" t="str">
        <f>TRIM(RIGHT(RawSalesTable[[#This Row],[Customer_Info]], LEN(RawSalesTable[[#This Row],[Customer_Info]])-FIND(",",RawSalesTable[[#This Row],[Customer_Info]],FIND(",",RawSalesTable[[#This Row],[Customer_Info]])+1)))</f>
        <v>Consumer</v>
      </c>
      <c r="V497" s="8" t="str">
        <f>VLOOKUP(RawSalesTable[[#This Row],[Product_ID]],ProductsTable[],2,FALSE)</f>
        <v>Humidifier</v>
      </c>
      <c r="W497" s="8" t="str">
        <f>VLOOKUP(RawSalesTable[[#This Row],[Product_ID]],ProductsTable[],3,FALSE)</f>
        <v>Home</v>
      </c>
      <c r="X497" s="8">
        <f>VLOOKUP(RawSalesTable[[#This Row],[Product_ID]],ProductsTable[],5,FALSE)</f>
        <v>239.67</v>
      </c>
      <c r="Y497" s="8">
        <f>RawSalesTable[[#This Row],[Quantity]]*RawSalesTable[[#This Row],[Unit_Price]]</f>
        <v>420.77</v>
      </c>
      <c r="Z497" s="8">
        <f>RawSalesTable[[#This Row],[Gross_Sales]]*RawSalesTable[[#This Row],[Discount_Pct]]</f>
        <v>21.038499999999999</v>
      </c>
      <c r="AA497" s="8">
        <f>RawSalesTable[[#This Row],[Gross_Sales]]-RawSalesTable[[#This Row],[Discount_Amount]]</f>
        <v>399.73149999999998</v>
      </c>
      <c r="AB497" s="8">
        <f>RawSalesTable[[#This Row],[Unit_Cost]]*RawSalesTable[[#This Row],[Quantity]]</f>
        <v>239.67</v>
      </c>
      <c r="AC497" s="8">
        <f>RawSalesTable[[#This Row],[Net_Sales]]-RawSalesTable[[#This Row],[Total_Cost]]</f>
        <v>160.0615</v>
      </c>
      <c r="AD497" s="9">
        <f>RawSalesTable[[#This Row],[Profit]]/RawSalesTable[[#This Row],[Net_Sales]]</f>
        <v>0.40042253362569624</v>
      </c>
      <c r="AE497" s="8">
        <f>IF(RawSalesTable[[#This Row],[Return_Status]]="Yes",1,0)</f>
        <v>0</v>
      </c>
      <c r="AF497" s="8">
        <f>YEAR(RawSalesTable[[#This Row],[Order_Date]])</f>
        <v>2025</v>
      </c>
      <c r="AG497" s="8">
        <f>MONTH(RawSalesTable[[#This Row],[Order_Date]])</f>
        <v>7</v>
      </c>
      <c r="AH497" s="8" t="str">
        <f>TEXT(RawSalesTable[[#This Row],[Order_Date]],"mmmm")</f>
        <v>juillet</v>
      </c>
      <c r="AI497" s="8" t="str">
        <f>IF(RawSalesTable[[#This Row],[Month_Number]]&lt;=3,"Q1",IF(RawSalesTable[[#This Row],[Month_Number]]&lt;=6,"Q2",IF(RawSalesTable[[#This Row],[Month_Number]]&lt;=9,"Q3","Q4")))</f>
        <v>Q3</v>
      </c>
      <c r="AJ497" s="13">
        <f>DATE(YEAR(RawSalesTable[[#This Row],[Order_Date]]),MONTH(RawSalesTable[[#This Row],[Order_Date]]),1)</f>
        <v>45839</v>
      </c>
      <c r="AK497" s="8" t="str">
        <f>VLOOKUP(RawSalesTable[[#This Row],[Customer_ID_clean]],CustomersTable[],4,FALSE)</f>
        <v>Quebec</v>
      </c>
    </row>
    <row r="498" spans="1:37">
      <c r="A498" t="s">
        <v>923</v>
      </c>
      <c r="B498" s="3">
        <v>45691</v>
      </c>
      <c r="C498" t="s">
        <v>531</v>
      </c>
      <c r="D498" t="s">
        <v>469</v>
      </c>
      <c r="E498" t="s">
        <v>532</v>
      </c>
      <c r="F498" t="s">
        <v>116</v>
      </c>
      <c r="G498" t="s">
        <v>117</v>
      </c>
      <c r="H498" t="s">
        <v>97</v>
      </c>
      <c r="I498">
        <v>2</v>
      </c>
      <c r="J498" s="2">
        <v>88.09</v>
      </c>
      <c r="K498" s="4">
        <v>0</v>
      </c>
      <c r="L498" t="s">
        <v>106</v>
      </c>
      <c r="M498">
        <v>1</v>
      </c>
      <c r="N498" t="s">
        <v>91</v>
      </c>
      <c r="O498" t="str">
        <f>SUBSTITUTE(PROPER(TRIM(RawSalesTable[[#This Row],[Channel_Raw]])), "Market Place", "Marketplace")</f>
        <v>Retail Store</v>
      </c>
      <c r="P498" t="str">
        <f>TRIM(RawSalesTable[[#This Row],[Store_Raw]])</f>
        <v>Toronto Downtown</v>
      </c>
      <c r="Q498" t="str">
        <f>IF(TRIM(RawSalesTable[[#This Row],[Payment_Method_Raw]])="","Non renseigné",SUBSTITUTE(TRIM(RawSalesTable[[#This Row],[Payment_Method_Raw]]),"CC","Credit Card"))</f>
        <v>Credit Card</v>
      </c>
      <c r="R498" s="8" t="str">
        <f>UPPER(PROPER(RawSalesTable[[#This Row],[Customer_ID]]))</f>
        <v>C0042</v>
      </c>
      <c r="S498" s="8" t="str">
        <f>TRIM(LEFT(RawSalesTable[[#This Row],[Customer_Info]],FIND(",",RawSalesTable[[#This Row],[Customer_Info]]) -1))</f>
        <v>Emma King</v>
      </c>
      <c r="T498" s="8" t="str">
        <f>TRIM(MID(RawSalesTable[[#This Row],[Customer_Info]],FIND(",",RawSalesTable[[#This Row],[Customer_Info]])+1,FIND(",",RawSalesTable[[#This Row],[Customer_Info]],FIND(",",RawSalesTable[[#This Row],[Customer_Info]])+1)-FIND(",",RawSalesTable[[#This Row],[Customer_Info]])-1))</f>
        <v>Quebec City</v>
      </c>
      <c r="U498" s="8" t="str">
        <f>TRIM(RIGHT(RawSalesTable[[#This Row],[Customer_Info]], LEN(RawSalesTable[[#This Row],[Customer_Info]])-FIND(",",RawSalesTable[[#This Row],[Customer_Info]],FIND(",",RawSalesTable[[#This Row],[Customer_Info]])+1)))</f>
        <v>Consumer</v>
      </c>
      <c r="V498" s="8" t="str">
        <f>VLOOKUP(RawSalesTable[[#This Row],[Product_ID]],ProductsTable[],2,FALSE)</f>
        <v>Phone Stand</v>
      </c>
      <c r="W498" s="8" t="str">
        <f>VLOOKUP(RawSalesTable[[#This Row],[Product_ID]],ProductsTable[],3,FALSE)</f>
        <v>Accessories</v>
      </c>
      <c r="X498" s="8">
        <f>VLOOKUP(RawSalesTable[[#This Row],[Product_ID]],ProductsTable[],5,FALSE)</f>
        <v>59.85</v>
      </c>
      <c r="Y498" s="8">
        <f>RawSalesTable[[#This Row],[Quantity]]*RawSalesTable[[#This Row],[Unit_Price]]</f>
        <v>176.18</v>
      </c>
      <c r="Z498" s="8">
        <f>RawSalesTable[[#This Row],[Gross_Sales]]*RawSalesTable[[#This Row],[Discount_Pct]]</f>
        <v>0</v>
      </c>
      <c r="AA498" s="8">
        <f>RawSalesTable[[#This Row],[Gross_Sales]]-RawSalesTable[[#This Row],[Discount_Amount]]</f>
        <v>176.18</v>
      </c>
      <c r="AB498" s="8">
        <f>RawSalesTable[[#This Row],[Unit_Cost]]*RawSalesTable[[#This Row],[Quantity]]</f>
        <v>119.7</v>
      </c>
      <c r="AC498" s="8">
        <f>RawSalesTable[[#This Row],[Net_Sales]]-RawSalesTable[[#This Row],[Total_Cost]]</f>
        <v>56.480000000000004</v>
      </c>
      <c r="AD498" s="9">
        <f>RawSalesTable[[#This Row],[Profit]]/RawSalesTable[[#This Row],[Net_Sales]]</f>
        <v>0.32058122374843911</v>
      </c>
      <c r="AE498" s="8">
        <f>IF(RawSalesTable[[#This Row],[Return_Status]]="Yes",1,0)</f>
        <v>0</v>
      </c>
      <c r="AF498" s="8">
        <f>YEAR(RawSalesTable[[#This Row],[Order_Date]])</f>
        <v>2025</v>
      </c>
      <c r="AG498" s="8">
        <f>MONTH(RawSalesTable[[#This Row],[Order_Date]])</f>
        <v>2</v>
      </c>
      <c r="AH498" s="8" t="str">
        <f>TEXT(RawSalesTable[[#This Row],[Order_Date]],"mmmm")</f>
        <v>février</v>
      </c>
      <c r="AI498" s="8" t="str">
        <f>IF(RawSalesTable[[#This Row],[Month_Number]]&lt;=3,"Q1",IF(RawSalesTable[[#This Row],[Month_Number]]&lt;=6,"Q2",IF(RawSalesTable[[#This Row],[Month_Number]]&lt;=9,"Q3","Q4")))</f>
        <v>Q1</v>
      </c>
      <c r="AJ498" s="13">
        <f>DATE(YEAR(RawSalesTable[[#This Row],[Order_Date]]),MONTH(RawSalesTable[[#This Row],[Order_Date]]),1)</f>
        <v>45689</v>
      </c>
      <c r="AK498" s="8" t="str">
        <f>VLOOKUP(RawSalesTable[[#This Row],[Customer_ID_clean]],CustomersTable[],4,FALSE)</f>
        <v>Quebec</v>
      </c>
    </row>
    <row r="499" spans="1:37">
      <c r="A499" t="s">
        <v>924</v>
      </c>
      <c r="B499" s="3">
        <v>45896</v>
      </c>
      <c r="C499" t="s">
        <v>248</v>
      </c>
      <c r="D499" t="s">
        <v>190</v>
      </c>
      <c r="E499" t="s">
        <v>250</v>
      </c>
      <c r="F499" t="s">
        <v>145</v>
      </c>
      <c r="G499" t="s">
        <v>117</v>
      </c>
      <c r="H499" t="s">
        <v>89</v>
      </c>
      <c r="I499">
        <v>3</v>
      </c>
      <c r="J499" s="2">
        <v>274.23</v>
      </c>
      <c r="K499" s="4">
        <v>0</v>
      </c>
      <c r="L499" t="s">
        <v>90</v>
      </c>
      <c r="M499">
        <v>6</v>
      </c>
      <c r="N499" t="s">
        <v>147</v>
      </c>
      <c r="O499" t="str">
        <f>SUBSTITUTE(PROPER(TRIM(RawSalesTable[[#This Row],[Channel_Raw]])), "Market Place", "Marketplace")</f>
        <v>Online</v>
      </c>
      <c r="P499" t="str">
        <f>TRIM(RawSalesTable[[#This Row],[Store_Raw]])</f>
        <v>Calgary North</v>
      </c>
      <c r="Q499" t="str">
        <f>IF(TRIM(RawSalesTable[[#This Row],[Payment_Method_Raw]])="","Non renseigné",SUBSTITUTE(TRIM(RawSalesTable[[#This Row],[Payment_Method_Raw]]),"CC","Credit Card"))</f>
        <v>PayPal</v>
      </c>
      <c r="R499" s="8" t="str">
        <f>UPPER(PROPER(RawSalesTable[[#This Row],[Customer_ID]]))</f>
        <v>C0012</v>
      </c>
      <c r="S499" s="8" t="str">
        <f>TRIM(LEFT(RawSalesTable[[#This Row],[Customer_Info]],FIND(",",RawSalesTable[[#This Row],[Customer_Info]]) -1))</f>
        <v>Daniel Taylor</v>
      </c>
      <c r="T499" s="8" t="str">
        <f>TRIM(MID(RawSalesTable[[#This Row],[Customer_Info]],FIND(",",RawSalesTable[[#This Row],[Customer_Info]])+1,FIND(",",RawSalesTable[[#This Row],[Customer_Info]],FIND(",",RawSalesTable[[#This Row],[Customer_Info]])+1)-FIND(",",RawSalesTable[[#This Row],[Customer_Info]])-1))</f>
        <v>Victoria</v>
      </c>
      <c r="U499" s="8" t="str">
        <f>TRIM(RIGHT(RawSalesTable[[#This Row],[Customer_Info]], LEN(RawSalesTable[[#This Row],[Customer_Info]])-FIND(",",RawSalesTable[[#This Row],[Customer_Info]],FIND(",",RawSalesTable[[#This Row],[Customer_Info]])+1)))</f>
        <v>Corporate</v>
      </c>
      <c r="V499" s="8" t="str">
        <f>VLOOKUP(RawSalesTable[[#This Row],[Product_ID]],ProductsTable[],2,FALSE)</f>
        <v>Webcam</v>
      </c>
      <c r="W499" s="8" t="str">
        <f>VLOOKUP(RawSalesTable[[#This Row],[Product_ID]],ProductsTable[],3,FALSE)</f>
        <v>Electronics</v>
      </c>
      <c r="X499" s="8">
        <f>VLOOKUP(RawSalesTable[[#This Row],[Product_ID]],ProductsTable[],5,FALSE)</f>
        <v>154.72999999999999</v>
      </c>
      <c r="Y499" s="8">
        <f>RawSalesTable[[#This Row],[Quantity]]*RawSalesTable[[#This Row],[Unit_Price]]</f>
        <v>822.69</v>
      </c>
      <c r="Z499" s="8">
        <f>RawSalesTable[[#This Row],[Gross_Sales]]*RawSalesTable[[#This Row],[Discount_Pct]]</f>
        <v>0</v>
      </c>
      <c r="AA499" s="8">
        <f>RawSalesTable[[#This Row],[Gross_Sales]]-RawSalesTable[[#This Row],[Discount_Amount]]</f>
        <v>822.69</v>
      </c>
      <c r="AB499" s="8">
        <f>RawSalesTable[[#This Row],[Unit_Cost]]*RawSalesTable[[#This Row],[Quantity]]</f>
        <v>464.18999999999994</v>
      </c>
      <c r="AC499" s="8">
        <f>RawSalesTable[[#This Row],[Net_Sales]]-RawSalesTable[[#This Row],[Total_Cost]]</f>
        <v>358.50000000000011</v>
      </c>
      <c r="AD499" s="9">
        <f>RawSalesTable[[#This Row],[Profit]]/RawSalesTable[[#This Row],[Net_Sales]]</f>
        <v>0.43576559822047195</v>
      </c>
      <c r="AE499" s="8">
        <f>IF(RawSalesTable[[#This Row],[Return_Status]]="Yes",1,0)</f>
        <v>1</v>
      </c>
      <c r="AF499" s="8">
        <f>YEAR(RawSalesTable[[#This Row],[Order_Date]])</f>
        <v>2025</v>
      </c>
      <c r="AG499" s="8">
        <f>MONTH(RawSalesTable[[#This Row],[Order_Date]])</f>
        <v>8</v>
      </c>
      <c r="AH499" s="8" t="str">
        <f>TEXT(RawSalesTable[[#This Row],[Order_Date]],"mmmm")</f>
        <v>août</v>
      </c>
      <c r="AI499" s="8" t="str">
        <f>IF(RawSalesTable[[#This Row],[Month_Number]]&lt;=3,"Q1",IF(RawSalesTable[[#This Row],[Month_Number]]&lt;=6,"Q2",IF(RawSalesTable[[#This Row],[Month_Number]]&lt;=9,"Q3","Q4")))</f>
        <v>Q3</v>
      </c>
      <c r="AJ499" s="13">
        <f>DATE(YEAR(RawSalesTable[[#This Row],[Order_Date]]),MONTH(RawSalesTable[[#This Row],[Order_Date]]),1)</f>
        <v>45870</v>
      </c>
      <c r="AK499" s="8" t="str">
        <f>VLOOKUP(RawSalesTable[[#This Row],[Customer_ID_clean]],CustomersTable[],4,FALSE)</f>
        <v>British Columbia</v>
      </c>
    </row>
    <row r="500" spans="1:37">
      <c r="A500" t="s">
        <v>925</v>
      </c>
      <c r="B500" s="3">
        <v>45704</v>
      </c>
      <c r="C500" t="s">
        <v>463</v>
      </c>
      <c r="D500" t="s">
        <v>181</v>
      </c>
      <c r="E500" t="s">
        <v>464</v>
      </c>
      <c r="F500" t="s">
        <v>116</v>
      </c>
      <c r="G500" t="s">
        <v>122</v>
      </c>
      <c r="H500" t="s">
        <v>97</v>
      </c>
      <c r="I500">
        <v>1</v>
      </c>
      <c r="J500" s="2">
        <v>360.8</v>
      </c>
      <c r="K500" s="4">
        <v>0</v>
      </c>
      <c r="L500" t="s">
        <v>106</v>
      </c>
      <c r="M500">
        <v>2</v>
      </c>
      <c r="N500" t="s">
        <v>91</v>
      </c>
      <c r="O500" t="str">
        <f>SUBSTITUTE(PROPER(TRIM(RawSalesTable[[#This Row],[Channel_Raw]])), "Market Place", "Marketplace")</f>
        <v>Retail Store</v>
      </c>
      <c r="P500" t="str">
        <f>TRIM(RawSalesTable[[#This Row],[Store_Raw]])</f>
        <v>Toronto Downtown</v>
      </c>
      <c r="Q500" t="str">
        <f>IF(TRIM(RawSalesTable[[#This Row],[Payment_Method_Raw]])="","Non renseigné",SUBSTITUTE(TRIM(RawSalesTable[[#This Row],[Payment_Method_Raw]]),"CC","Credit Card"))</f>
        <v>Credit Card</v>
      </c>
      <c r="R500" s="8" t="str">
        <f>UPPER(PROPER(RawSalesTable[[#This Row],[Customer_ID]]))</f>
        <v>C0030</v>
      </c>
      <c r="S500" s="8" t="str">
        <f>TRIM(LEFT(RawSalesTable[[#This Row],[Customer_Info]],FIND(",",RawSalesTable[[#This Row],[Customer_Info]]) -1))</f>
        <v>Emma Lee</v>
      </c>
      <c r="T500" s="8" t="str">
        <f>TRIM(MID(RawSalesTable[[#This Row],[Customer_Info]],FIND(",",RawSalesTable[[#This Row],[Customer_Info]])+1,FIND(",",RawSalesTable[[#This Row],[Customer_Info]],FIND(",",RawSalesTable[[#This Row],[Customer_Info]])+1)-FIND(",",RawSalesTable[[#This Row],[Customer_Info]])-1))</f>
        <v>Calgary</v>
      </c>
      <c r="U500" s="8" t="str">
        <f>TRIM(RIGHT(RawSalesTable[[#This Row],[Customer_Info]], LEN(RawSalesTable[[#This Row],[Customer_Info]])-FIND(",",RawSalesTable[[#This Row],[Customer_Info]],FIND(",",RawSalesTable[[#This Row],[Customer_Info]])+1)))</f>
        <v>Corporate</v>
      </c>
      <c r="V500" s="8" t="str">
        <f>VLOOKUP(RawSalesTable[[#This Row],[Product_ID]],ProductsTable[],2,FALSE)</f>
        <v>Monitor</v>
      </c>
      <c r="W500" s="8" t="str">
        <f>VLOOKUP(RawSalesTable[[#This Row],[Product_ID]],ProductsTable[],3,FALSE)</f>
        <v>Electronics</v>
      </c>
      <c r="X500" s="8">
        <f>VLOOKUP(RawSalesTable[[#This Row],[Product_ID]],ProductsTable[],5,FALSE)</f>
        <v>224.47</v>
      </c>
      <c r="Y500" s="8">
        <f>RawSalesTable[[#This Row],[Quantity]]*RawSalesTable[[#This Row],[Unit_Price]]</f>
        <v>360.8</v>
      </c>
      <c r="Z500" s="8">
        <f>RawSalesTable[[#This Row],[Gross_Sales]]*RawSalesTable[[#This Row],[Discount_Pct]]</f>
        <v>0</v>
      </c>
      <c r="AA500" s="8">
        <f>RawSalesTable[[#This Row],[Gross_Sales]]-RawSalesTable[[#This Row],[Discount_Amount]]</f>
        <v>360.8</v>
      </c>
      <c r="AB500" s="8">
        <f>RawSalesTable[[#This Row],[Unit_Cost]]*RawSalesTable[[#This Row],[Quantity]]</f>
        <v>224.47</v>
      </c>
      <c r="AC500" s="8">
        <f>RawSalesTable[[#This Row],[Net_Sales]]-RawSalesTable[[#This Row],[Total_Cost]]</f>
        <v>136.33000000000001</v>
      </c>
      <c r="AD500" s="9">
        <f>RawSalesTable[[#This Row],[Profit]]/RawSalesTable[[#This Row],[Net_Sales]]</f>
        <v>0.37785476718403549</v>
      </c>
      <c r="AE500" s="8">
        <f>IF(RawSalesTable[[#This Row],[Return_Status]]="Yes",1,0)</f>
        <v>0</v>
      </c>
      <c r="AF500" s="8">
        <f>YEAR(RawSalesTable[[#This Row],[Order_Date]])</f>
        <v>2025</v>
      </c>
      <c r="AG500" s="8">
        <f>MONTH(RawSalesTable[[#This Row],[Order_Date]])</f>
        <v>2</v>
      </c>
      <c r="AH500" s="8" t="str">
        <f>TEXT(RawSalesTable[[#This Row],[Order_Date]],"mmmm")</f>
        <v>février</v>
      </c>
      <c r="AI500" s="8" t="str">
        <f>IF(RawSalesTable[[#This Row],[Month_Number]]&lt;=3,"Q1",IF(RawSalesTable[[#This Row],[Month_Number]]&lt;=6,"Q2",IF(RawSalesTable[[#This Row],[Month_Number]]&lt;=9,"Q3","Q4")))</f>
        <v>Q1</v>
      </c>
      <c r="AJ500" s="13">
        <f>DATE(YEAR(RawSalesTable[[#This Row],[Order_Date]]),MONTH(RawSalesTable[[#This Row],[Order_Date]]),1)</f>
        <v>45689</v>
      </c>
      <c r="AK500" s="8" t="str">
        <f>VLOOKUP(RawSalesTable[[#This Row],[Customer_ID_clean]],CustomersTable[],4,FALSE)</f>
        <v>Alberta</v>
      </c>
    </row>
    <row r="501" spans="1:37">
      <c r="A501" t="s">
        <v>926</v>
      </c>
      <c r="B501" s="3">
        <v>45819</v>
      </c>
      <c r="C501" t="s">
        <v>500</v>
      </c>
      <c r="D501" t="s">
        <v>323</v>
      </c>
      <c r="E501" t="s">
        <v>501</v>
      </c>
      <c r="F501" t="s">
        <v>116</v>
      </c>
      <c r="G501" t="s">
        <v>130</v>
      </c>
      <c r="H501" t="s">
        <v>233</v>
      </c>
      <c r="I501">
        <v>1</v>
      </c>
      <c r="J501" s="2">
        <v>345.91</v>
      </c>
      <c r="K501" s="4">
        <v>0.2</v>
      </c>
      <c r="L501" t="s">
        <v>106</v>
      </c>
      <c r="M501">
        <v>1</v>
      </c>
      <c r="N501" t="s">
        <v>91</v>
      </c>
      <c r="O501" t="str">
        <f>SUBSTITUTE(PROPER(TRIM(RawSalesTable[[#This Row],[Channel_Raw]])), "Market Place", "Marketplace")</f>
        <v>Retail Store</v>
      </c>
      <c r="P501" t="str">
        <f>TRIM(RawSalesTable[[#This Row],[Store_Raw]])</f>
        <v>Toronto Downtown</v>
      </c>
      <c r="Q501" t="str">
        <f>IF(TRIM(RawSalesTable[[#This Row],[Payment_Method_Raw]])="","Non renseigné",SUBSTITUTE(TRIM(RawSalesTable[[#This Row],[Payment_Method_Raw]]),"CC","Credit Card"))</f>
        <v>Credit Card</v>
      </c>
      <c r="R501" s="8" t="str">
        <f>UPPER(PROPER(RawSalesTable[[#This Row],[Customer_ID]]))</f>
        <v>C0059</v>
      </c>
      <c r="S501" s="8" t="str">
        <f>TRIM(LEFT(RawSalesTable[[#This Row],[Customer_Info]],FIND(",",RawSalesTable[[#This Row],[Customer_Info]]) -1))</f>
        <v>Lucas Chen</v>
      </c>
      <c r="T501" s="8" t="str">
        <f>TRIM(MID(RawSalesTable[[#This Row],[Customer_Info]],FIND(",",RawSalesTable[[#This Row],[Customer_Info]])+1,FIND(",",RawSalesTable[[#This Row],[Customer_Info]],FIND(",",RawSalesTable[[#This Row],[Customer_Info]])+1)-FIND(",",RawSalesTable[[#This Row],[Customer_Info]])-1))</f>
        <v>Vancouver</v>
      </c>
      <c r="U501" s="8" t="str">
        <f>TRIM(RIGHT(RawSalesTable[[#This Row],[Customer_Info]], LEN(RawSalesTable[[#This Row],[Customer_Info]])-FIND(",",RawSalesTable[[#This Row],[Customer_Info]],FIND(",",RawSalesTable[[#This Row],[Customer_Info]])+1)))</f>
        <v>Corporate</v>
      </c>
      <c r="V501" s="8" t="str">
        <f>VLOOKUP(RawSalesTable[[#This Row],[Product_ID]],ProductsTable[],2,FALSE)</f>
        <v>Toaster</v>
      </c>
      <c r="W501" s="8" t="str">
        <f>VLOOKUP(RawSalesTable[[#This Row],[Product_ID]],ProductsTable[],3,FALSE)</f>
        <v>Home</v>
      </c>
      <c r="X501" s="8">
        <f>VLOOKUP(RawSalesTable[[#This Row],[Product_ID]],ProductsTable[],5,FALSE)</f>
        <v>152.88</v>
      </c>
      <c r="Y501" s="8">
        <f>RawSalesTable[[#This Row],[Quantity]]*RawSalesTable[[#This Row],[Unit_Price]]</f>
        <v>345.91</v>
      </c>
      <c r="Z501" s="8">
        <f>RawSalesTable[[#This Row],[Gross_Sales]]*RawSalesTable[[#This Row],[Discount_Pct]]</f>
        <v>69.182000000000002</v>
      </c>
      <c r="AA501" s="8">
        <f>RawSalesTable[[#This Row],[Gross_Sales]]-RawSalesTable[[#This Row],[Discount_Amount]]</f>
        <v>276.72800000000001</v>
      </c>
      <c r="AB501" s="8">
        <f>RawSalesTable[[#This Row],[Unit_Cost]]*RawSalesTable[[#This Row],[Quantity]]</f>
        <v>152.88</v>
      </c>
      <c r="AC501" s="8">
        <f>RawSalesTable[[#This Row],[Net_Sales]]-RawSalesTable[[#This Row],[Total_Cost]]</f>
        <v>123.84800000000001</v>
      </c>
      <c r="AD501" s="9">
        <f>RawSalesTable[[#This Row],[Profit]]/RawSalesTable[[#This Row],[Net_Sales]]</f>
        <v>0.44754415888525922</v>
      </c>
      <c r="AE501" s="8">
        <f>IF(RawSalesTable[[#This Row],[Return_Status]]="Yes",1,0)</f>
        <v>0</v>
      </c>
      <c r="AF501" s="8">
        <f>YEAR(RawSalesTable[[#This Row],[Order_Date]])</f>
        <v>2025</v>
      </c>
      <c r="AG501" s="8">
        <f>MONTH(RawSalesTable[[#This Row],[Order_Date]])</f>
        <v>6</v>
      </c>
      <c r="AH501" s="8" t="str">
        <f>TEXT(RawSalesTable[[#This Row],[Order_Date]],"mmmm")</f>
        <v>juin</v>
      </c>
      <c r="AI501" s="8" t="str">
        <f>IF(RawSalesTable[[#This Row],[Month_Number]]&lt;=3,"Q1",IF(RawSalesTable[[#This Row],[Month_Number]]&lt;=6,"Q2",IF(RawSalesTable[[#This Row],[Month_Number]]&lt;=9,"Q3","Q4")))</f>
        <v>Q2</v>
      </c>
      <c r="AJ501" s="13">
        <f>DATE(YEAR(RawSalesTable[[#This Row],[Order_Date]]),MONTH(RawSalesTable[[#This Row],[Order_Date]]),1)</f>
        <v>45809</v>
      </c>
      <c r="AK501" s="8" t="str">
        <f>VLOOKUP(RawSalesTable[[#This Row],[Customer_ID_clean]],CustomersTable[],4,FALSE)</f>
        <v>British Columbia</v>
      </c>
    </row>
    <row r="502" spans="1:37">
      <c r="A502" t="s">
        <v>927</v>
      </c>
      <c r="B502" s="3">
        <v>45928</v>
      </c>
      <c r="C502" t="s">
        <v>169</v>
      </c>
      <c r="D502" t="s">
        <v>109</v>
      </c>
      <c r="E502" t="s">
        <v>435</v>
      </c>
      <c r="F502" t="s">
        <v>116</v>
      </c>
      <c r="G502" t="s">
        <v>183</v>
      </c>
      <c r="H502" t="s">
        <v>97</v>
      </c>
      <c r="I502">
        <v>2</v>
      </c>
      <c r="J502" s="2">
        <v>202.09</v>
      </c>
      <c r="K502" s="4">
        <v>0.05</v>
      </c>
      <c r="L502" t="s">
        <v>106</v>
      </c>
      <c r="M502">
        <v>2</v>
      </c>
      <c r="N502" t="s">
        <v>91</v>
      </c>
      <c r="O502" t="str">
        <f>SUBSTITUTE(PROPER(TRIM(RawSalesTable[[#This Row],[Channel_Raw]])), "Market Place", "Marketplace")</f>
        <v>Retail Store</v>
      </c>
      <c r="P502" t="str">
        <f>TRIM(RawSalesTable[[#This Row],[Store_Raw]])</f>
        <v>Toronto Downtown</v>
      </c>
      <c r="Q502" t="str">
        <f>IF(TRIM(RawSalesTable[[#This Row],[Payment_Method_Raw]])="","Non renseigné",SUBSTITUTE(TRIM(RawSalesTable[[#This Row],[Payment_Method_Raw]]),"CC","Credit Card"))</f>
        <v>Credit Card</v>
      </c>
      <c r="R502" s="8" t="str">
        <f>UPPER(PROPER(RawSalesTable[[#This Row],[Customer_ID]]))</f>
        <v>C0064</v>
      </c>
      <c r="S502" s="8" t="str">
        <f>TRIM(LEFT(RawSalesTable[[#This Row],[Customer_Info]],FIND(",",RawSalesTable[[#This Row],[Customer_Info]]) -1))</f>
        <v>Amine Khan</v>
      </c>
      <c r="T502" s="8" t="str">
        <f>TRIM(MID(RawSalesTable[[#This Row],[Customer_Info]],FIND(",",RawSalesTable[[#This Row],[Customer_Info]])+1,FIND(",",RawSalesTable[[#This Row],[Customer_Info]],FIND(",",RawSalesTable[[#This Row],[Customer_Info]])+1)-FIND(",",RawSalesTable[[#This Row],[Customer_Info]])-1))</f>
        <v>Edmonton</v>
      </c>
      <c r="U502" s="8" t="str">
        <f>TRIM(RIGHT(RawSalesTable[[#This Row],[Customer_Info]], LEN(RawSalesTable[[#This Row],[Customer_Info]])-FIND(",",RawSalesTable[[#This Row],[Customer_Info]],FIND(",",RawSalesTable[[#This Row],[Customer_Info]])+1)))</f>
        <v>Consumer</v>
      </c>
      <c r="V502" s="8" t="str">
        <f>VLOOKUP(RawSalesTable[[#This Row],[Product_ID]],ProductsTable[],2,FALSE)</f>
        <v>Gym Bag</v>
      </c>
      <c r="W502" s="8" t="str">
        <f>VLOOKUP(RawSalesTable[[#This Row],[Product_ID]],ProductsTable[],3,FALSE)</f>
        <v>Fitness</v>
      </c>
      <c r="X502" s="8">
        <f>VLOOKUP(RawSalesTable[[#This Row],[Product_ID]],ProductsTable[],5,FALSE)</f>
        <v>132.72</v>
      </c>
      <c r="Y502" s="8">
        <f>RawSalesTable[[#This Row],[Quantity]]*RawSalesTable[[#This Row],[Unit_Price]]</f>
        <v>404.18</v>
      </c>
      <c r="Z502" s="8">
        <f>RawSalesTable[[#This Row],[Gross_Sales]]*RawSalesTable[[#This Row],[Discount_Pct]]</f>
        <v>20.209000000000003</v>
      </c>
      <c r="AA502" s="8">
        <f>RawSalesTable[[#This Row],[Gross_Sales]]-RawSalesTable[[#This Row],[Discount_Amount]]</f>
        <v>383.971</v>
      </c>
      <c r="AB502" s="8">
        <f>RawSalesTable[[#This Row],[Unit_Cost]]*RawSalesTable[[#This Row],[Quantity]]</f>
        <v>265.44</v>
      </c>
      <c r="AC502" s="8">
        <f>RawSalesTable[[#This Row],[Net_Sales]]-RawSalesTable[[#This Row],[Total_Cost]]</f>
        <v>118.53100000000001</v>
      </c>
      <c r="AD502" s="9">
        <f>RawSalesTable[[#This Row],[Profit]]/RawSalesTable[[#This Row],[Net_Sales]]</f>
        <v>0.30869779228118793</v>
      </c>
      <c r="AE502" s="8">
        <f>IF(RawSalesTable[[#This Row],[Return_Status]]="Yes",1,0)</f>
        <v>0</v>
      </c>
      <c r="AF502" s="8">
        <f>YEAR(RawSalesTable[[#This Row],[Order_Date]])</f>
        <v>2025</v>
      </c>
      <c r="AG502" s="8">
        <f>MONTH(RawSalesTable[[#This Row],[Order_Date]])</f>
        <v>9</v>
      </c>
      <c r="AH502" s="8" t="str">
        <f>TEXT(RawSalesTable[[#This Row],[Order_Date]],"mmmm")</f>
        <v>septembre</v>
      </c>
      <c r="AI502" s="8" t="str">
        <f>IF(RawSalesTable[[#This Row],[Month_Number]]&lt;=3,"Q1",IF(RawSalesTable[[#This Row],[Month_Number]]&lt;=6,"Q2",IF(RawSalesTable[[#This Row],[Month_Number]]&lt;=9,"Q3","Q4")))</f>
        <v>Q3</v>
      </c>
      <c r="AJ502" s="13">
        <f>DATE(YEAR(RawSalesTable[[#This Row],[Order_Date]]),MONTH(RawSalesTable[[#This Row],[Order_Date]]),1)</f>
        <v>45901</v>
      </c>
      <c r="AK502" s="8" t="str">
        <f>VLOOKUP(RawSalesTable[[#This Row],[Customer_ID_clean]],CustomersTable[],4,FALSE)</f>
        <v>Alberta</v>
      </c>
    </row>
    <row r="503" spans="1:37">
      <c r="A503" t="s">
        <v>928</v>
      </c>
      <c r="B503" s="3">
        <v>45882</v>
      </c>
      <c r="C503" t="s">
        <v>374</v>
      </c>
      <c r="D503" t="s">
        <v>271</v>
      </c>
      <c r="E503" t="s">
        <v>825</v>
      </c>
      <c r="F503" t="s">
        <v>116</v>
      </c>
      <c r="G503" t="s">
        <v>183</v>
      </c>
      <c r="H503" t="s">
        <v>89</v>
      </c>
      <c r="I503">
        <v>2</v>
      </c>
      <c r="J503" s="2">
        <v>230.29</v>
      </c>
      <c r="K503" s="4">
        <v>0.25</v>
      </c>
      <c r="L503" t="s">
        <v>106</v>
      </c>
      <c r="M503">
        <v>5</v>
      </c>
      <c r="N503" t="s">
        <v>91</v>
      </c>
      <c r="O503" t="str">
        <f>SUBSTITUTE(PROPER(TRIM(RawSalesTable[[#This Row],[Channel_Raw]])), "Market Place", "Marketplace")</f>
        <v>Online</v>
      </c>
      <c r="P503" t="str">
        <f>TRIM(RawSalesTable[[#This Row],[Store_Raw]])</f>
        <v>Toronto Downtown</v>
      </c>
      <c r="Q503" t="str">
        <f>IF(TRIM(RawSalesTable[[#This Row],[Payment_Method_Raw]])="","Non renseigné",SUBSTITUTE(TRIM(RawSalesTable[[#This Row],[Payment_Method_Raw]]),"CC","Credit Card"))</f>
        <v>Credit Card</v>
      </c>
      <c r="R503" s="8" t="str">
        <f>UPPER(PROPER(RawSalesTable[[#This Row],[Customer_ID]]))</f>
        <v>C0035</v>
      </c>
      <c r="S503" s="8" t="str">
        <f>TRIM(LEFT(RawSalesTable[[#This Row],[Customer_Info]],FIND(",",RawSalesTable[[#This Row],[Customer_Info]]) -1))</f>
        <v>Amelia Scott</v>
      </c>
      <c r="T503" s="8" t="str">
        <f>TRIM(MID(RawSalesTable[[#This Row],[Customer_Info]],FIND(",",RawSalesTable[[#This Row],[Customer_Info]])+1,FIND(",",RawSalesTable[[#This Row],[Customer_Info]],FIND(",",RawSalesTable[[#This Row],[Customer_Info]])+1)-FIND(",",RawSalesTable[[#This Row],[Customer_Info]])-1))</f>
        <v>Edmonton</v>
      </c>
      <c r="U503" s="8" t="str">
        <f>TRIM(RIGHT(RawSalesTable[[#This Row],[Customer_Info]], LEN(RawSalesTable[[#This Row],[Customer_Info]])-FIND(",",RawSalesTable[[#This Row],[Customer_Info]],FIND(",",RawSalesTable[[#This Row],[Customer_Info]])+1)))</f>
        <v>Small Business</v>
      </c>
      <c r="V503" s="8" t="str">
        <f>VLOOKUP(RawSalesTable[[#This Row],[Product_ID]],ProductsTable[],2,FALSE)</f>
        <v>Resistance Bands</v>
      </c>
      <c r="W503" s="8" t="str">
        <f>VLOOKUP(RawSalesTable[[#This Row],[Product_ID]],ProductsTable[],3,FALSE)</f>
        <v>Fitness</v>
      </c>
      <c r="X503" s="8">
        <f>VLOOKUP(RawSalesTable[[#This Row],[Product_ID]],ProductsTable[],5,FALSE)</f>
        <v>139.19999999999999</v>
      </c>
      <c r="Y503" s="8">
        <f>RawSalesTable[[#This Row],[Quantity]]*RawSalesTable[[#This Row],[Unit_Price]]</f>
        <v>460.58</v>
      </c>
      <c r="Z503" s="8">
        <f>RawSalesTable[[#This Row],[Gross_Sales]]*RawSalesTable[[#This Row],[Discount_Pct]]</f>
        <v>115.145</v>
      </c>
      <c r="AA503" s="8">
        <f>RawSalesTable[[#This Row],[Gross_Sales]]-RawSalesTable[[#This Row],[Discount_Amount]]</f>
        <v>345.435</v>
      </c>
      <c r="AB503" s="8">
        <f>RawSalesTable[[#This Row],[Unit_Cost]]*RawSalesTable[[#This Row],[Quantity]]</f>
        <v>278.39999999999998</v>
      </c>
      <c r="AC503" s="8">
        <f>RawSalesTable[[#This Row],[Net_Sales]]-RawSalesTable[[#This Row],[Total_Cost]]</f>
        <v>67.035000000000025</v>
      </c>
      <c r="AD503" s="9">
        <f>RawSalesTable[[#This Row],[Profit]]/RawSalesTable[[#This Row],[Net_Sales]]</f>
        <v>0.19405966390203663</v>
      </c>
      <c r="AE503" s="8">
        <f>IF(RawSalesTable[[#This Row],[Return_Status]]="Yes",1,0)</f>
        <v>0</v>
      </c>
      <c r="AF503" s="8">
        <f>YEAR(RawSalesTable[[#This Row],[Order_Date]])</f>
        <v>2025</v>
      </c>
      <c r="AG503" s="8">
        <f>MONTH(RawSalesTable[[#This Row],[Order_Date]])</f>
        <v>8</v>
      </c>
      <c r="AH503" s="8" t="str">
        <f>TEXT(RawSalesTable[[#This Row],[Order_Date]],"mmmm")</f>
        <v>août</v>
      </c>
      <c r="AI503" s="8" t="str">
        <f>IF(RawSalesTable[[#This Row],[Month_Number]]&lt;=3,"Q1",IF(RawSalesTable[[#This Row],[Month_Number]]&lt;=6,"Q2",IF(RawSalesTable[[#This Row],[Month_Number]]&lt;=9,"Q3","Q4")))</f>
        <v>Q3</v>
      </c>
      <c r="AJ503" s="13">
        <f>DATE(YEAR(RawSalesTable[[#This Row],[Order_Date]]),MONTH(RawSalesTable[[#This Row],[Order_Date]]),1)</f>
        <v>45870</v>
      </c>
      <c r="AK503" s="8" t="str">
        <f>VLOOKUP(RawSalesTable[[#This Row],[Customer_ID_clean]],CustomersTable[],4,FALSE)</f>
        <v>Alberta</v>
      </c>
    </row>
    <row r="504" spans="1:37">
      <c r="A504" t="s">
        <v>929</v>
      </c>
      <c r="B504" s="3">
        <v>45665</v>
      </c>
      <c r="C504" t="s">
        <v>349</v>
      </c>
      <c r="D504" t="s">
        <v>152</v>
      </c>
      <c r="E504" t="s">
        <v>350</v>
      </c>
      <c r="F504" t="s">
        <v>111</v>
      </c>
      <c r="G504" t="s">
        <v>171</v>
      </c>
      <c r="H504" t="s">
        <v>89</v>
      </c>
      <c r="I504">
        <v>2</v>
      </c>
      <c r="J504" s="2">
        <v>131.4</v>
      </c>
      <c r="K504" s="4">
        <v>0</v>
      </c>
      <c r="L504" t="s">
        <v>106</v>
      </c>
      <c r="M504">
        <v>1</v>
      </c>
      <c r="N504" t="s">
        <v>91</v>
      </c>
      <c r="O504" t="str">
        <f>SUBSTITUTE(PROPER(TRIM(RawSalesTable[[#This Row],[Channel_Raw]])), "Market Place", "Marketplace")</f>
        <v>Online</v>
      </c>
      <c r="P504" t="str">
        <f>TRIM(RawSalesTable[[#This Row],[Store_Raw]])</f>
        <v>Montreal Central</v>
      </c>
      <c r="Q504" t="str">
        <f>IF(TRIM(RawSalesTable[[#This Row],[Payment_Method_Raw]])="","Non renseigné",SUBSTITUTE(TRIM(RawSalesTable[[#This Row],[Payment_Method_Raw]]),"CC","Credit Card"))</f>
        <v>Credit Card</v>
      </c>
      <c r="R504" s="8" t="str">
        <f>UPPER(PROPER(RawSalesTable[[#This Row],[Customer_ID]]))</f>
        <v>C0088</v>
      </c>
      <c r="S504" s="8" t="str">
        <f>TRIM(LEFT(RawSalesTable[[#This Row],[Customer_Info]],FIND(",",RawSalesTable[[#This Row],[Customer_Info]]) -1))</f>
        <v>Olivia Bennett</v>
      </c>
      <c r="T504" s="8" t="str">
        <f>TRIM(MID(RawSalesTable[[#This Row],[Customer_Info]],FIND(",",RawSalesTable[[#This Row],[Customer_Info]])+1,FIND(",",RawSalesTable[[#This Row],[Customer_Info]],FIND(",",RawSalesTable[[#This Row],[Customer_Info]])+1)-FIND(",",RawSalesTable[[#This Row],[Customer_Info]])-1))</f>
        <v>Vancouver</v>
      </c>
      <c r="U504" s="8" t="str">
        <f>TRIM(RIGHT(RawSalesTable[[#This Row],[Customer_Info]], LEN(RawSalesTable[[#This Row],[Customer_Info]])-FIND(",",RawSalesTable[[#This Row],[Customer_Info]],FIND(",",RawSalesTable[[#This Row],[Customer_Info]])+1)))</f>
        <v>Small Business</v>
      </c>
      <c r="V504" s="8" t="str">
        <f>VLOOKUP(RawSalesTable[[#This Row],[Product_ID]],ProductsTable[],2,FALSE)</f>
        <v>Smart Speaker</v>
      </c>
      <c r="W504" s="8" t="str">
        <f>VLOOKUP(RawSalesTable[[#This Row],[Product_ID]],ProductsTable[],3,FALSE)</f>
        <v>Electronics</v>
      </c>
      <c r="X504" s="8">
        <f>VLOOKUP(RawSalesTable[[#This Row],[Product_ID]],ProductsTable[],5,FALSE)</f>
        <v>69</v>
      </c>
      <c r="Y504" s="8">
        <f>RawSalesTable[[#This Row],[Quantity]]*RawSalesTable[[#This Row],[Unit_Price]]</f>
        <v>262.8</v>
      </c>
      <c r="Z504" s="8">
        <f>RawSalesTable[[#This Row],[Gross_Sales]]*RawSalesTable[[#This Row],[Discount_Pct]]</f>
        <v>0</v>
      </c>
      <c r="AA504" s="8">
        <f>RawSalesTable[[#This Row],[Gross_Sales]]-RawSalesTable[[#This Row],[Discount_Amount]]</f>
        <v>262.8</v>
      </c>
      <c r="AB504" s="8">
        <f>RawSalesTable[[#This Row],[Unit_Cost]]*RawSalesTable[[#This Row],[Quantity]]</f>
        <v>138</v>
      </c>
      <c r="AC504" s="8">
        <f>RawSalesTable[[#This Row],[Net_Sales]]-RawSalesTable[[#This Row],[Total_Cost]]</f>
        <v>124.80000000000001</v>
      </c>
      <c r="AD504" s="9">
        <f>RawSalesTable[[#This Row],[Profit]]/RawSalesTable[[#This Row],[Net_Sales]]</f>
        <v>0.47488584474885848</v>
      </c>
      <c r="AE504" s="8">
        <f>IF(RawSalesTable[[#This Row],[Return_Status]]="Yes",1,0)</f>
        <v>0</v>
      </c>
      <c r="AF504" s="8">
        <f>YEAR(RawSalesTable[[#This Row],[Order_Date]])</f>
        <v>2025</v>
      </c>
      <c r="AG504" s="8">
        <f>MONTH(RawSalesTable[[#This Row],[Order_Date]])</f>
        <v>1</v>
      </c>
      <c r="AH504" s="8" t="str">
        <f>TEXT(RawSalesTable[[#This Row],[Order_Date]],"mmmm")</f>
        <v>janvier</v>
      </c>
      <c r="AI504" s="8" t="str">
        <f>IF(RawSalesTable[[#This Row],[Month_Number]]&lt;=3,"Q1",IF(RawSalesTable[[#This Row],[Month_Number]]&lt;=6,"Q2",IF(RawSalesTable[[#This Row],[Month_Number]]&lt;=9,"Q3","Q4")))</f>
        <v>Q1</v>
      </c>
      <c r="AJ504" s="13">
        <f>DATE(YEAR(RawSalesTable[[#This Row],[Order_Date]]),MONTH(RawSalesTable[[#This Row],[Order_Date]]),1)</f>
        <v>45658</v>
      </c>
      <c r="AK504" s="8" t="str">
        <f>VLOOKUP(RawSalesTable[[#This Row],[Customer_ID_clean]],CustomersTable[],4,FALSE)</f>
        <v>British Columbia</v>
      </c>
    </row>
    <row r="505" spans="1:37">
      <c r="A505" t="s">
        <v>930</v>
      </c>
      <c r="B505" s="3">
        <v>45948</v>
      </c>
      <c r="C505" t="s">
        <v>330</v>
      </c>
      <c r="D505" t="s">
        <v>469</v>
      </c>
      <c r="E505" t="s">
        <v>424</v>
      </c>
      <c r="F505" t="s">
        <v>103</v>
      </c>
      <c r="G505" t="s">
        <v>122</v>
      </c>
      <c r="H505" t="s">
        <v>89</v>
      </c>
      <c r="I505">
        <v>2</v>
      </c>
      <c r="J505" s="2">
        <v>85.25</v>
      </c>
      <c r="K505" s="4">
        <v>0</v>
      </c>
      <c r="L505" t="s">
        <v>90</v>
      </c>
      <c r="M505">
        <v>5</v>
      </c>
      <c r="N505" t="s">
        <v>91</v>
      </c>
      <c r="O505" t="str">
        <f>SUBSTITUTE(PROPER(TRIM(RawSalesTable[[#This Row],[Channel_Raw]])), "Market Place", "Marketplace")</f>
        <v>Online</v>
      </c>
      <c r="P505" t="str">
        <f>TRIM(RawSalesTable[[#This Row],[Store_Raw]])</f>
        <v>Vancouver West</v>
      </c>
      <c r="Q505" t="str">
        <f>IF(TRIM(RawSalesTable[[#This Row],[Payment_Method_Raw]])="","Non renseigné",SUBSTITUTE(TRIM(RawSalesTable[[#This Row],[Payment_Method_Raw]]),"CC","Credit Card"))</f>
        <v>PayPal</v>
      </c>
      <c r="R505" s="8" t="str">
        <f>UPPER(PROPER(RawSalesTable[[#This Row],[Customer_ID]]))</f>
        <v>C0108</v>
      </c>
      <c r="S505" s="8" t="str">
        <f>TRIM(LEFT(RawSalesTable[[#This Row],[Customer_Info]],FIND(",",RawSalesTable[[#This Row],[Customer_Info]]) -1))</f>
        <v>Noah Lee</v>
      </c>
      <c r="T505" s="8" t="str">
        <f>TRIM(MID(RawSalesTable[[#This Row],[Customer_Info]],FIND(",",RawSalesTable[[#This Row],[Customer_Info]])+1,FIND(",",RawSalesTable[[#This Row],[Customer_Info]],FIND(",",RawSalesTable[[#This Row],[Customer_Info]])+1)-FIND(",",RawSalesTable[[#This Row],[Customer_Info]])-1))</f>
        <v>Surrey</v>
      </c>
      <c r="U505" s="8" t="str">
        <f>TRIM(RIGHT(RawSalesTable[[#This Row],[Customer_Info]], LEN(RawSalesTable[[#This Row],[Customer_Info]])-FIND(",",RawSalesTable[[#This Row],[Customer_Info]],FIND(",",RawSalesTable[[#This Row],[Customer_Info]])+1)))</f>
        <v>Consumer</v>
      </c>
      <c r="V505" s="8" t="str">
        <f>VLOOKUP(RawSalesTable[[#This Row],[Product_ID]],ProductsTable[],2,FALSE)</f>
        <v>Phone Stand</v>
      </c>
      <c r="W505" s="8" t="str">
        <f>VLOOKUP(RawSalesTable[[#This Row],[Product_ID]],ProductsTable[],3,FALSE)</f>
        <v>Accessories</v>
      </c>
      <c r="X505" s="8">
        <f>VLOOKUP(RawSalesTable[[#This Row],[Product_ID]],ProductsTable[],5,FALSE)</f>
        <v>59.85</v>
      </c>
      <c r="Y505" s="8">
        <f>RawSalesTable[[#This Row],[Quantity]]*RawSalesTable[[#This Row],[Unit_Price]]</f>
        <v>170.5</v>
      </c>
      <c r="Z505" s="8">
        <f>RawSalesTable[[#This Row],[Gross_Sales]]*RawSalesTable[[#This Row],[Discount_Pct]]</f>
        <v>0</v>
      </c>
      <c r="AA505" s="8">
        <f>RawSalesTable[[#This Row],[Gross_Sales]]-RawSalesTable[[#This Row],[Discount_Amount]]</f>
        <v>170.5</v>
      </c>
      <c r="AB505" s="8">
        <f>RawSalesTable[[#This Row],[Unit_Cost]]*RawSalesTable[[#This Row],[Quantity]]</f>
        <v>119.7</v>
      </c>
      <c r="AC505" s="8">
        <f>RawSalesTable[[#This Row],[Net_Sales]]-RawSalesTable[[#This Row],[Total_Cost]]</f>
        <v>50.8</v>
      </c>
      <c r="AD505" s="9">
        <f>RawSalesTable[[#This Row],[Profit]]/RawSalesTable[[#This Row],[Net_Sales]]</f>
        <v>0.2979472140762463</v>
      </c>
      <c r="AE505" s="8">
        <f>IF(RawSalesTable[[#This Row],[Return_Status]]="Yes",1,0)</f>
        <v>0</v>
      </c>
      <c r="AF505" s="8">
        <f>YEAR(RawSalesTable[[#This Row],[Order_Date]])</f>
        <v>2025</v>
      </c>
      <c r="AG505" s="8">
        <f>MONTH(RawSalesTable[[#This Row],[Order_Date]])</f>
        <v>10</v>
      </c>
      <c r="AH505" s="8" t="str">
        <f>TEXT(RawSalesTable[[#This Row],[Order_Date]],"mmmm")</f>
        <v>octobre</v>
      </c>
      <c r="AI505" s="8" t="str">
        <f>IF(RawSalesTable[[#This Row],[Month_Number]]&lt;=3,"Q1",IF(RawSalesTable[[#This Row],[Month_Number]]&lt;=6,"Q2",IF(RawSalesTable[[#This Row],[Month_Number]]&lt;=9,"Q3","Q4")))</f>
        <v>Q4</v>
      </c>
      <c r="AJ505" s="13">
        <f>DATE(YEAR(RawSalesTable[[#This Row],[Order_Date]]),MONTH(RawSalesTable[[#This Row],[Order_Date]]),1)</f>
        <v>45931</v>
      </c>
      <c r="AK505" s="8" t="str">
        <f>VLOOKUP(RawSalesTable[[#This Row],[Customer_ID_clean]],CustomersTable[],4,FALSE)</f>
        <v>British Columbia</v>
      </c>
    </row>
    <row r="506" spans="1:37">
      <c r="A506" t="s">
        <v>931</v>
      </c>
      <c r="B506" s="3">
        <v>45940</v>
      </c>
      <c r="C506" t="s">
        <v>335</v>
      </c>
      <c r="D506" t="s">
        <v>210</v>
      </c>
      <c r="E506" t="s">
        <v>336</v>
      </c>
      <c r="F506" t="s">
        <v>103</v>
      </c>
      <c r="G506" t="s">
        <v>122</v>
      </c>
      <c r="H506" t="s">
        <v>97</v>
      </c>
      <c r="I506">
        <v>3</v>
      </c>
      <c r="J506" s="2">
        <v>291.72000000000003</v>
      </c>
      <c r="K506" s="4">
        <v>0.1</v>
      </c>
      <c r="L506" t="s">
        <v>90</v>
      </c>
      <c r="M506">
        <v>0</v>
      </c>
      <c r="N506" t="s">
        <v>91</v>
      </c>
      <c r="O506" t="str">
        <f>SUBSTITUTE(PROPER(TRIM(RawSalesTable[[#This Row],[Channel_Raw]])), "Market Place", "Marketplace")</f>
        <v>Retail Store</v>
      </c>
      <c r="P506" t="str">
        <f>TRIM(RawSalesTable[[#This Row],[Store_Raw]])</f>
        <v>Vancouver West</v>
      </c>
      <c r="Q506" t="str">
        <f>IF(TRIM(RawSalesTable[[#This Row],[Payment_Method_Raw]])="","Non renseigné",SUBSTITUTE(TRIM(RawSalesTable[[#This Row],[Payment_Method_Raw]]),"CC","Credit Card"))</f>
        <v>PayPal</v>
      </c>
      <c r="R506" s="8" t="str">
        <f>UPPER(PROPER(RawSalesTable[[#This Row],[Customer_ID]]))</f>
        <v>C0037</v>
      </c>
      <c r="S506" s="8" t="str">
        <f>TRIM(LEFT(RawSalesTable[[#This Row],[Customer_Info]],FIND(",",RawSalesTable[[#This Row],[Customer_Info]]) -1))</f>
        <v>Lucas Scott</v>
      </c>
      <c r="T506" s="8" t="str">
        <f>TRIM(MID(RawSalesTable[[#This Row],[Customer_Info]],FIND(",",RawSalesTable[[#This Row],[Customer_Info]])+1,FIND(",",RawSalesTable[[#This Row],[Customer_Info]],FIND(",",RawSalesTable[[#This Row],[Customer_Info]])+1)-FIND(",",RawSalesTable[[#This Row],[Customer_Info]])-1))</f>
        <v>Victoria</v>
      </c>
      <c r="U506" s="8" t="str">
        <f>TRIM(RIGHT(RawSalesTable[[#This Row],[Customer_Info]], LEN(RawSalesTable[[#This Row],[Customer_Info]])-FIND(",",RawSalesTable[[#This Row],[Customer_Info]],FIND(",",RawSalesTable[[#This Row],[Customer_Info]])+1)))</f>
        <v>Small Business</v>
      </c>
      <c r="V506" s="8" t="str">
        <f>VLOOKUP(RawSalesTable[[#This Row],[Product_ID]],ProductsTable[],2,FALSE)</f>
        <v>Desk Pad</v>
      </c>
      <c r="W506" s="8" t="str">
        <f>VLOOKUP(RawSalesTable[[#This Row],[Product_ID]],ProductsTable[],3,FALSE)</f>
        <v>Accessories</v>
      </c>
      <c r="X506" s="8">
        <f>VLOOKUP(RawSalesTable[[#This Row],[Product_ID]],ProductsTable[],5,FALSE)</f>
        <v>177.57</v>
      </c>
      <c r="Y506" s="8">
        <f>RawSalesTable[[#This Row],[Quantity]]*RawSalesTable[[#This Row],[Unit_Price]]</f>
        <v>875.16000000000008</v>
      </c>
      <c r="Z506" s="8">
        <f>RawSalesTable[[#This Row],[Gross_Sales]]*RawSalesTable[[#This Row],[Discount_Pct]]</f>
        <v>87.51600000000002</v>
      </c>
      <c r="AA506" s="8">
        <f>RawSalesTable[[#This Row],[Gross_Sales]]-RawSalesTable[[#This Row],[Discount_Amount]]</f>
        <v>787.64400000000001</v>
      </c>
      <c r="AB506" s="8">
        <f>RawSalesTable[[#This Row],[Unit_Cost]]*RawSalesTable[[#This Row],[Quantity]]</f>
        <v>532.71</v>
      </c>
      <c r="AC506" s="8">
        <f>RawSalesTable[[#This Row],[Net_Sales]]-RawSalesTable[[#This Row],[Total_Cost]]</f>
        <v>254.93399999999997</v>
      </c>
      <c r="AD506" s="9">
        <f>RawSalesTable[[#This Row],[Profit]]/RawSalesTable[[#This Row],[Net_Sales]]</f>
        <v>0.32366652954888248</v>
      </c>
      <c r="AE506" s="8">
        <f>IF(RawSalesTable[[#This Row],[Return_Status]]="Yes",1,0)</f>
        <v>0</v>
      </c>
      <c r="AF506" s="8">
        <f>YEAR(RawSalesTable[[#This Row],[Order_Date]])</f>
        <v>2025</v>
      </c>
      <c r="AG506" s="8">
        <f>MONTH(RawSalesTable[[#This Row],[Order_Date]])</f>
        <v>10</v>
      </c>
      <c r="AH506" s="8" t="str">
        <f>TEXT(RawSalesTable[[#This Row],[Order_Date]],"mmmm")</f>
        <v>octobre</v>
      </c>
      <c r="AI506" s="8" t="str">
        <f>IF(RawSalesTable[[#This Row],[Month_Number]]&lt;=3,"Q1",IF(RawSalesTable[[#This Row],[Month_Number]]&lt;=6,"Q2",IF(RawSalesTable[[#This Row],[Month_Number]]&lt;=9,"Q3","Q4")))</f>
        <v>Q4</v>
      </c>
      <c r="AJ506" s="13">
        <f>DATE(YEAR(RawSalesTable[[#This Row],[Order_Date]]),MONTH(RawSalesTable[[#This Row],[Order_Date]]),1)</f>
        <v>45931</v>
      </c>
      <c r="AK506" s="8" t="str">
        <f>VLOOKUP(RawSalesTable[[#This Row],[Customer_ID_clean]],CustomersTable[],4,FALSE)</f>
        <v>British Columbia</v>
      </c>
    </row>
    <row r="507" spans="1:37">
      <c r="A507" t="s">
        <v>932</v>
      </c>
      <c r="B507" s="3">
        <v>45732</v>
      </c>
      <c r="C507" t="s">
        <v>933</v>
      </c>
      <c r="D507" t="s">
        <v>190</v>
      </c>
      <c r="E507" t="s">
        <v>934</v>
      </c>
      <c r="F507" t="s">
        <v>116</v>
      </c>
      <c r="G507" t="s">
        <v>183</v>
      </c>
      <c r="H507" t="s">
        <v>97</v>
      </c>
      <c r="I507">
        <v>1</v>
      </c>
      <c r="J507" s="2">
        <v>282.05</v>
      </c>
      <c r="K507" s="4">
        <v>0.2</v>
      </c>
      <c r="L507" t="s">
        <v>98</v>
      </c>
      <c r="M507">
        <v>1</v>
      </c>
      <c r="N507" t="s">
        <v>91</v>
      </c>
      <c r="O507" t="str">
        <f>SUBSTITUTE(PROPER(TRIM(RawSalesTable[[#This Row],[Channel_Raw]])), "Market Place", "Marketplace")</f>
        <v>Retail Store</v>
      </c>
      <c r="P507" t="str">
        <f>TRIM(RawSalesTable[[#This Row],[Store_Raw]])</f>
        <v>Toronto Downtown</v>
      </c>
      <c r="Q507" t="str">
        <f>IF(TRIM(RawSalesTable[[#This Row],[Payment_Method_Raw]])="","Non renseigné",SUBSTITUTE(TRIM(RawSalesTable[[#This Row],[Payment_Method_Raw]]),"CC","Credit Card"))</f>
        <v>Debit Card</v>
      </c>
      <c r="R507" s="8" t="str">
        <f>UPPER(PROPER(RawSalesTable[[#This Row],[Customer_ID]]))</f>
        <v>C0081</v>
      </c>
      <c r="S507" s="8" t="str">
        <f>TRIM(LEFT(RawSalesTable[[#This Row],[Customer_Info]],FIND(",",RawSalesTable[[#This Row],[Customer_Info]]) -1))</f>
        <v>Yasmine Bennett</v>
      </c>
      <c r="T507" s="8" t="str">
        <f>TRIM(MID(RawSalesTable[[#This Row],[Customer_Info]],FIND(",",RawSalesTable[[#This Row],[Customer_Info]])+1,FIND(",",RawSalesTable[[#This Row],[Customer_Info]],FIND(",",RawSalesTable[[#This Row],[Customer_Info]])+1)-FIND(",",RawSalesTable[[#This Row],[Customer_Info]])-1))</f>
        <v>Saskatoon</v>
      </c>
      <c r="U507" s="8" t="str">
        <f>TRIM(RIGHT(RawSalesTable[[#This Row],[Customer_Info]], LEN(RawSalesTable[[#This Row],[Customer_Info]])-FIND(",",RawSalesTable[[#This Row],[Customer_Info]],FIND(",",RawSalesTable[[#This Row],[Customer_Info]])+1)))</f>
        <v>Small Business</v>
      </c>
      <c r="V507" s="8" t="str">
        <f>VLOOKUP(RawSalesTable[[#This Row],[Product_ID]],ProductsTable[],2,FALSE)</f>
        <v>Webcam</v>
      </c>
      <c r="W507" s="8" t="str">
        <f>VLOOKUP(RawSalesTable[[#This Row],[Product_ID]],ProductsTable[],3,FALSE)</f>
        <v>Electronics</v>
      </c>
      <c r="X507" s="8">
        <f>VLOOKUP(RawSalesTable[[#This Row],[Product_ID]],ProductsTable[],5,FALSE)</f>
        <v>154.72999999999999</v>
      </c>
      <c r="Y507" s="8">
        <f>RawSalesTable[[#This Row],[Quantity]]*RawSalesTable[[#This Row],[Unit_Price]]</f>
        <v>282.05</v>
      </c>
      <c r="Z507" s="8">
        <f>RawSalesTable[[#This Row],[Gross_Sales]]*RawSalesTable[[#This Row],[Discount_Pct]]</f>
        <v>56.410000000000004</v>
      </c>
      <c r="AA507" s="8">
        <f>RawSalesTable[[#This Row],[Gross_Sales]]-RawSalesTable[[#This Row],[Discount_Amount]]</f>
        <v>225.64000000000001</v>
      </c>
      <c r="AB507" s="8">
        <f>RawSalesTable[[#This Row],[Unit_Cost]]*RawSalesTable[[#This Row],[Quantity]]</f>
        <v>154.72999999999999</v>
      </c>
      <c r="AC507" s="8">
        <f>RawSalesTable[[#This Row],[Net_Sales]]-RawSalesTable[[#This Row],[Total_Cost]]</f>
        <v>70.910000000000025</v>
      </c>
      <c r="AD507" s="9">
        <f>RawSalesTable[[#This Row],[Profit]]/RawSalesTable[[#This Row],[Net_Sales]]</f>
        <v>0.31426165573479886</v>
      </c>
      <c r="AE507" s="8">
        <f>IF(RawSalesTable[[#This Row],[Return_Status]]="Yes",1,0)</f>
        <v>0</v>
      </c>
      <c r="AF507" s="8">
        <f>YEAR(RawSalesTable[[#This Row],[Order_Date]])</f>
        <v>2025</v>
      </c>
      <c r="AG507" s="8">
        <f>MONTH(RawSalesTable[[#This Row],[Order_Date]])</f>
        <v>3</v>
      </c>
      <c r="AH507" s="8" t="str">
        <f>TEXT(RawSalesTable[[#This Row],[Order_Date]],"mmmm")</f>
        <v>mars</v>
      </c>
      <c r="AI507" s="8" t="str">
        <f>IF(RawSalesTable[[#This Row],[Month_Number]]&lt;=3,"Q1",IF(RawSalesTable[[#This Row],[Month_Number]]&lt;=6,"Q2",IF(RawSalesTable[[#This Row],[Month_Number]]&lt;=9,"Q3","Q4")))</f>
        <v>Q1</v>
      </c>
      <c r="AJ507" s="13">
        <f>DATE(YEAR(RawSalesTable[[#This Row],[Order_Date]]),MONTH(RawSalesTable[[#This Row],[Order_Date]]),1)</f>
        <v>45717</v>
      </c>
      <c r="AK507" s="8" t="str">
        <f>VLOOKUP(RawSalesTable[[#This Row],[Customer_ID_clean]],CustomersTable[],4,FALSE)</f>
        <v>Saskatchewan</v>
      </c>
    </row>
    <row r="508" spans="1:37">
      <c r="A508" t="s">
        <v>935</v>
      </c>
      <c r="B508" s="3">
        <v>45798</v>
      </c>
      <c r="C508" t="s">
        <v>543</v>
      </c>
      <c r="D508" t="s">
        <v>255</v>
      </c>
      <c r="E508" t="s">
        <v>544</v>
      </c>
      <c r="F508" t="s">
        <v>103</v>
      </c>
      <c r="G508" t="s">
        <v>122</v>
      </c>
      <c r="H508" t="s">
        <v>105</v>
      </c>
      <c r="I508">
        <v>1</v>
      </c>
      <c r="J508" s="2">
        <v>230.73</v>
      </c>
      <c r="K508" s="4">
        <v>0.1</v>
      </c>
      <c r="L508" t="s">
        <v>90</v>
      </c>
      <c r="M508">
        <v>5</v>
      </c>
      <c r="N508" t="s">
        <v>91</v>
      </c>
      <c r="O508" t="str">
        <f>SUBSTITUTE(PROPER(TRIM(RawSalesTable[[#This Row],[Channel_Raw]])), "Market Place", "Marketplace")</f>
        <v>Marketplace</v>
      </c>
      <c r="P508" t="str">
        <f>TRIM(RawSalesTable[[#This Row],[Store_Raw]])</f>
        <v>Vancouver West</v>
      </c>
      <c r="Q508" t="str">
        <f>IF(TRIM(RawSalesTable[[#This Row],[Payment_Method_Raw]])="","Non renseigné",SUBSTITUTE(TRIM(RawSalesTable[[#This Row],[Payment_Method_Raw]]),"CC","Credit Card"))</f>
        <v>PayPal</v>
      </c>
      <c r="R508" s="8" t="str">
        <f>UPPER(PROPER(RawSalesTable[[#This Row],[Customer_ID]]))</f>
        <v>C0031</v>
      </c>
      <c r="S508" s="8" t="str">
        <f>TRIM(LEFT(RawSalesTable[[#This Row],[Customer_Info]],FIND(",",RawSalesTable[[#This Row],[Customer_Info]]) -1))</f>
        <v>Leo Gagnon</v>
      </c>
      <c r="T508" s="8" t="str">
        <f>TRIM(MID(RawSalesTable[[#This Row],[Customer_Info]],FIND(",",RawSalesTable[[#This Row],[Customer_Info]])+1,FIND(",",RawSalesTable[[#This Row],[Customer_Info]],FIND(",",RawSalesTable[[#This Row],[Customer_Info]])+1)-FIND(",",RawSalesTable[[#This Row],[Customer_Info]])-1))</f>
        <v>Surrey</v>
      </c>
      <c r="U508" s="8" t="str">
        <f>TRIM(RIGHT(RawSalesTable[[#This Row],[Customer_Info]], LEN(RawSalesTable[[#This Row],[Customer_Info]])-FIND(",",RawSalesTable[[#This Row],[Customer_Info]],FIND(",",RawSalesTable[[#This Row],[Customer_Info]])+1)))</f>
        <v>Small Business</v>
      </c>
      <c r="V508" s="8" t="str">
        <f>VLOOKUP(RawSalesTable[[#This Row],[Product_ID]],ProductsTable[],2,FALSE)</f>
        <v>Document Shredder</v>
      </c>
      <c r="W508" s="8" t="str">
        <f>VLOOKUP(RawSalesTable[[#This Row],[Product_ID]],ProductsTable[],3,FALSE)</f>
        <v>Office</v>
      </c>
      <c r="X508" s="8">
        <f>VLOOKUP(RawSalesTable[[#This Row],[Product_ID]],ProductsTable[],5,FALSE)</f>
        <v>117.65</v>
      </c>
      <c r="Y508" s="8">
        <f>RawSalesTable[[#This Row],[Quantity]]*RawSalesTable[[#This Row],[Unit_Price]]</f>
        <v>230.73</v>
      </c>
      <c r="Z508" s="8">
        <f>RawSalesTable[[#This Row],[Gross_Sales]]*RawSalesTable[[#This Row],[Discount_Pct]]</f>
        <v>23.073</v>
      </c>
      <c r="AA508" s="8">
        <f>RawSalesTable[[#This Row],[Gross_Sales]]-RawSalesTable[[#This Row],[Discount_Amount]]</f>
        <v>207.65699999999998</v>
      </c>
      <c r="AB508" s="8">
        <f>RawSalesTable[[#This Row],[Unit_Cost]]*RawSalesTable[[#This Row],[Quantity]]</f>
        <v>117.65</v>
      </c>
      <c r="AC508" s="8">
        <f>RawSalesTable[[#This Row],[Net_Sales]]-RawSalesTable[[#This Row],[Total_Cost]]</f>
        <v>90.006999999999977</v>
      </c>
      <c r="AD508" s="9">
        <f>RawSalesTable[[#This Row],[Profit]]/RawSalesTable[[#This Row],[Net_Sales]]</f>
        <v>0.43344072195977013</v>
      </c>
      <c r="AE508" s="8">
        <f>IF(RawSalesTable[[#This Row],[Return_Status]]="Yes",1,0)</f>
        <v>0</v>
      </c>
      <c r="AF508" s="8">
        <f>YEAR(RawSalesTable[[#This Row],[Order_Date]])</f>
        <v>2025</v>
      </c>
      <c r="AG508" s="8">
        <f>MONTH(RawSalesTable[[#This Row],[Order_Date]])</f>
        <v>5</v>
      </c>
      <c r="AH508" s="8" t="str">
        <f>TEXT(RawSalesTable[[#This Row],[Order_Date]],"mmmm")</f>
        <v>mai</v>
      </c>
      <c r="AI508" s="8" t="str">
        <f>IF(RawSalesTable[[#This Row],[Month_Number]]&lt;=3,"Q1",IF(RawSalesTable[[#This Row],[Month_Number]]&lt;=6,"Q2",IF(RawSalesTable[[#This Row],[Month_Number]]&lt;=9,"Q3","Q4")))</f>
        <v>Q2</v>
      </c>
      <c r="AJ508" s="13">
        <f>DATE(YEAR(RawSalesTable[[#This Row],[Order_Date]]),MONTH(RawSalesTable[[#This Row],[Order_Date]]),1)</f>
        <v>45778</v>
      </c>
      <c r="AK508" s="8" t="str">
        <f>VLOOKUP(RawSalesTable[[#This Row],[Customer_ID_clean]],CustomersTable[],4,FALSE)</f>
        <v>British Columbia</v>
      </c>
    </row>
    <row r="509" spans="1:37">
      <c r="A509" t="s">
        <v>936</v>
      </c>
      <c r="B509" s="3">
        <v>45804</v>
      </c>
      <c r="C509" t="s">
        <v>396</v>
      </c>
      <c r="D509" t="s">
        <v>85</v>
      </c>
      <c r="E509" t="s">
        <v>397</v>
      </c>
      <c r="F509" t="s">
        <v>87</v>
      </c>
      <c r="G509" t="s">
        <v>88</v>
      </c>
      <c r="H509" t="s">
        <v>89</v>
      </c>
      <c r="I509">
        <v>1</v>
      </c>
      <c r="J509" s="2">
        <v>326.2</v>
      </c>
      <c r="K509" s="4">
        <v>0</v>
      </c>
      <c r="L509" t="s">
        <v>98</v>
      </c>
      <c r="M509">
        <v>1</v>
      </c>
      <c r="N509" t="s">
        <v>91</v>
      </c>
      <c r="O509" t="str">
        <f>SUBSTITUTE(PROPER(TRIM(RawSalesTable[[#This Row],[Channel_Raw]])), "Market Place", "Marketplace")</f>
        <v>Online</v>
      </c>
      <c r="P509" t="str">
        <f>TRIM(RawSalesTable[[#This Row],[Store_Raw]])</f>
        <v>Online Fulfillment</v>
      </c>
      <c r="Q509" t="str">
        <f>IF(TRIM(RawSalesTable[[#This Row],[Payment_Method_Raw]])="","Non renseigné",SUBSTITUTE(TRIM(RawSalesTable[[#This Row],[Payment_Method_Raw]]),"CC","Credit Card"))</f>
        <v>Debit Card</v>
      </c>
      <c r="R509" s="8" t="str">
        <f>UPPER(PROPER(RawSalesTable[[#This Row],[Customer_ID]]))</f>
        <v>C0058</v>
      </c>
      <c r="S509" s="8" t="str">
        <f>TRIM(LEFT(RawSalesTable[[#This Row],[Customer_Info]],FIND(",",RawSalesTable[[#This Row],[Customer_Info]]) -1))</f>
        <v>Mia Singh</v>
      </c>
      <c r="T509" s="8" t="str">
        <f>TRIM(MID(RawSalesTable[[#This Row],[Customer_Info]],FIND(",",RawSalesTable[[#This Row],[Customer_Info]])+1,FIND(",",RawSalesTable[[#This Row],[Customer_Info]],FIND(",",RawSalesTable[[#This Row],[Customer_Info]])+1)-FIND(",",RawSalesTable[[#This Row],[Customer_Info]])-1))</f>
        <v>Laval</v>
      </c>
      <c r="U509" s="8" t="str">
        <f>TRIM(RIGHT(RawSalesTable[[#This Row],[Customer_Info]], LEN(RawSalesTable[[#This Row],[Customer_Info]])-FIND(",",RawSalesTable[[#This Row],[Customer_Info]],FIND(",",RawSalesTable[[#This Row],[Customer_Info]])+1)))</f>
        <v>Consumer</v>
      </c>
      <c r="V509" s="8" t="str">
        <f>VLOOKUP(RawSalesTable[[#This Row],[Product_ID]],ProductsTable[],2,FALSE)</f>
        <v>Yoga Mat</v>
      </c>
      <c r="W509" s="8" t="str">
        <f>VLOOKUP(RawSalesTable[[#This Row],[Product_ID]],ProductsTable[],3,FALSE)</f>
        <v>Fitness</v>
      </c>
      <c r="X509" s="8">
        <f>VLOOKUP(RawSalesTable[[#This Row],[Product_ID]],ProductsTable[],5,FALSE)</f>
        <v>197.33</v>
      </c>
      <c r="Y509" s="8">
        <f>RawSalesTable[[#This Row],[Quantity]]*RawSalesTable[[#This Row],[Unit_Price]]</f>
        <v>326.2</v>
      </c>
      <c r="Z509" s="8">
        <f>RawSalesTable[[#This Row],[Gross_Sales]]*RawSalesTable[[#This Row],[Discount_Pct]]</f>
        <v>0</v>
      </c>
      <c r="AA509" s="8">
        <f>RawSalesTable[[#This Row],[Gross_Sales]]-RawSalesTable[[#This Row],[Discount_Amount]]</f>
        <v>326.2</v>
      </c>
      <c r="AB509" s="8">
        <f>RawSalesTable[[#This Row],[Unit_Cost]]*RawSalesTable[[#This Row],[Quantity]]</f>
        <v>197.33</v>
      </c>
      <c r="AC509" s="8">
        <f>RawSalesTable[[#This Row],[Net_Sales]]-RawSalesTable[[#This Row],[Total_Cost]]</f>
        <v>128.86999999999998</v>
      </c>
      <c r="AD509" s="9">
        <f>RawSalesTable[[#This Row],[Profit]]/RawSalesTable[[#This Row],[Net_Sales]]</f>
        <v>0.39506437768240338</v>
      </c>
      <c r="AE509" s="8">
        <f>IF(RawSalesTable[[#This Row],[Return_Status]]="Yes",1,0)</f>
        <v>0</v>
      </c>
      <c r="AF509" s="8">
        <f>YEAR(RawSalesTable[[#This Row],[Order_Date]])</f>
        <v>2025</v>
      </c>
      <c r="AG509" s="8">
        <f>MONTH(RawSalesTable[[#This Row],[Order_Date]])</f>
        <v>5</v>
      </c>
      <c r="AH509" s="8" t="str">
        <f>TEXT(RawSalesTable[[#This Row],[Order_Date]],"mmmm")</f>
        <v>mai</v>
      </c>
      <c r="AI509" s="8" t="str">
        <f>IF(RawSalesTable[[#This Row],[Month_Number]]&lt;=3,"Q1",IF(RawSalesTable[[#This Row],[Month_Number]]&lt;=6,"Q2",IF(RawSalesTable[[#This Row],[Month_Number]]&lt;=9,"Q3","Q4")))</f>
        <v>Q2</v>
      </c>
      <c r="AJ509" s="13">
        <f>DATE(YEAR(RawSalesTable[[#This Row],[Order_Date]]),MONTH(RawSalesTable[[#This Row],[Order_Date]]),1)</f>
        <v>45778</v>
      </c>
      <c r="AK509" s="8" t="str">
        <f>VLOOKUP(RawSalesTable[[#This Row],[Customer_ID_clean]],CustomersTable[],4,FALSE)</f>
        <v>Quebec</v>
      </c>
    </row>
    <row r="510" spans="1:37">
      <c r="A510" t="s">
        <v>937</v>
      </c>
      <c r="B510" s="3">
        <v>45875</v>
      </c>
      <c r="C510" t="s">
        <v>851</v>
      </c>
      <c r="D510" t="s">
        <v>418</v>
      </c>
      <c r="E510" t="s">
        <v>852</v>
      </c>
      <c r="F510" t="s">
        <v>111</v>
      </c>
      <c r="G510" t="s">
        <v>130</v>
      </c>
      <c r="H510" t="s">
        <v>89</v>
      </c>
      <c r="I510">
        <v>1</v>
      </c>
      <c r="J510" s="2">
        <v>353.25</v>
      </c>
      <c r="K510" s="4">
        <v>0.2</v>
      </c>
      <c r="L510" t="s">
        <v>106</v>
      </c>
      <c r="M510">
        <v>1</v>
      </c>
      <c r="N510" t="s">
        <v>91</v>
      </c>
      <c r="O510" t="str">
        <f>SUBSTITUTE(PROPER(TRIM(RawSalesTable[[#This Row],[Channel_Raw]])), "Market Place", "Marketplace")</f>
        <v>Online</v>
      </c>
      <c r="P510" t="str">
        <f>TRIM(RawSalesTable[[#This Row],[Store_Raw]])</f>
        <v>Montreal Central</v>
      </c>
      <c r="Q510" t="str">
        <f>IF(TRIM(RawSalesTable[[#This Row],[Payment_Method_Raw]])="","Non renseigné",SUBSTITUTE(TRIM(RawSalesTable[[#This Row],[Payment_Method_Raw]]),"CC","Credit Card"))</f>
        <v>Credit Card</v>
      </c>
      <c r="R510" s="8" t="str">
        <f>UPPER(PROPER(RawSalesTable[[#This Row],[Customer_ID]]))</f>
        <v>C0026</v>
      </c>
      <c r="S510" s="8" t="str">
        <f>TRIM(LEFT(RawSalesTable[[#This Row],[Customer_Info]],FIND(",",RawSalesTable[[#This Row],[Customer_Info]]) -1))</f>
        <v>Adam Hall</v>
      </c>
      <c r="T510" s="8" t="str">
        <f>TRIM(MID(RawSalesTable[[#This Row],[Customer_Info]],FIND(",",RawSalesTable[[#This Row],[Customer_Info]])+1,FIND(",",RawSalesTable[[#This Row],[Customer_Info]],FIND(",",RawSalesTable[[#This Row],[Customer_Info]])+1)-FIND(",",RawSalesTable[[#This Row],[Customer_Info]])-1))</f>
        <v>Surrey</v>
      </c>
      <c r="U510" s="8" t="str">
        <f>TRIM(RIGHT(RawSalesTable[[#This Row],[Customer_Info]], LEN(RawSalesTable[[#This Row],[Customer_Info]])-FIND(",",RawSalesTable[[#This Row],[Customer_Info]],FIND(",",RawSalesTable[[#This Row],[Customer_Info]])+1)))</f>
        <v>Corporate</v>
      </c>
      <c r="V510" s="8" t="str">
        <f>VLOOKUP(RawSalesTable[[#This Row],[Product_ID]],ProductsTable[],2,FALSE)</f>
        <v>Foam Roller</v>
      </c>
      <c r="W510" s="8" t="str">
        <f>VLOOKUP(RawSalesTable[[#This Row],[Product_ID]],ProductsTable[],3,FALSE)</f>
        <v>Fitness</v>
      </c>
      <c r="X510" s="8">
        <f>VLOOKUP(RawSalesTable[[#This Row],[Product_ID]],ProductsTable[],5,FALSE)</f>
        <v>212.02</v>
      </c>
      <c r="Y510" s="8">
        <f>RawSalesTable[[#This Row],[Quantity]]*RawSalesTable[[#This Row],[Unit_Price]]</f>
        <v>353.25</v>
      </c>
      <c r="Z510" s="8">
        <f>RawSalesTable[[#This Row],[Gross_Sales]]*RawSalesTable[[#This Row],[Discount_Pct]]</f>
        <v>70.650000000000006</v>
      </c>
      <c r="AA510" s="8">
        <f>RawSalesTable[[#This Row],[Gross_Sales]]-RawSalesTable[[#This Row],[Discount_Amount]]</f>
        <v>282.60000000000002</v>
      </c>
      <c r="AB510" s="8">
        <f>RawSalesTable[[#This Row],[Unit_Cost]]*RawSalesTable[[#This Row],[Quantity]]</f>
        <v>212.02</v>
      </c>
      <c r="AC510" s="8">
        <f>RawSalesTable[[#This Row],[Net_Sales]]-RawSalesTable[[#This Row],[Total_Cost]]</f>
        <v>70.580000000000013</v>
      </c>
      <c r="AD510" s="9">
        <f>RawSalesTable[[#This Row],[Profit]]/RawSalesTable[[#This Row],[Net_Sales]]</f>
        <v>0.24975230007077143</v>
      </c>
      <c r="AE510" s="8">
        <f>IF(RawSalesTable[[#This Row],[Return_Status]]="Yes",1,0)</f>
        <v>0</v>
      </c>
      <c r="AF510" s="8">
        <f>YEAR(RawSalesTable[[#This Row],[Order_Date]])</f>
        <v>2025</v>
      </c>
      <c r="AG510" s="8">
        <f>MONTH(RawSalesTable[[#This Row],[Order_Date]])</f>
        <v>8</v>
      </c>
      <c r="AH510" s="8" t="str">
        <f>TEXT(RawSalesTable[[#This Row],[Order_Date]],"mmmm")</f>
        <v>août</v>
      </c>
      <c r="AI510" s="8" t="str">
        <f>IF(RawSalesTable[[#This Row],[Month_Number]]&lt;=3,"Q1",IF(RawSalesTable[[#This Row],[Month_Number]]&lt;=6,"Q2",IF(RawSalesTable[[#This Row],[Month_Number]]&lt;=9,"Q3","Q4")))</f>
        <v>Q3</v>
      </c>
      <c r="AJ510" s="13">
        <f>DATE(YEAR(RawSalesTable[[#This Row],[Order_Date]]),MONTH(RawSalesTable[[#This Row],[Order_Date]]),1)</f>
        <v>45870</v>
      </c>
      <c r="AK510" s="8" t="str">
        <f>VLOOKUP(RawSalesTable[[#This Row],[Customer_ID_clean]],CustomersTable[],4,FALSE)</f>
        <v>British Columbia</v>
      </c>
    </row>
    <row r="511" spans="1:37">
      <c r="A511" t="s">
        <v>938</v>
      </c>
      <c r="B511" s="3">
        <v>45880</v>
      </c>
      <c r="C511" t="s">
        <v>220</v>
      </c>
      <c r="D511" t="s">
        <v>346</v>
      </c>
      <c r="E511" t="s">
        <v>222</v>
      </c>
      <c r="F511" t="s">
        <v>145</v>
      </c>
      <c r="G511" t="s">
        <v>104</v>
      </c>
      <c r="H511" t="s">
        <v>89</v>
      </c>
      <c r="I511">
        <v>1</v>
      </c>
      <c r="J511" s="2">
        <v>247.11</v>
      </c>
      <c r="K511" s="4">
        <v>0.1</v>
      </c>
      <c r="L511" t="s">
        <v>106</v>
      </c>
      <c r="M511">
        <v>5</v>
      </c>
      <c r="N511" t="s">
        <v>91</v>
      </c>
      <c r="O511" t="str">
        <f>SUBSTITUTE(PROPER(TRIM(RawSalesTable[[#This Row],[Channel_Raw]])), "Market Place", "Marketplace")</f>
        <v>Online</v>
      </c>
      <c r="P511" t="str">
        <f>TRIM(RawSalesTable[[#This Row],[Store_Raw]])</f>
        <v>Calgary North</v>
      </c>
      <c r="Q511" t="str">
        <f>IF(TRIM(RawSalesTable[[#This Row],[Payment_Method_Raw]])="","Non renseigné",SUBSTITUTE(TRIM(RawSalesTable[[#This Row],[Payment_Method_Raw]]),"CC","Credit Card"))</f>
        <v>Credit Card</v>
      </c>
      <c r="R511" s="8" t="str">
        <f>UPPER(PROPER(RawSalesTable[[#This Row],[Customer_ID]]))</f>
        <v>C0067</v>
      </c>
      <c r="S511" s="8" t="str">
        <f>TRIM(LEFT(RawSalesTable[[#This Row],[Customer_Info]],FIND(",",RawSalesTable[[#This Row],[Customer_Info]]) -1))</f>
        <v>Leo Bennett</v>
      </c>
      <c r="T511" s="8" t="str">
        <f>TRIM(MID(RawSalesTable[[#This Row],[Customer_Info]],FIND(",",RawSalesTable[[#This Row],[Customer_Info]])+1,FIND(",",RawSalesTable[[#This Row],[Customer_Info]],FIND(",",RawSalesTable[[#This Row],[Customer_Info]])+1)-FIND(",",RawSalesTable[[#This Row],[Customer_Info]])-1))</f>
        <v>Mississauga</v>
      </c>
      <c r="U511" s="8" t="str">
        <f>TRIM(RIGHT(RawSalesTable[[#This Row],[Customer_Info]], LEN(RawSalesTable[[#This Row],[Customer_Info]])-FIND(",",RawSalesTable[[#This Row],[Customer_Info]],FIND(",",RawSalesTable[[#This Row],[Customer_Info]])+1)))</f>
        <v>Consumer</v>
      </c>
      <c r="V511" s="8" t="str">
        <f>VLOOKUP(RawSalesTable[[#This Row],[Product_ID]],ProductsTable[],2,FALSE)</f>
        <v>Pull-up Bar</v>
      </c>
      <c r="W511" s="8" t="str">
        <f>VLOOKUP(RawSalesTable[[#This Row],[Product_ID]],ProductsTable[],3,FALSE)</f>
        <v>Fitness</v>
      </c>
      <c r="X511" s="8">
        <f>VLOOKUP(RawSalesTable[[#This Row],[Product_ID]],ProductsTable[],5,FALSE)</f>
        <v>125.4</v>
      </c>
      <c r="Y511" s="8">
        <f>RawSalesTable[[#This Row],[Quantity]]*RawSalesTable[[#This Row],[Unit_Price]]</f>
        <v>247.11</v>
      </c>
      <c r="Z511" s="8">
        <f>RawSalesTable[[#This Row],[Gross_Sales]]*RawSalesTable[[#This Row],[Discount_Pct]]</f>
        <v>24.711000000000002</v>
      </c>
      <c r="AA511" s="8">
        <f>RawSalesTable[[#This Row],[Gross_Sales]]-RawSalesTable[[#This Row],[Discount_Amount]]</f>
        <v>222.399</v>
      </c>
      <c r="AB511" s="8">
        <f>RawSalesTable[[#This Row],[Unit_Cost]]*RawSalesTable[[#This Row],[Quantity]]</f>
        <v>125.4</v>
      </c>
      <c r="AC511" s="8">
        <f>RawSalesTable[[#This Row],[Net_Sales]]-RawSalesTable[[#This Row],[Total_Cost]]</f>
        <v>96.998999999999995</v>
      </c>
      <c r="AD511" s="9">
        <f>RawSalesTable[[#This Row],[Profit]]/RawSalesTable[[#This Row],[Net_Sales]]</f>
        <v>0.43614854383338053</v>
      </c>
      <c r="AE511" s="8">
        <f>IF(RawSalesTable[[#This Row],[Return_Status]]="Yes",1,0)</f>
        <v>0</v>
      </c>
      <c r="AF511" s="8">
        <f>YEAR(RawSalesTable[[#This Row],[Order_Date]])</f>
        <v>2025</v>
      </c>
      <c r="AG511" s="8">
        <f>MONTH(RawSalesTable[[#This Row],[Order_Date]])</f>
        <v>8</v>
      </c>
      <c r="AH511" s="8" t="str">
        <f>TEXT(RawSalesTable[[#This Row],[Order_Date]],"mmmm")</f>
        <v>août</v>
      </c>
      <c r="AI511" s="8" t="str">
        <f>IF(RawSalesTable[[#This Row],[Month_Number]]&lt;=3,"Q1",IF(RawSalesTable[[#This Row],[Month_Number]]&lt;=6,"Q2",IF(RawSalesTable[[#This Row],[Month_Number]]&lt;=9,"Q3","Q4")))</f>
        <v>Q3</v>
      </c>
      <c r="AJ511" s="13">
        <f>DATE(YEAR(RawSalesTable[[#This Row],[Order_Date]]),MONTH(RawSalesTable[[#This Row],[Order_Date]]),1)</f>
        <v>45870</v>
      </c>
      <c r="AK511" s="8" t="str">
        <f>VLOOKUP(RawSalesTable[[#This Row],[Customer_ID_clean]],CustomersTable[],4,FALSE)</f>
        <v>Ontario</v>
      </c>
    </row>
    <row r="512" spans="1:37">
      <c r="A512" t="s">
        <v>939</v>
      </c>
      <c r="B512" s="3">
        <v>46007</v>
      </c>
      <c r="C512" t="s">
        <v>213</v>
      </c>
      <c r="D512" t="s">
        <v>303</v>
      </c>
      <c r="E512" t="s">
        <v>214</v>
      </c>
      <c r="F512" t="s">
        <v>116</v>
      </c>
      <c r="G512" t="s">
        <v>104</v>
      </c>
      <c r="H512" t="s">
        <v>89</v>
      </c>
      <c r="I512">
        <v>1</v>
      </c>
      <c r="J512" s="2">
        <v>161.33000000000001</v>
      </c>
      <c r="K512" s="4">
        <v>0.05</v>
      </c>
      <c r="L512" t="s">
        <v>253</v>
      </c>
      <c r="M512">
        <v>1</v>
      </c>
      <c r="N512" t="s">
        <v>91</v>
      </c>
      <c r="O512" t="str">
        <f>SUBSTITUTE(PROPER(TRIM(RawSalesTable[[#This Row],[Channel_Raw]])), "Market Place", "Marketplace")</f>
        <v>Online</v>
      </c>
      <c r="P512" t="str">
        <f>TRIM(RawSalesTable[[#This Row],[Store_Raw]])</f>
        <v>Toronto Downtown</v>
      </c>
      <c r="Q512" t="str">
        <f>IF(TRIM(RawSalesTable[[#This Row],[Payment_Method_Raw]])="","Non renseigné",SUBSTITUTE(TRIM(RawSalesTable[[#This Row],[Payment_Method_Raw]]),"CC","Credit Card"))</f>
        <v>Credit Card</v>
      </c>
      <c r="R512" s="8" t="str">
        <f>UPPER(PROPER(RawSalesTable[[#This Row],[Customer_ID]]))</f>
        <v>C0001</v>
      </c>
      <c r="S512" s="8" t="str">
        <f>TRIM(LEFT(RawSalesTable[[#This Row],[Customer_Info]],FIND(",",RawSalesTable[[#This Row],[Customer_Info]]) -1))</f>
        <v>Ethan Roy</v>
      </c>
      <c r="T512" s="8" t="str">
        <f>TRIM(MID(RawSalesTable[[#This Row],[Customer_Info]],FIND(",",RawSalesTable[[#This Row],[Customer_Info]])+1,FIND(",",RawSalesTable[[#This Row],[Customer_Info]],FIND(",",RawSalesTable[[#This Row],[Customer_Info]])+1)-FIND(",",RawSalesTable[[#This Row],[Customer_Info]])-1))</f>
        <v>Halifax</v>
      </c>
      <c r="U512" s="8" t="str">
        <f>TRIM(RIGHT(RawSalesTable[[#This Row],[Customer_Info]], LEN(RawSalesTable[[#This Row],[Customer_Info]])-FIND(",",RawSalesTable[[#This Row],[Customer_Info]],FIND(",",RawSalesTable[[#This Row],[Customer_Info]])+1)))</f>
        <v>Consumer</v>
      </c>
      <c r="V512" s="8" t="str">
        <f>VLOOKUP(RawSalesTable[[#This Row],[Product_ID]],ProductsTable[],2,FALSE)</f>
        <v>Power Bank</v>
      </c>
      <c r="W512" s="8" t="str">
        <f>VLOOKUP(RawSalesTable[[#This Row],[Product_ID]],ProductsTable[],3,FALSE)</f>
        <v>Accessories</v>
      </c>
      <c r="X512" s="8">
        <f>VLOOKUP(RawSalesTable[[#This Row],[Product_ID]],ProductsTable[],5,FALSE)</f>
        <v>76.97</v>
      </c>
      <c r="Y512" s="8">
        <f>RawSalesTable[[#This Row],[Quantity]]*RawSalesTable[[#This Row],[Unit_Price]]</f>
        <v>161.33000000000001</v>
      </c>
      <c r="Z512" s="8">
        <f>RawSalesTable[[#This Row],[Gross_Sales]]*RawSalesTable[[#This Row],[Discount_Pct]]</f>
        <v>8.0665000000000013</v>
      </c>
      <c r="AA512" s="8">
        <f>RawSalesTable[[#This Row],[Gross_Sales]]-RawSalesTable[[#This Row],[Discount_Amount]]</f>
        <v>153.26350000000002</v>
      </c>
      <c r="AB512" s="8">
        <f>RawSalesTable[[#This Row],[Unit_Cost]]*RawSalesTable[[#This Row],[Quantity]]</f>
        <v>76.97</v>
      </c>
      <c r="AC512" s="8">
        <f>RawSalesTable[[#This Row],[Net_Sales]]-RawSalesTable[[#This Row],[Total_Cost]]</f>
        <v>76.293500000000023</v>
      </c>
      <c r="AD512" s="9">
        <f>RawSalesTable[[#This Row],[Profit]]/RawSalesTable[[#This Row],[Net_Sales]]</f>
        <v>0.49779301660212649</v>
      </c>
      <c r="AE512" s="8">
        <f>IF(RawSalesTable[[#This Row],[Return_Status]]="Yes",1,0)</f>
        <v>0</v>
      </c>
      <c r="AF512" s="8">
        <f>YEAR(RawSalesTable[[#This Row],[Order_Date]])</f>
        <v>2025</v>
      </c>
      <c r="AG512" s="8">
        <f>MONTH(RawSalesTable[[#This Row],[Order_Date]])</f>
        <v>12</v>
      </c>
      <c r="AH512" s="8" t="str">
        <f>TEXT(RawSalesTable[[#This Row],[Order_Date]],"mmmm")</f>
        <v>décembre</v>
      </c>
      <c r="AI512" s="8" t="str">
        <f>IF(RawSalesTable[[#This Row],[Month_Number]]&lt;=3,"Q1",IF(RawSalesTable[[#This Row],[Month_Number]]&lt;=6,"Q2",IF(RawSalesTable[[#This Row],[Month_Number]]&lt;=9,"Q3","Q4")))</f>
        <v>Q4</v>
      </c>
      <c r="AJ512" s="13">
        <f>DATE(YEAR(RawSalesTable[[#This Row],[Order_Date]]),MONTH(RawSalesTable[[#This Row],[Order_Date]]),1)</f>
        <v>45992</v>
      </c>
      <c r="AK512" s="8" t="str">
        <f>VLOOKUP(RawSalesTable[[#This Row],[Customer_ID_clean]],CustomersTable[],4,FALSE)</f>
        <v>Nova Scotia</v>
      </c>
    </row>
    <row r="513" spans="1:37">
      <c r="A513" t="s">
        <v>940</v>
      </c>
      <c r="B513" s="3">
        <v>45951</v>
      </c>
      <c r="C513" t="s">
        <v>230</v>
      </c>
      <c r="D513" t="s">
        <v>94</v>
      </c>
      <c r="E513" t="s">
        <v>232</v>
      </c>
      <c r="F513" t="s">
        <v>103</v>
      </c>
      <c r="G513" t="s">
        <v>88</v>
      </c>
      <c r="H513" t="s">
        <v>89</v>
      </c>
      <c r="I513">
        <v>4</v>
      </c>
      <c r="J513" s="2">
        <v>299.89999999999998</v>
      </c>
      <c r="K513" s="4">
        <v>0.05</v>
      </c>
      <c r="L513" t="s">
        <v>106</v>
      </c>
      <c r="M513">
        <v>7</v>
      </c>
      <c r="N513" t="s">
        <v>91</v>
      </c>
      <c r="O513" t="str">
        <f>SUBSTITUTE(PROPER(TRIM(RawSalesTable[[#This Row],[Channel_Raw]])), "Market Place", "Marketplace")</f>
        <v>Online</v>
      </c>
      <c r="P513" t="str">
        <f>TRIM(RawSalesTable[[#This Row],[Store_Raw]])</f>
        <v>Vancouver West</v>
      </c>
      <c r="Q513" t="str">
        <f>IF(TRIM(RawSalesTable[[#This Row],[Payment_Method_Raw]])="","Non renseigné",SUBSTITUTE(TRIM(RawSalesTable[[#This Row],[Payment_Method_Raw]]),"CC","Credit Card"))</f>
        <v>Credit Card</v>
      </c>
      <c r="R513" s="8" t="str">
        <f>UPPER(PROPER(RawSalesTable[[#This Row],[Customer_ID]]))</f>
        <v>C0063</v>
      </c>
      <c r="S513" s="8" t="str">
        <f>TRIM(LEFT(RawSalesTable[[#This Row],[Customer_Info]],FIND(",",RawSalesTable[[#This Row],[Customer_Info]]) -1))</f>
        <v>Adam Singh</v>
      </c>
      <c r="T513" s="8" t="str">
        <f>TRIM(MID(RawSalesTable[[#This Row],[Customer_Info]],FIND(",",RawSalesTable[[#This Row],[Customer_Info]])+1,FIND(",",RawSalesTable[[#This Row],[Customer_Info]],FIND(",",RawSalesTable[[#This Row],[Customer_Info]])+1)-FIND(",",RawSalesTable[[#This Row],[Customer_Info]])-1))</f>
        <v>Laval</v>
      </c>
      <c r="U513" s="8" t="str">
        <f>TRIM(RIGHT(RawSalesTable[[#This Row],[Customer_Info]], LEN(RawSalesTable[[#This Row],[Customer_Info]])-FIND(",",RawSalesTable[[#This Row],[Customer_Info]],FIND(",",RawSalesTable[[#This Row],[Customer_Info]])+1)))</f>
        <v>Small Business</v>
      </c>
      <c r="V513" s="8" t="str">
        <f>VLOOKUP(RawSalesTable[[#This Row],[Product_ID]],ProductsTable[],2,FALSE)</f>
        <v>Backpack</v>
      </c>
      <c r="W513" s="8" t="str">
        <f>VLOOKUP(RawSalesTable[[#This Row],[Product_ID]],ProductsTable[],3,FALSE)</f>
        <v>Accessories</v>
      </c>
      <c r="X513" s="8">
        <f>VLOOKUP(RawSalesTable[[#This Row],[Product_ID]],ProductsTable[],5,FALSE)</f>
        <v>152.55000000000001</v>
      </c>
      <c r="Y513" s="8">
        <f>RawSalesTable[[#This Row],[Quantity]]*RawSalesTable[[#This Row],[Unit_Price]]</f>
        <v>1199.5999999999999</v>
      </c>
      <c r="Z513" s="8">
        <f>RawSalesTable[[#This Row],[Gross_Sales]]*RawSalesTable[[#This Row],[Discount_Pct]]</f>
        <v>59.98</v>
      </c>
      <c r="AA513" s="8">
        <f>RawSalesTable[[#This Row],[Gross_Sales]]-RawSalesTable[[#This Row],[Discount_Amount]]</f>
        <v>1139.6199999999999</v>
      </c>
      <c r="AB513" s="8">
        <f>RawSalesTable[[#This Row],[Unit_Cost]]*RawSalesTable[[#This Row],[Quantity]]</f>
        <v>610.20000000000005</v>
      </c>
      <c r="AC513" s="8">
        <f>RawSalesTable[[#This Row],[Net_Sales]]-RawSalesTable[[#This Row],[Total_Cost]]</f>
        <v>529.41999999999985</v>
      </c>
      <c r="AD513" s="9">
        <f>RawSalesTable[[#This Row],[Profit]]/RawSalesTable[[#This Row],[Net_Sales]]</f>
        <v>0.46455836155911612</v>
      </c>
      <c r="AE513" s="8">
        <f>IF(RawSalesTable[[#This Row],[Return_Status]]="Yes",1,0)</f>
        <v>0</v>
      </c>
      <c r="AF513" s="8">
        <f>YEAR(RawSalesTable[[#This Row],[Order_Date]])</f>
        <v>2025</v>
      </c>
      <c r="AG513" s="8">
        <f>MONTH(RawSalesTable[[#This Row],[Order_Date]])</f>
        <v>10</v>
      </c>
      <c r="AH513" s="8" t="str">
        <f>TEXT(RawSalesTable[[#This Row],[Order_Date]],"mmmm")</f>
        <v>octobre</v>
      </c>
      <c r="AI513" s="8" t="str">
        <f>IF(RawSalesTable[[#This Row],[Month_Number]]&lt;=3,"Q1",IF(RawSalesTable[[#This Row],[Month_Number]]&lt;=6,"Q2",IF(RawSalesTable[[#This Row],[Month_Number]]&lt;=9,"Q3","Q4")))</f>
        <v>Q4</v>
      </c>
      <c r="AJ513" s="13">
        <f>DATE(YEAR(RawSalesTable[[#This Row],[Order_Date]]),MONTH(RawSalesTable[[#This Row],[Order_Date]]),1)</f>
        <v>45931</v>
      </c>
      <c r="AK513" s="8" t="str">
        <f>VLOOKUP(RawSalesTable[[#This Row],[Customer_ID_clean]],CustomersTable[],4,FALSE)</f>
        <v>Quebec</v>
      </c>
    </row>
    <row r="514" spans="1:37">
      <c r="A514" t="s">
        <v>941</v>
      </c>
      <c r="B514" s="3">
        <v>45872</v>
      </c>
      <c r="C514" t="s">
        <v>410</v>
      </c>
      <c r="D514" t="s">
        <v>109</v>
      </c>
      <c r="E514" t="s">
        <v>411</v>
      </c>
      <c r="F514" t="s">
        <v>145</v>
      </c>
      <c r="G514" t="s">
        <v>96</v>
      </c>
      <c r="H514" t="s">
        <v>89</v>
      </c>
      <c r="I514">
        <v>2</v>
      </c>
      <c r="J514" s="2">
        <v>204.99</v>
      </c>
      <c r="K514" s="4">
        <v>0</v>
      </c>
      <c r="L514" t="s">
        <v>98</v>
      </c>
      <c r="M514">
        <v>7</v>
      </c>
      <c r="N514" t="s">
        <v>91</v>
      </c>
      <c r="O514" t="str">
        <f>SUBSTITUTE(PROPER(TRIM(RawSalesTable[[#This Row],[Channel_Raw]])), "Market Place", "Marketplace")</f>
        <v>Online</v>
      </c>
      <c r="P514" t="str">
        <f>TRIM(RawSalesTable[[#This Row],[Store_Raw]])</f>
        <v>Calgary North</v>
      </c>
      <c r="Q514" t="str">
        <f>IF(TRIM(RawSalesTable[[#This Row],[Payment_Method_Raw]])="","Non renseigné",SUBSTITUTE(TRIM(RawSalesTable[[#This Row],[Payment_Method_Raw]]),"CC","Credit Card"))</f>
        <v>Debit Card</v>
      </c>
      <c r="R514" s="8" t="str">
        <f>UPPER(PROPER(RawSalesTable[[#This Row],[Customer_ID]]))</f>
        <v>C0093</v>
      </c>
      <c r="S514" s="8" t="str">
        <f>TRIM(LEFT(RawSalesTable[[#This Row],[Customer_Info]],FIND(",",RawSalesTable[[#This Row],[Customer_Info]]) -1))</f>
        <v>Ethan Roy</v>
      </c>
      <c r="T514" s="8" t="str">
        <f>TRIM(MID(RawSalesTable[[#This Row],[Customer_Info]],FIND(",",RawSalesTable[[#This Row],[Customer_Info]])+1,FIND(",",RawSalesTable[[#This Row],[Customer_Info]],FIND(",",RawSalesTable[[#This Row],[Customer_Info]])+1)-FIND(",",RawSalesTable[[#This Row],[Customer_Info]])-1))</f>
        <v>Winnipeg</v>
      </c>
      <c r="U514" s="8" t="str">
        <f>TRIM(RIGHT(RawSalesTable[[#This Row],[Customer_Info]], LEN(RawSalesTable[[#This Row],[Customer_Info]])-FIND(",",RawSalesTable[[#This Row],[Customer_Info]],FIND(",",RawSalesTable[[#This Row],[Customer_Info]])+1)))</f>
        <v>Consumer</v>
      </c>
      <c r="V514" s="8" t="str">
        <f>VLOOKUP(RawSalesTable[[#This Row],[Product_ID]],ProductsTable[],2,FALSE)</f>
        <v>Gym Bag</v>
      </c>
      <c r="W514" s="8" t="str">
        <f>VLOOKUP(RawSalesTable[[#This Row],[Product_ID]],ProductsTable[],3,FALSE)</f>
        <v>Fitness</v>
      </c>
      <c r="X514" s="8">
        <f>VLOOKUP(RawSalesTable[[#This Row],[Product_ID]],ProductsTable[],5,FALSE)</f>
        <v>132.72</v>
      </c>
      <c r="Y514" s="8">
        <f>RawSalesTable[[#This Row],[Quantity]]*RawSalesTable[[#This Row],[Unit_Price]]</f>
        <v>409.98</v>
      </c>
      <c r="Z514" s="8">
        <f>RawSalesTable[[#This Row],[Gross_Sales]]*RawSalesTable[[#This Row],[Discount_Pct]]</f>
        <v>0</v>
      </c>
      <c r="AA514" s="8">
        <f>RawSalesTable[[#This Row],[Gross_Sales]]-RawSalesTable[[#This Row],[Discount_Amount]]</f>
        <v>409.98</v>
      </c>
      <c r="AB514" s="8">
        <f>RawSalesTable[[#This Row],[Unit_Cost]]*RawSalesTable[[#This Row],[Quantity]]</f>
        <v>265.44</v>
      </c>
      <c r="AC514" s="8">
        <f>RawSalesTable[[#This Row],[Net_Sales]]-RawSalesTable[[#This Row],[Total_Cost]]</f>
        <v>144.54000000000002</v>
      </c>
      <c r="AD514" s="9">
        <f>RawSalesTable[[#This Row],[Profit]]/RawSalesTable[[#This Row],[Net_Sales]]</f>
        <v>0.35255378311137131</v>
      </c>
      <c r="AE514" s="8">
        <f>IF(RawSalesTable[[#This Row],[Return_Status]]="Yes",1,0)</f>
        <v>0</v>
      </c>
      <c r="AF514" s="8">
        <f>YEAR(RawSalesTable[[#This Row],[Order_Date]])</f>
        <v>2025</v>
      </c>
      <c r="AG514" s="8">
        <f>MONTH(RawSalesTable[[#This Row],[Order_Date]])</f>
        <v>8</v>
      </c>
      <c r="AH514" s="8" t="str">
        <f>TEXT(RawSalesTable[[#This Row],[Order_Date]],"mmmm")</f>
        <v>août</v>
      </c>
      <c r="AI514" s="8" t="str">
        <f>IF(RawSalesTable[[#This Row],[Month_Number]]&lt;=3,"Q1",IF(RawSalesTable[[#This Row],[Month_Number]]&lt;=6,"Q2",IF(RawSalesTable[[#This Row],[Month_Number]]&lt;=9,"Q3","Q4")))</f>
        <v>Q3</v>
      </c>
      <c r="AJ514" s="13">
        <f>DATE(YEAR(RawSalesTable[[#This Row],[Order_Date]]),MONTH(RawSalesTable[[#This Row],[Order_Date]]),1)</f>
        <v>45870</v>
      </c>
      <c r="AK514" s="8" t="str">
        <f>VLOOKUP(RawSalesTable[[#This Row],[Customer_ID_clean]],CustomersTable[],4,FALSE)</f>
        <v>Manitoba</v>
      </c>
    </row>
    <row r="515" spans="1:37">
      <c r="A515" t="s">
        <v>942</v>
      </c>
      <c r="B515" s="3">
        <v>46008</v>
      </c>
      <c r="C515" t="s">
        <v>430</v>
      </c>
      <c r="D515" t="s">
        <v>738</v>
      </c>
      <c r="E515" t="s">
        <v>431</v>
      </c>
      <c r="F515" t="s">
        <v>116</v>
      </c>
      <c r="G515" t="s">
        <v>117</v>
      </c>
      <c r="H515" t="s">
        <v>89</v>
      </c>
      <c r="I515">
        <v>2</v>
      </c>
      <c r="J515" s="2">
        <v>337.92</v>
      </c>
      <c r="K515" s="4">
        <v>0.1</v>
      </c>
      <c r="L515" t="s">
        <v>90</v>
      </c>
      <c r="M515">
        <v>6</v>
      </c>
      <c r="N515" t="s">
        <v>91</v>
      </c>
      <c r="O515" t="str">
        <f>SUBSTITUTE(PROPER(TRIM(RawSalesTable[[#This Row],[Channel_Raw]])), "Market Place", "Marketplace")</f>
        <v>Online</v>
      </c>
      <c r="P515" t="str">
        <f>TRIM(RawSalesTable[[#This Row],[Store_Raw]])</f>
        <v>Toronto Downtown</v>
      </c>
      <c r="Q515" t="str">
        <f>IF(TRIM(RawSalesTable[[#This Row],[Payment_Method_Raw]])="","Non renseigné",SUBSTITUTE(TRIM(RawSalesTable[[#This Row],[Payment_Method_Raw]]),"CC","Credit Card"))</f>
        <v>PayPal</v>
      </c>
      <c r="R515" s="8" t="str">
        <f>UPPER(PROPER(RawSalesTable[[#This Row],[Customer_ID]]))</f>
        <v>C0056</v>
      </c>
      <c r="S515" s="8" t="str">
        <f>TRIM(LEFT(RawSalesTable[[#This Row],[Customer_Info]],FIND(",",RawSalesTable[[#This Row],[Customer_Info]]) -1))</f>
        <v>Sarah Wilson</v>
      </c>
      <c r="T515" s="8" t="str">
        <f>TRIM(MID(RawSalesTable[[#This Row],[Customer_Info]],FIND(",",RawSalesTable[[#This Row],[Customer_Info]])+1,FIND(",",RawSalesTable[[#This Row],[Customer_Info]],FIND(",",RawSalesTable[[#This Row],[Customer_Info]])+1)-FIND(",",RawSalesTable[[#This Row],[Customer_Info]])-1))</f>
        <v>Halifax</v>
      </c>
      <c r="U515" s="8" t="str">
        <f>TRIM(RIGHT(RawSalesTable[[#This Row],[Customer_Info]], LEN(RawSalesTable[[#This Row],[Customer_Info]])-FIND(",",RawSalesTable[[#This Row],[Customer_Info]],FIND(",",RawSalesTable[[#This Row],[Customer_Info]])+1)))</f>
        <v>Consumer</v>
      </c>
      <c r="V515" s="8" t="str">
        <f>VLOOKUP(RawSalesTable[[#This Row],[Product_ID]],ProductsTable[],2,FALSE)</f>
        <v>Printer</v>
      </c>
      <c r="W515" s="8" t="str">
        <f>VLOOKUP(RawSalesTable[[#This Row],[Product_ID]],ProductsTable[],3,FALSE)</f>
        <v>Office</v>
      </c>
      <c r="X515" s="8">
        <f>VLOOKUP(RawSalesTable[[#This Row],[Product_ID]],ProductsTable[],5,FALSE)</f>
        <v>156.75</v>
      </c>
      <c r="Y515" s="8">
        <f>RawSalesTable[[#This Row],[Quantity]]*RawSalesTable[[#This Row],[Unit_Price]]</f>
        <v>675.84</v>
      </c>
      <c r="Z515" s="8">
        <f>RawSalesTable[[#This Row],[Gross_Sales]]*RawSalesTable[[#This Row],[Discount_Pct]]</f>
        <v>67.584000000000003</v>
      </c>
      <c r="AA515" s="8">
        <f>RawSalesTable[[#This Row],[Gross_Sales]]-RawSalesTable[[#This Row],[Discount_Amount]]</f>
        <v>608.25600000000009</v>
      </c>
      <c r="AB515" s="8">
        <f>RawSalesTable[[#This Row],[Unit_Cost]]*RawSalesTable[[#This Row],[Quantity]]</f>
        <v>313.5</v>
      </c>
      <c r="AC515" s="8">
        <f>RawSalesTable[[#This Row],[Net_Sales]]-RawSalesTable[[#This Row],[Total_Cost]]</f>
        <v>294.75600000000009</v>
      </c>
      <c r="AD515" s="9">
        <f>RawSalesTable[[#This Row],[Profit]]/RawSalesTable[[#This Row],[Net_Sales]]</f>
        <v>0.48459201388888895</v>
      </c>
      <c r="AE515" s="8">
        <f>IF(RawSalesTable[[#This Row],[Return_Status]]="Yes",1,0)</f>
        <v>0</v>
      </c>
      <c r="AF515" s="8">
        <f>YEAR(RawSalesTable[[#This Row],[Order_Date]])</f>
        <v>2025</v>
      </c>
      <c r="AG515" s="8">
        <f>MONTH(RawSalesTable[[#This Row],[Order_Date]])</f>
        <v>12</v>
      </c>
      <c r="AH515" s="8" t="str">
        <f>TEXT(RawSalesTable[[#This Row],[Order_Date]],"mmmm")</f>
        <v>décembre</v>
      </c>
      <c r="AI515" s="8" t="str">
        <f>IF(RawSalesTable[[#This Row],[Month_Number]]&lt;=3,"Q1",IF(RawSalesTable[[#This Row],[Month_Number]]&lt;=6,"Q2",IF(RawSalesTable[[#This Row],[Month_Number]]&lt;=9,"Q3","Q4")))</f>
        <v>Q4</v>
      </c>
      <c r="AJ515" s="13">
        <f>DATE(YEAR(RawSalesTable[[#This Row],[Order_Date]]),MONTH(RawSalesTable[[#This Row],[Order_Date]]),1)</f>
        <v>45992</v>
      </c>
      <c r="AK515" s="8" t="str">
        <f>VLOOKUP(RawSalesTable[[#This Row],[Customer_ID_clean]],CustomersTable[],4,FALSE)</f>
        <v>Nova Scotia</v>
      </c>
    </row>
    <row r="516" spans="1:37">
      <c r="A516" t="s">
        <v>943</v>
      </c>
      <c r="B516" s="3">
        <v>45895</v>
      </c>
      <c r="C516" t="s">
        <v>200</v>
      </c>
      <c r="D516" t="s">
        <v>143</v>
      </c>
      <c r="E516" t="s">
        <v>201</v>
      </c>
      <c r="F516" t="s">
        <v>116</v>
      </c>
      <c r="G516" t="s">
        <v>122</v>
      </c>
      <c r="H516" t="s">
        <v>89</v>
      </c>
      <c r="I516">
        <v>1</v>
      </c>
      <c r="J516" s="2">
        <v>249.77</v>
      </c>
      <c r="K516" s="4">
        <v>0</v>
      </c>
      <c r="L516" t="s">
        <v>504</v>
      </c>
      <c r="M516">
        <v>7</v>
      </c>
      <c r="N516" t="s">
        <v>91</v>
      </c>
      <c r="O516" t="str">
        <f>SUBSTITUTE(PROPER(TRIM(RawSalesTable[[#This Row],[Channel_Raw]])), "Market Place", "Marketplace")</f>
        <v>Online</v>
      </c>
      <c r="P516" t="str">
        <f>TRIM(RawSalesTable[[#This Row],[Store_Raw]])</f>
        <v>Toronto Downtown</v>
      </c>
      <c r="Q516" t="str">
        <f>IF(TRIM(RawSalesTable[[#This Row],[Payment_Method_Raw]])="","Non renseigné",SUBSTITUTE(TRIM(RawSalesTable[[#This Row],[Payment_Method_Raw]]),"CC","Credit Card"))</f>
        <v>Debit Card</v>
      </c>
      <c r="R516" s="8" t="str">
        <f>UPPER(PROPER(RawSalesTable[[#This Row],[Customer_ID]]))</f>
        <v>C0118</v>
      </c>
      <c r="S516" s="8" t="str">
        <f>TRIM(LEFT(RawSalesTable[[#This Row],[Customer_Info]],FIND(",",RawSalesTable[[#This Row],[Customer_Info]]) -1))</f>
        <v>Ryan Smith</v>
      </c>
      <c r="T516" s="8" t="str">
        <f>TRIM(MID(RawSalesTable[[#This Row],[Customer_Info]],FIND(",",RawSalesTable[[#This Row],[Customer_Info]])+1,FIND(",",RawSalesTable[[#This Row],[Customer_Info]],FIND(",",RawSalesTable[[#This Row],[Customer_Info]])+1)-FIND(",",RawSalesTable[[#This Row],[Customer_Info]])-1))</f>
        <v>Victoria</v>
      </c>
      <c r="U516" s="8" t="str">
        <f>TRIM(RIGHT(RawSalesTable[[#This Row],[Customer_Info]], LEN(RawSalesTable[[#This Row],[Customer_Info]])-FIND(",",RawSalesTable[[#This Row],[Customer_Info]],FIND(",",RawSalesTable[[#This Row],[Customer_Info]])+1)))</f>
        <v>Small Business</v>
      </c>
      <c r="V516" s="8" t="str">
        <f>VLOOKUP(RawSalesTable[[#This Row],[Product_ID]],ProductsTable[],2,FALSE)</f>
        <v>Water Bottle</v>
      </c>
      <c r="W516" s="8" t="str">
        <f>VLOOKUP(RawSalesTable[[#This Row],[Product_ID]],ProductsTable[],3,FALSE)</f>
        <v>Accessories</v>
      </c>
      <c r="X516" s="8">
        <f>VLOOKUP(RawSalesTable[[#This Row],[Product_ID]],ProductsTable[],5,FALSE)</f>
        <v>119.16</v>
      </c>
      <c r="Y516" s="8">
        <f>RawSalesTable[[#This Row],[Quantity]]*RawSalesTable[[#This Row],[Unit_Price]]</f>
        <v>249.77</v>
      </c>
      <c r="Z516" s="8">
        <f>RawSalesTable[[#This Row],[Gross_Sales]]*RawSalesTable[[#This Row],[Discount_Pct]]</f>
        <v>0</v>
      </c>
      <c r="AA516" s="8">
        <f>RawSalesTable[[#This Row],[Gross_Sales]]-RawSalesTable[[#This Row],[Discount_Amount]]</f>
        <v>249.77</v>
      </c>
      <c r="AB516" s="8">
        <f>RawSalesTable[[#This Row],[Unit_Cost]]*RawSalesTable[[#This Row],[Quantity]]</f>
        <v>119.16</v>
      </c>
      <c r="AC516" s="8">
        <f>RawSalesTable[[#This Row],[Net_Sales]]-RawSalesTable[[#This Row],[Total_Cost]]</f>
        <v>130.61000000000001</v>
      </c>
      <c r="AD516" s="9">
        <f>RawSalesTable[[#This Row],[Profit]]/RawSalesTable[[#This Row],[Net_Sales]]</f>
        <v>0.52292108740040844</v>
      </c>
      <c r="AE516" s="8">
        <f>IF(RawSalesTable[[#This Row],[Return_Status]]="Yes",1,0)</f>
        <v>0</v>
      </c>
      <c r="AF516" s="8">
        <f>YEAR(RawSalesTable[[#This Row],[Order_Date]])</f>
        <v>2025</v>
      </c>
      <c r="AG516" s="8">
        <f>MONTH(RawSalesTable[[#This Row],[Order_Date]])</f>
        <v>8</v>
      </c>
      <c r="AH516" s="8" t="str">
        <f>TEXT(RawSalesTable[[#This Row],[Order_Date]],"mmmm")</f>
        <v>août</v>
      </c>
      <c r="AI516" s="8" t="str">
        <f>IF(RawSalesTable[[#This Row],[Month_Number]]&lt;=3,"Q1",IF(RawSalesTable[[#This Row],[Month_Number]]&lt;=6,"Q2",IF(RawSalesTable[[#This Row],[Month_Number]]&lt;=9,"Q3","Q4")))</f>
        <v>Q3</v>
      </c>
      <c r="AJ516" s="13">
        <f>DATE(YEAR(RawSalesTable[[#This Row],[Order_Date]]),MONTH(RawSalesTable[[#This Row],[Order_Date]]),1)</f>
        <v>45870</v>
      </c>
      <c r="AK516" s="8" t="str">
        <f>VLOOKUP(RawSalesTable[[#This Row],[Customer_ID_clean]],CustomersTable[],4,FALSE)</f>
        <v>British Columbia</v>
      </c>
    </row>
    <row r="517" spans="1:37">
      <c r="A517" t="s">
        <v>944</v>
      </c>
      <c r="B517" s="3">
        <v>45749</v>
      </c>
      <c r="C517" t="s">
        <v>286</v>
      </c>
      <c r="D517" t="s">
        <v>114</v>
      </c>
      <c r="E517" t="s">
        <v>287</v>
      </c>
      <c r="F517" t="s">
        <v>103</v>
      </c>
      <c r="G517" t="s">
        <v>104</v>
      </c>
      <c r="H517" t="s">
        <v>97</v>
      </c>
      <c r="I517">
        <v>1</v>
      </c>
      <c r="J517" s="2">
        <v>139.44</v>
      </c>
      <c r="K517" s="4">
        <v>0</v>
      </c>
      <c r="L517" t="s">
        <v>90</v>
      </c>
      <c r="M517">
        <v>3</v>
      </c>
      <c r="N517" t="s">
        <v>91</v>
      </c>
      <c r="O517" t="str">
        <f>SUBSTITUTE(PROPER(TRIM(RawSalesTable[[#This Row],[Channel_Raw]])), "Market Place", "Marketplace")</f>
        <v>Retail Store</v>
      </c>
      <c r="P517" t="str">
        <f>TRIM(RawSalesTable[[#This Row],[Store_Raw]])</f>
        <v>Vancouver West</v>
      </c>
      <c r="Q517" t="str">
        <f>IF(TRIM(RawSalesTable[[#This Row],[Payment_Method_Raw]])="","Non renseigné",SUBSTITUTE(TRIM(RawSalesTable[[#This Row],[Payment_Method_Raw]]),"CC","Credit Card"))</f>
        <v>PayPal</v>
      </c>
      <c r="R517" s="8" t="str">
        <f>UPPER(PROPER(RawSalesTable[[#This Row],[Customer_ID]]))</f>
        <v>C0098</v>
      </c>
      <c r="S517" s="8" t="str">
        <f>TRIM(LEFT(RawSalesTable[[#This Row],[Customer_Info]],FIND(",",RawSalesTable[[#This Row],[Customer_Info]]) -1))</f>
        <v>Nora Young</v>
      </c>
      <c r="T517" s="8" t="str">
        <f>TRIM(MID(RawSalesTable[[#This Row],[Customer_Info]],FIND(",",RawSalesTable[[#This Row],[Customer_Info]])+1,FIND(",",RawSalesTable[[#This Row],[Customer_Info]],FIND(",",RawSalesTable[[#This Row],[Customer_Info]])+1)-FIND(",",RawSalesTable[[#This Row],[Customer_Info]])-1))</f>
        <v>Winnipeg</v>
      </c>
      <c r="U517" s="8" t="str">
        <f>TRIM(RIGHT(RawSalesTable[[#This Row],[Customer_Info]], LEN(RawSalesTable[[#This Row],[Customer_Info]])-FIND(",",RawSalesTable[[#This Row],[Customer_Info]],FIND(",",RawSalesTable[[#This Row],[Customer_Info]])+1)))</f>
        <v>Consumer</v>
      </c>
      <c r="V517" s="8" t="str">
        <f>VLOOKUP(RawSalesTable[[#This Row],[Product_ID]],ProductsTable[],2,FALSE)</f>
        <v>Laptop Sleeve</v>
      </c>
      <c r="W517" s="8" t="str">
        <f>VLOOKUP(RawSalesTable[[#This Row],[Product_ID]],ProductsTable[],3,FALSE)</f>
        <v>Accessories</v>
      </c>
      <c r="X517" s="8">
        <f>VLOOKUP(RawSalesTable[[#This Row],[Product_ID]],ProductsTable[],5,FALSE)</f>
        <v>78.95</v>
      </c>
      <c r="Y517" s="8">
        <f>RawSalesTable[[#This Row],[Quantity]]*RawSalesTable[[#This Row],[Unit_Price]]</f>
        <v>139.44</v>
      </c>
      <c r="Z517" s="8">
        <f>RawSalesTable[[#This Row],[Gross_Sales]]*RawSalesTable[[#This Row],[Discount_Pct]]</f>
        <v>0</v>
      </c>
      <c r="AA517" s="8">
        <f>RawSalesTable[[#This Row],[Gross_Sales]]-RawSalesTable[[#This Row],[Discount_Amount]]</f>
        <v>139.44</v>
      </c>
      <c r="AB517" s="8">
        <f>RawSalesTable[[#This Row],[Unit_Cost]]*RawSalesTable[[#This Row],[Quantity]]</f>
        <v>78.95</v>
      </c>
      <c r="AC517" s="8">
        <f>RawSalesTable[[#This Row],[Net_Sales]]-RawSalesTable[[#This Row],[Total_Cost]]</f>
        <v>60.489999999999995</v>
      </c>
      <c r="AD517" s="9">
        <f>RawSalesTable[[#This Row],[Profit]]/RawSalesTable[[#This Row],[Net_Sales]]</f>
        <v>0.43380665519219735</v>
      </c>
      <c r="AE517" s="8">
        <f>IF(RawSalesTable[[#This Row],[Return_Status]]="Yes",1,0)</f>
        <v>0</v>
      </c>
      <c r="AF517" s="8">
        <f>YEAR(RawSalesTable[[#This Row],[Order_Date]])</f>
        <v>2025</v>
      </c>
      <c r="AG517" s="8">
        <f>MONTH(RawSalesTable[[#This Row],[Order_Date]])</f>
        <v>4</v>
      </c>
      <c r="AH517" s="8" t="str">
        <f>TEXT(RawSalesTable[[#This Row],[Order_Date]],"mmmm")</f>
        <v>avril</v>
      </c>
      <c r="AI517" s="8" t="str">
        <f>IF(RawSalesTable[[#This Row],[Month_Number]]&lt;=3,"Q1",IF(RawSalesTable[[#This Row],[Month_Number]]&lt;=6,"Q2",IF(RawSalesTable[[#This Row],[Month_Number]]&lt;=9,"Q3","Q4")))</f>
        <v>Q2</v>
      </c>
      <c r="AJ517" s="13">
        <f>DATE(YEAR(RawSalesTable[[#This Row],[Order_Date]]),MONTH(RawSalesTable[[#This Row],[Order_Date]]),1)</f>
        <v>45748</v>
      </c>
      <c r="AK517" s="8" t="str">
        <f>VLOOKUP(RawSalesTable[[#This Row],[Customer_ID_clean]],CustomersTable[],4,FALSE)</f>
        <v>Manitoba</v>
      </c>
    </row>
    <row r="518" spans="1:37">
      <c r="A518" t="s">
        <v>945</v>
      </c>
      <c r="B518" s="3">
        <v>45986</v>
      </c>
      <c r="C518" t="s">
        <v>300</v>
      </c>
      <c r="D518" t="s">
        <v>194</v>
      </c>
      <c r="E518" t="s">
        <v>301</v>
      </c>
      <c r="F518" t="s">
        <v>111</v>
      </c>
      <c r="G518" t="s">
        <v>104</v>
      </c>
      <c r="H518" t="s">
        <v>89</v>
      </c>
      <c r="I518">
        <v>2</v>
      </c>
      <c r="J518" s="2">
        <v>199.62</v>
      </c>
      <c r="K518" s="4">
        <v>0.15</v>
      </c>
      <c r="L518" t="s">
        <v>90</v>
      </c>
      <c r="M518">
        <v>6</v>
      </c>
      <c r="N518" t="s">
        <v>91</v>
      </c>
      <c r="O518" t="str">
        <f>SUBSTITUTE(PROPER(TRIM(RawSalesTable[[#This Row],[Channel_Raw]])), "Market Place", "Marketplace")</f>
        <v>Online</v>
      </c>
      <c r="P518" t="str">
        <f>TRIM(RawSalesTable[[#This Row],[Store_Raw]])</f>
        <v>Montreal Central</v>
      </c>
      <c r="Q518" t="str">
        <f>IF(TRIM(RawSalesTable[[#This Row],[Payment_Method_Raw]])="","Non renseigné",SUBSTITUTE(TRIM(RawSalesTable[[#This Row],[Payment_Method_Raw]]),"CC","Credit Card"))</f>
        <v>PayPal</v>
      </c>
      <c r="R518" s="8" t="str">
        <f>UPPER(PROPER(RawSalesTable[[#This Row],[Customer_ID]]))</f>
        <v>C0016</v>
      </c>
      <c r="S518" s="8" t="str">
        <f>TRIM(LEFT(RawSalesTable[[#This Row],[Customer_Info]],FIND(",",RawSalesTable[[#This Row],[Customer_Info]]) -1))</f>
        <v>Nora Singh</v>
      </c>
      <c r="T518" s="8" t="str">
        <f>TRIM(MID(RawSalesTable[[#This Row],[Customer_Info]],FIND(",",RawSalesTable[[#This Row],[Customer_Info]])+1,FIND(",",RawSalesTable[[#This Row],[Customer_Info]],FIND(",",RawSalesTable[[#This Row],[Customer_Info]])+1)-FIND(",",RawSalesTable[[#This Row],[Customer_Info]])-1))</f>
        <v>Calgary</v>
      </c>
      <c r="U518" s="8" t="str">
        <f>TRIM(RIGHT(RawSalesTable[[#This Row],[Customer_Info]], LEN(RawSalesTable[[#This Row],[Customer_Info]])-FIND(",",RawSalesTable[[#This Row],[Customer_Info]],FIND(",",RawSalesTable[[#This Row],[Customer_Info]])+1)))</f>
        <v>Consumer</v>
      </c>
      <c r="V518" s="8" t="str">
        <f>VLOOKUP(RawSalesTable[[#This Row],[Product_ID]],ProductsTable[],2,FALSE)</f>
        <v>Jump Rope</v>
      </c>
      <c r="W518" s="8" t="str">
        <f>VLOOKUP(RawSalesTable[[#This Row],[Product_ID]],ProductsTable[],3,FALSE)</f>
        <v>Fitness</v>
      </c>
      <c r="X518" s="8">
        <f>VLOOKUP(RawSalesTable[[#This Row],[Product_ID]],ProductsTable[],5,FALSE)</f>
        <v>101</v>
      </c>
      <c r="Y518" s="8">
        <f>RawSalesTable[[#This Row],[Quantity]]*RawSalesTable[[#This Row],[Unit_Price]]</f>
        <v>399.24</v>
      </c>
      <c r="Z518" s="8">
        <f>RawSalesTable[[#This Row],[Gross_Sales]]*RawSalesTable[[#This Row],[Discount_Pct]]</f>
        <v>59.885999999999996</v>
      </c>
      <c r="AA518" s="8">
        <f>RawSalesTable[[#This Row],[Gross_Sales]]-RawSalesTable[[#This Row],[Discount_Amount]]</f>
        <v>339.35400000000004</v>
      </c>
      <c r="AB518" s="8">
        <f>RawSalesTable[[#This Row],[Unit_Cost]]*RawSalesTable[[#This Row],[Quantity]]</f>
        <v>202</v>
      </c>
      <c r="AC518" s="8">
        <f>RawSalesTable[[#This Row],[Net_Sales]]-RawSalesTable[[#This Row],[Total_Cost]]</f>
        <v>137.35400000000004</v>
      </c>
      <c r="AD518" s="9">
        <f>RawSalesTable[[#This Row],[Profit]]/RawSalesTable[[#This Row],[Net_Sales]]</f>
        <v>0.40475138056424864</v>
      </c>
      <c r="AE518" s="8">
        <f>IF(RawSalesTable[[#This Row],[Return_Status]]="Yes",1,0)</f>
        <v>0</v>
      </c>
      <c r="AF518" s="8">
        <f>YEAR(RawSalesTable[[#This Row],[Order_Date]])</f>
        <v>2025</v>
      </c>
      <c r="AG518" s="8">
        <f>MONTH(RawSalesTable[[#This Row],[Order_Date]])</f>
        <v>11</v>
      </c>
      <c r="AH518" s="8" t="str">
        <f>TEXT(RawSalesTable[[#This Row],[Order_Date]],"mmmm")</f>
        <v>novembre</v>
      </c>
      <c r="AI518" s="8" t="str">
        <f>IF(RawSalesTable[[#This Row],[Month_Number]]&lt;=3,"Q1",IF(RawSalesTable[[#This Row],[Month_Number]]&lt;=6,"Q2",IF(RawSalesTable[[#This Row],[Month_Number]]&lt;=9,"Q3","Q4")))</f>
        <v>Q4</v>
      </c>
      <c r="AJ518" s="13">
        <f>DATE(YEAR(RawSalesTable[[#This Row],[Order_Date]]),MONTH(RawSalesTable[[#This Row],[Order_Date]]),1)</f>
        <v>45962</v>
      </c>
      <c r="AK518" s="8" t="str">
        <f>VLOOKUP(RawSalesTable[[#This Row],[Customer_ID_clean]],CustomersTable[],4,FALSE)</f>
        <v>Alberta</v>
      </c>
    </row>
    <row r="519" spans="1:37">
      <c r="A519" t="s">
        <v>946</v>
      </c>
      <c r="B519" s="3">
        <v>45957</v>
      </c>
      <c r="C519" t="s">
        <v>706</v>
      </c>
      <c r="D519" t="s">
        <v>101</v>
      </c>
      <c r="E519" t="s">
        <v>843</v>
      </c>
      <c r="F519" t="s">
        <v>111</v>
      </c>
      <c r="G519" t="s">
        <v>171</v>
      </c>
      <c r="H519" t="s">
        <v>97</v>
      </c>
      <c r="I519">
        <v>1</v>
      </c>
      <c r="J519" s="2">
        <v>316.77999999999997</v>
      </c>
      <c r="K519" s="4">
        <v>0</v>
      </c>
      <c r="L519" t="s">
        <v>106</v>
      </c>
      <c r="M519">
        <v>4</v>
      </c>
      <c r="N519" t="s">
        <v>91</v>
      </c>
      <c r="O519" t="str">
        <f>SUBSTITUTE(PROPER(TRIM(RawSalesTable[[#This Row],[Channel_Raw]])), "Market Place", "Marketplace")</f>
        <v>Retail Store</v>
      </c>
      <c r="P519" t="str">
        <f>TRIM(RawSalesTable[[#This Row],[Store_Raw]])</f>
        <v>Montreal Central</v>
      </c>
      <c r="Q519" t="str">
        <f>IF(TRIM(RawSalesTable[[#This Row],[Payment_Method_Raw]])="","Non renseigné",SUBSTITUTE(TRIM(RawSalesTable[[#This Row],[Payment_Method_Raw]]),"CC","Credit Card"))</f>
        <v>Credit Card</v>
      </c>
      <c r="R519" s="8" t="str">
        <f>UPPER(PROPER(RawSalesTable[[#This Row],[Customer_ID]]))</f>
        <v>C0006</v>
      </c>
      <c r="S519" s="8" t="str">
        <f>TRIM(LEFT(RawSalesTable[[#This Row],[Customer_Info]],FIND(",",RawSalesTable[[#This Row],[Customer_Info]]) -1))</f>
        <v>Nora Wilson</v>
      </c>
      <c r="T519" s="8" t="str">
        <f>TRIM(MID(RawSalesTable[[#This Row],[Customer_Info]],FIND(",",RawSalesTable[[#This Row],[Customer_Info]])+1,FIND(",",RawSalesTable[[#This Row],[Customer_Info]],FIND(",",RawSalesTable[[#This Row],[Customer_Info]])+1)-FIND(",",RawSalesTable[[#This Row],[Customer_Info]])-1))</f>
        <v>Laval</v>
      </c>
      <c r="U519" s="8" t="str">
        <f>TRIM(RIGHT(RawSalesTable[[#This Row],[Customer_Info]], LEN(RawSalesTable[[#This Row],[Customer_Info]])-FIND(",",RawSalesTable[[#This Row],[Customer_Info]],FIND(",",RawSalesTable[[#This Row],[Customer_Info]])+1)))</f>
        <v>Consumer</v>
      </c>
      <c r="V519" s="8" t="str">
        <f>VLOOKUP(RawSalesTable[[#This Row],[Product_ID]],ProductsTable[],2,FALSE)</f>
        <v>Kettle</v>
      </c>
      <c r="W519" s="8" t="str">
        <f>VLOOKUP(RawSalesTable[[#This Row],[Product_ID]],ProductsTable[],3,FALSE)</f>
        <v>Home</v>
      </c>
      <c r="X519" s="8">
        <f>VLOOKUP(RawSalesTable[[#This Row],[Product_ID]],ProductsTable[],5,FALSE)</f>
        <v>139.86000000000001</v>
      </c>
      <c r="Y519" s="8">
        <f>RawSalesTable[[#This Row],[Quantity]]*RawSalesTable[[#This Row],[Unit_Price]]</f>
        <v>316.77999999999997</v>
      </c>
      <c r="Z519" s="8">
        <f>RawSalesTable[[#This Row],[Gross_Sales]]*RawSalesTable[[#This Row],[Discount_Pct]]</f>
        <v>0</v>
      </c>
      <c r="AA519" s="8">
        <f>RawSalesTable[[#This Row],[Gross_Sales]]-RawSalesTable[[#This Row],[Discount_Amount]]</f>
        <v>316.77999999999997</v>
      </c>
      <c r="AB519" s="8">
        <f>RawSalesTable[[#This Row],[Unit_Cost]]*RawSalesTable[[#This Row],[Quantity]]</f>
        <v>139.86000000000001</v>
      </c>
      <c r="AC519" s="8">
        <f>RawSalesTable[[#This Row],[Net_Sales]]-RawSalesTable[[#This Row],[Total_Cost]]</f>
        <v>176.91999999999996</v>
      </c>
      <c r="AD519" s="9">
        <f>RawSalesTable[[#This Row],[Profit]]/RawSalesTable[[#This Row],[Net_Sales]]</f>
        <v>0.55849485447313585</v>
      </c>
      <c r="AE519" s="8">
        <f>IF(RawSalesTable[[#This Row],[Return_Status]]="Yes",1,0)</f>
        <v>0</v>
      </c>
      <c r="AF519" s="8">
        <f>YEAR(RawSalesTable[[#This Row],[Order_Date]])</f>
        <v>2025</v>
      </c>
      <c r="AG519" s="8">
        <f>MONTH(RawSalesTable[[#This Row],[Order_Date]])</f>
        <v>10</v>
      </c>
      <c r="AH519" s="8" t="str">
        <f>TEXT(RawSalesTable[[#This Row],[Order_Date]],"mmmm")</f>
        <v>octobre</v>
      </c>
      <c r="AI519" s="8" t="str">
        <f>IF(RawSalesTable[[#This Row],[Month_Number]]&lt;=3,"Q1",IF(RawSalesTable[[#This Row],[Month_Number]]&lt;=6,"Q2",IF(RawSalesTable[[#This Row],[Month_Number]]&lt;=9,"Q3","Q4")))</f>
        <v>Q4</v>
      </c>
      <c r="AJ519" s="13">
        <f>DATE(YEAR(RawSalesTable[[#This Row],[Order_Date]]),MONTH(RawSalesTable[[#This Row],[Order_Date]]),1)</f>
        <v>45931</v>
      </c>
      <c r="AK519" s="8" t="str">
        <f>VLOOKUP(RawSalesTable[[#This Row],[Customer_ID_clean]],CustomersTable[],4,FALSE)</f>
        <v>Quebec</v>
      </c>
    </row>
    <row r="520" spans="1:37">
      <c r="A520" t="s">
        <v>947</v>
      </c>
      <c r="B520" s="3">
        <v>45851</v>
      </c>
      <c r="C520" t="s">
        <v>410</v>
      </c>
      <c r="D520" t="s">
        <v>190</v>
      </c>
      <c r="E520" t="s">
        <v>411</v>
      </c>
      <c r="F520" t="s">
        <v>655</v>
      </c>
      <c r="G520" t="s">
        <v>117</v>
      </c>
      <c r="H520" t="s">
        <v>97</v>
      </c>
      <c r="I520">
        <v>1</v>
      </c>
      <c r="J520" s="2">
        <v>277.89999999999998</v>
      </c>
      <c r="K520" s="4">
        <v>0.1</v>
      </c>
      <c r="L520" t="s">
        <v>98</v>
      </c>
      <c r="M520">
        <v>1</v>
      </c>
      <c r="N520" t="s">
        <v>147</v>
      </c>
      <c r="O520" t="str">
        <f>SUBSTITUTE(PROPER(TRIM(RawSalesTable[[#This Row],[Channel_Raw]])), "Market Place", "Marketplace")</f>
        <v>Retail Store</v>
      </c>
      <c r="P520" t="str">
        <f>TRIM(RawSalesTable[[#This Row],[Store_Raw]])</f>
        <v>Online Fulfillment</v>
      </c>
      <c r="Q520" t="str">
        <f>IF(TRIM(RawSalesTable[[#This Row],[Payment_Method_Raw]])="","Non renseigné",SUBSTITUTE(TRIM(RawSalesTable[[#This Row],[Payment_Method_Raw]]),"CC","Credit Card"))</f>
        <v>Debit Card</v>
      </c>
      <c r="R520" s="8" t="str">
        <f>UPPER(PROPER(RawSalesTable[[#This Row],[Customer_ID]]))</f>
        <v>C0093</v>
      </c>
      <c r="S520" s="8" t="str">
        <f>TRIM(LEFT(RawSalesTable[[#This Row],[Customer_Info]],FIND(",",RawSalesTable[[#This Row],[Customer_Info]]) -1))</f>
        <v>Ethan Roy</v>
      </c>
      <c r="T520" s="8" t="str">
        <f>TRIM(MID(RawSalesTable[[#This Row],[Customer_Info]],FIND(",",RawSalesTable[[#This Row],[Customer_Info]])+1,FIND(",",RawSalesTable[[#This Row],[Customer_Info]],FIND(",",RawSalesTable[[#This Row],[Customer_Info]])+1)-FIND(",",RawSalesTable[[#This Row],[Customer_Info]])-1))</f>
        <v>Winnipeg</v>
      </c>
      <c r="U520" s="8" t="str">
        <f>TRIM(RIGHT(RawSalesTable[[#This Row],[Customer_Info]], LEN(RawSalesTable[[#This Row],[Customer_Info]])-FIND(",",RawSalesTable[[#This Row],[Customer_Info]],FIND(",",RawSalesTable[[#This Row],[Customer_Info]])+1)))</f>
        <v>Consumer</v>
      </c>
      <c r="V520" s="8" t="str">
        <f>VLOOKUP(RawSalesTable[[#This Row],[Product_ID]],ProductsTable[],2,FALSE)</f>
        <v>Webcam</v>
      </c>
      <c r="W520" s="8" t="str">
        <f>VLOOKUP(RawSalesTable[[#This Row],[Product_ID]],ProductsTable[],3,FALSE)</f>
        <v>Electronics</v>
      </c>
      <c r="X520" s="8">
        <f>VLOOKUP(RawSalesTable[[#This Row],[Product_ID]],ProductsTable[],5,FALSE)</f>
        <v>154.72999999999999</v>
      </c>
      <c r="Y520" s="8">
        <f>RawSalesTable[[#This Row],[Quantity]]*RawSalesTable[[#This Row],[Unit_Price]]</f>
        <v>277.89999999999998</v>
      </c>
      <c r="Z520" s="8">
        <f>RawSalesTable[[#This Row],[Gross_Sales]]*RawSalesTable[[#This Row],[Discount_Pct]]</f>
        <v>27.79</v>
      </c>
      <c r="AA520" s="8">
        <f>RawSalesTable[[#This Row],[Gross_Sales]]-RawSalesTable[[#This Row],[Discount_Amount]]</f>
        <v>250.10999999999999</v>
      </c>
      <c r="AB520" s="8">
        <f>RawSalesTable[[#This Row],[Unit_Cost]]*RawSalesTable[[#This Row],[Quantity]]</f>
        <v>154.72999999999999</v>
      </c>
      <c r="AC520" s="8">
        <f>RawSalesTable[[#This Row],[Net_Sales]]-RawSalesTable[[#This Row],[Total_Cost]]</f>
        <v>95.38</v>
      </c>
      <c r="AD520" s="9">
        <f>RawSalesTable[[#This Row],[Profit]]/RawSalesTable[[#This Row],[Net_Sales]]</f>
        <v>0.38135220502978689</v>
      </c>
      <c r="AE520" s="8">
        <f>IF(RawSalesTable[[#This Row],[Return_Status]]="Yes",1,0)</f>
        <v>1</v>
      </c>
      <c r="AF520" s="8">
        <f>YEAR(RawSalesTable[[#This Row],[Order_Date]])</f>
        <v>2025</v>
      </c>
      <c r="AG520" s="8">
        <f>MONTH(RawSalesTable[[#This Row],[Order_Date]])</f>
        <v>7</v>
      </c>
      <c r="AH520" s="8" t="str">
        <f>TEXT(RawSalesTable[[#This Row],[Order_Date]],"mmmm")</f>
        <v>juillet</v>
      </c>
      <c r="AI520" s="8" t="str">
        <f>IF(RawSalesTable[[#This Row],[Month_Number]]&lt;=3,"Q1",IF(RawSalesTable[[#This Row],[Month_Number]]&lt;=6,"Q2",IF(RawSalesTable[[#This Row],[Month_Number]]&lt;=9,"Q3","Q4")))</f>
        <v>Q3</v>
      </c>
      <c r="AJ520" s="13">
        <f>DATE(YEAR(RawSalesTable[[#This Row],[Order_Date]]),MONTH(RawSalesTable[[#This Row],[Order_Date]]),1)</f>
        <v>45839</v>
      </c>
      <c r="AK520" s="8" t="str">
        <f>VLOOKUP(RawSalesTable[[#This Row],[Customer_ID_clean]],CustomersTable[],4,FALSE)</f>
        <v>Manitoba</v>
      </c>
    </row>
    <row r="521" spans="1:37">
      <c r="A521" t="s">
        <v>948</v>
      </c>
      <c r="B521" s="3">
        <v>45973</v>
      </c>
      <c r="C521" t="s">
        <v>491</v>
      </c>
      <c r="D521" t="s">
        <v>85</v>
      </c>
      <c r="E521" t="s">
        <v>492</v>
      </c>
      <c r="F521" t="s">
        <v>145</v>
      </c>
      <c r="G521" t="s">
        <v>130</v>
      </c>
      <c r="H521" t="s">
        <v>97</v>
      </c>
      <c r="I521">
        <v>3</v>
      </c>
      <c r="J521" s="2">
        <v>324.2</v>
      </c>
      <c r="K521" s="4">
        <v>0.25</v>
      </c>
      <c r="L521" t="s">
        <v>253</v>
      </c>
      <c r="M521">
        <v>3</v>
      </c>
      <c r="N521" t="s">
        <v>91</v>
      </c>
      <c r="O521" t="str">
        <f>SUBSTITUTE(PROPER(TRIM(RawSalesTable[[#This Row],[Channel_Raw]])), "Market Place", "Marketplace")</f>
        <v>Retail Store</v>
      </c>
      <c r="P521" t="str">
        <f>TRIM(RawSalesTable[[#This Row],[Store_Raw]])</f>
        <v>Calgary North</v>
      </c>
      <c r="Q521" t="str">
        <f>IF(TRIM(RawSalesTable[[#This Row],[Payment_Method_Raw]])="","Non renseigné",SUBSTITUTE(TRIM(RawSalesTable[[#This Row],[Payment_Method_Raw]]),"CC","Credit Card"))</f>
        <v>Credit Card</v>
      </c>
      <c r="R521" s="8" t="str">
        <f>UPPER(PROPER(RawSalesTable[[#This Row],[Customer_ID]]))</f>
        <v>C0045</v>
      </c>
      <c r="S521" s="8" t="str">
        <f>TRIM(LEFT(RawSalesTable[[#This Row],[Customer_Info]],FIND(",",RawSalesTable[[#This Row],[Customer_Info]]) -1))</f>
        <v>Lucas Chen</v>
      </c>
      <c r="T521" s="8" t="str">
        <f>TRIM(MID(RawSalesTable[[#This Row],[Customer_Info]],FIND(",",RawSalesTable[[#This Row],[Customer_Info]])+1,FIND(",",RawSalesTable[[#This Row],[Customer_Info]],FIND(",",RawSalesTable[[#This Row],[Customer_Info]])+1)-FIND(",",RawSalesTable[[#This Row],[Customer_Info]])-1))</f>
        <v>Ottawa</v>
      </c>
      <c r="U521" s="8" t="str">
        <f>TRIM(RIGHT(RawSalesTable[[#This Row],[Customer_Info]], LEN(RawSalesTable[[#This Row],[Customer_Info]])-FIND(",",RawSalesTable[[#This Row],[Customer_Info]],FIND(",",RawSalesTable[[#This Row],[Customer_Info]])+1)))</f>
        <v>Corporate</v>
      </c>
      <c r="V521" s="8" t="str">
        <f>VLOOKUP(RawSalesTable[[#This Row],[Product_ID]],ProductsTable[],2,FALSE)</f>
        <v>Yoga Mat</v>
      </c>
      <c r="W521" s="8" t="str">
        <f>VLOOKUP(RawSalesTable[[#This Row],[Product_ID]],ProductsTable[],3,FALSE)</f>
        <v>Fitness</v>
      </c>
      <c r="X521" s="8">
        <f>VLOOKUP(RawSalesTable[[#This Row],[Product_ID]],ProductsTable[],5,FALSE)</f>
        <v>197.33</v>
      </c>
      <c r="Y521" s="8">
        <f>RawSalesTable[[#This Row],[Quantity]]*RawSalesTable[[#This Row],[Unit_Price]]</f>
        <v>972.59999999999991</v>
      </c>
      <c r="Z521" s="8">
        <f>RawSalesTable[[#This Row],[Gross_Sales]]*RawSalesTable[[#This Row],[Discount_Pct]]</f>
        <v>243.14999999999998</v>
      </c>
      <c r="AA521" s="8">
        <f>RawSalesTable[[#This Row],[Gross_Sales]]-RawSalesTable[[#This Row],[Discount_Amount]]</f>
        <v>729.44999999999993</v>
      </c>
      <c r="AB521" s="8">
        <f>RawSalesTable[[#This Row],[Unit_Cost]]*RawSalesTable[[#This Row],[Quantity]]</f>
        <v>591.99</v>
      </c>
      <c r="AC521" s="8">
        <f>RawSalesTable[[#This Row],[Net_Sales]]-RawSalesTable[[#This Row],[Total_Cost]]</f>
        <v>137.45999999999992</v>
      </c>
      <c r="AD521" s="9">
        <f>RawSalesTable[[#This Row],[Profit]]/RawSalesTable[[#This Row],[Net_Sales]]</f>
        <v>0.18844334772773999</v>
      </c>
      <c r="AE521" s="8">
        <f>IF(RawSalesTable[[#This Row],[Return_Status]]="Yes",1,0)</f>
        <v>0</v>
      </c>
      <c r="AF521" s="8">
        <f>YEAR(RawSalesTable[[#This Row],[Order_Date]])</f>
        <v>2025</v>
      </c>
      <c r="AG521" s="8">
        <f>MONTH(RawSalesTable[[#This Row],[Order_Date]])</f>
        <v>11</v>
      </c>
      <c r="AH521" s="8" t="str">
        <f>TEXT(RawSalesTable[[#This Row],[Order_Date]],"mmmm")</f>
        <v>novembre</v>
      </c>
      <c r="AI521" s="8" t="str">
        <f>IF(RawSalesTable[[#This Row],[Month_Number]]&lt;=3,"Q1",IF(RawSalesTable[[#This Row],[Month_Number]]&lt;=6,"Q2",IF(RawSalesTable[[#This Row],[Month_Number]]&lt;=9,"Q3","Q4")))</f>
        <v>Q4</v>
      </c>
      <c r="AJ521" s="13">
        <f>DATE(YEAR(RawSalesTable[[#This Row],[Order_Date]]),MONTH(RawSalesTable[[#This Row],[Order_Date]]),1)</f>
        <v>45962</v>
      </c>
      <c r="AK521" s="8" t="str">
        <f>VLOOKUP(RawSalesTable[[#This Row],[Customer_ID_clean]],CustomersTable[],4,FALSE)</f>
        <v>Ontario</v>
      </c>
    </row>
    <row r="522" spans="1:37">
      <c r="A522" t="s">
        <v>949</v>
      </c>
      <c r="B522" s="3">
        <v>45687</v>
      </c>
      <c r="C522" t="s">
        <v>257</v>
      </c>
      <c r="D522" t="s">
        <v>226</v>
      </c>
      <c r="E522" t="s">
        <v>950</v>
      </c>
      <c r="F522" t="s">
        <v>145</v>
      </c>
      <c r="G522" t="s">
        <v>88</v>
      </c>
      <c r="H522" t="s">
        <v>97</v>
      </c>
      <c r="I522">
        <v>1</v>
      </c>
      <c r="J522" s="2">
        <v>226.49</v>
      </c>
      <c r="K522" s="4">
        <v>0.1</v>
      </c>
      <c r="L522" t="s">
        <v>106</v>
      </c>
      <c r="M522">
        <v>0</v>
      </c>
      <c r="N522" t="s">
        <v>91</v>
      </c>
      <c r="O522" t="str">
        <f>SUBSTITUTE(PROPER(TRIM(RawSalesTable[[#This Row],[Channel_Raw]])), "Market Place", "Marketplace")</f>
        <v>Retail Store</v>
      </c>
      <c r="P522" t="str">
        <f>TRIM(RawSalesTable[[#This Row],[Store_Raw]])</f>
        <v>Calgary North</v>
      </c>
      <c r="Q522" t="str">
        <f>IF(TRIM(RawSalesTable[[#This Row],[Payment_Method_Raw]])="","Non renseigné",SUBSTITUTE(TRIM(RawSalesTable[[#This Row],[Payment_Method_Raw]]),"CC","Credit Card"))</f>
        <v>Credit Card</v>
      </c>
      <c r="R522" s="8" t="str">
        <f>UPPER(PROPER(RawSalesTable[[#This Row],[Customer_ID]]))</f>
        <v>C0068</v>
      </c>
      <c r="S522" s="8" t="str">
        <f>TRIM(LEFT(RawSalesTable[[#This Row],[Customer_Info]],FIND(",",RawSalesTable[[#This Row],[Customer_Info]]) -1))</f>
        <v>Yasmine Martin</v>
      </c>
      <c r="T522" s="8" t="str">
        <f>TRIM(MID(RawSalesTable[[#This Row],[Customer_Info]],FIND(",",RawSalesTable[[#This Row],[Customer_Info]])+1,FIND(",",RawSalesTable[[#This Row],[Customer_Info]],FIND(",",RawSalesTable[[#This Row],[Customer_Info]])+1)-FIND(",",RawSalesTable[[#This Row],[Customer_Info]])-1))</f>
        <v>Calgary</v>
      </c>
      <c r="U522" s="8" t="str">
        <f>TRIM(RIGHT(RawSalesTable[[#This Row],[Customer_Info]], LEN(RawSalesTable[[#This Row],[Customer_Info]])-FIND(",",RawSalesTable[[#This Row],[Customer_Info]],FIND(",",RawSalesTable[[#This Row],[Customer_Info]])+1)))</f>
        <v>Consumer</v>
      </c>
      <c r="V522" s="8" t="str">
        <f>VLOOKUP(RawSalesTable[[#This Row],[Product_ID]],ProductsTable[],2,FALSE)</f>
        <v>Desk Lamp</v>
      </c>
      <c r="W522" s="8" t="str">
        <f>VLOOKUP(RawSalesTable[[#This Row],[Product_ID]],ProductsTable[],3,FALSE)</f>
        <v>Office</v>
      </c>
      <c r="X522" s="8">
        <f>VLOOKUP(RawSalesTable[[#This Row],[Product_ID]],ProductsTable[],5,FALSE)</f>
        <v>127.21</v>
      </c>
      <c r="Y522" s="8">
        <f>RawSalesTable[[#This Row],[Quantity]]*RawSalesTable[[#This Row],[Unit_Price]]</f>
        <v>226.49</v>
      </c>
      <c r="Z522" s="8">
        <f>RawSalesTable[[#This Row],[Gross_Sales]]*RawSalesTable[[#This Row],[Discount_Pct]]</f>
        <v>22.649000000000001</v>
      </c>
      <c r="AA522" s="8">
        <f>RawSalesTable[[#This Row],[Gross_Sales]]-RawSalesTable[[#This Row],[Discount_Amount]]</f>
        <v>203.84100000000001</v>
      </c>
      <c r="AB522" s="8">
        <f>RawSalesTable[[#This Row],[Unit_Cost]]*RawSalesTable[[#This Row],[Quantity]]</f>
        <v>127.21</v>
      </c>
      <c r="AC522" s="8">
        <f>RawSalesTable[[#This Row],[Net_Sales]]-RawSalesTable[[#This Row],[Total_Cost]]</f>
        <v>76.631000000000014</v>
      </c>
      <c r="AD522" s="9">
        <f>RawSalesTable[[#This Row],[Profit]]/RawSalesTable[[#This Row],[Net_Sales]]</f>
        <v>0.37593516515323222</v>
      </c>
      <c r="AE522" s="8">
        <f>IF(RawSalesTable[[#This Row],[Return_Status]]="Yes",1,0)</f>
        <v>0</v>
      </c>
      <c r="AF522" s="8">
        <f>YEAR(RawSalesTable[[#This Row],[Order_Date]])</f>
        <v>2025</v>
      </c>
      <c r="AG522" s="8">
        <f>MONTH(RawSalesTable[[#This Row],[Order_Date]])</f>
        <v>1</v>
      </c>
      <c r="AH522" s="8" t="str">
        <f>TEXT(RawSalesTable[[#This Row],[Order_Date]],"mmmm")</f>
        <v>janvier</v>
      </c>
      <c r="AI522" s="8" t="str">
        <f>IF(RawSalesTable[[#This Row],[Month_Number]]&lt;=3,"Q1",IF(RawSalesTable[[#This Row],[Month_Number]]&lt;=6,"Q2",IF(RawSalesTable[[#This Row],[Month_Number]]&lt;=9,"Q3","Q4")))</f>
        <v>Q1</v>
      </c>
      <c r="AJ522" s="13">
        <f>DATE(YEAR(RawSalesTable[[#This Row],[Order_Date]]),MONTH(RawSalesTable[[#This Row],[Order_Date]]),1)</f>
        <v>45658</v>
      </c>
      <c r="AK522" s="8" t="str">
        <f>VLOOKUP(RawSalesTable[[#This Row],[Customer_ID_clean]],CustomersTable[],4,FALSE)</f>
        <v>Alberta</v>
      </c>
    </row>
    <row r="523" spans="1:37">
      <c r="A523" t="s">
        <v>951</v>
      </c>
      <c r="B523" s="3">
        <v>45973</v>
      </c>
      <c r="C523" t="s">
        <v>108</v>
      </c>
      <c r="D523" t="s">
        <v>181</v>
      </c>
      <c r="E523" t="s">
        <v>110</v>
      </c>
      <c r="F523" t="s">
        <v>111</v>
      </c>
      <c r="G523" t="s">
        <v>130</v>
      </c>
      <c r="H523" t="s">
        <v>97</v>
      </c>
      <c r="I523">
        <v>4</v>
      </c>
      <c r="J523" s="2">
        <v>374.13</v>
      </c>
      <c r="K523" s="4">
        <v>0.05</v>
      </c>
      <c r="L523" t="s">
        <v>106</v>
      </c>
      <c r="M523">
        <v>0</v>
      </c>
      <c r="N523" t="s">
        <v>91</v>
      </c>
      <c r="O523" t="str">
        <f>SUBSTITUTE(PROPER(TRIM(RawSalesTable[[#This Row],[Channel_Raw]])), "Market Place", "Marketplace")</f>
        <v>Retail Store</v>
      </c>
      <c r="P523" t="str">
        <f>TRIM(RawSalesTable[[#This Row],[Store_Raw]])</f>
        <v>Montreal Central</v>
      </c>
      <c r="Q523" t="str">
        <f>IF(TRIM(RawSalesTable[[#This Row],[Payment_Method_Raw]])="","Non renseigné",SUBSTITUTE(TRIM(RawSalesTable[[#This Row],[Payment_Method_Raw]]),"CC","Credit Card"))</f>
        <v>Credit Card</v>
      </c>
      <c r="R523" s="8" t="str">
        <f>UPPER(PROPER(RawSalesTable[[#This Row],[Customer_ID]]))</f>
        <v>C0071</v>
      </c>
      <c r="S523" s="8" t="str">
        <f>TRIM(LEFT(RawSalesTable[[#This Row],[Customer_Info]],FIND(",",RawSalesTable[[#This Row],[Customer_Info]]) -1))</f>
        <v>Ethan Lee</v>
      </c>
      <c r="T523" s="8" t="str">
        <f>TRIM(MID(RawSalesTable[[#This Row],[Customer_Info]],FIND(",",RawSalesTable[[#This Row],[Customer_Info]])+1,FIND(",",RawSalesTable[[#This Row],[Customer_Info]],FIND(",",RawSalesTable[[#This Row],[Customer_Info]])+1)-FIND(",",RawSalesTable[[#This Row],[Customer_Info]])-1))</f>
        <v>Surrey</v>
      </c>
      <c r="U523" s="8" t="str">
        <f>TRIM(RIGHT(RawSalesTable[[#This Row],[Customer_Info]], LEN(RawSalesTable[[#This Row],[Customer_Info]])-FIND(",",RawSalesTable[[#This Row],[Customer_Info]],FIND(",",RawSalesTable[[#This Row],[Customer_Info]])+1)))</f>
        <v>Consumer</v>
      </c>
      <c r="V523" s="8" t="str">
        <f>VLOOKUP(RawSalesTable[[#This Row],[Product_ID]],ProductsTable[],2,FALSE)</f>
        <v>Monitor</v>
      </c>
      <c r="W523" s="8" t="str">
        <f>VLOOKUP(RawSalesTable[[#This Row],[Product_ID]],ProductsTable[],3,FALSE)</f>
        <v>Electronics</v>
      </c>
      <c r="X523" s="8">
        <f>VLOOKUP(RawSalesTable[[#This Row],[Product_ID]],ProductsTable[],5,FALSE)</f>
        <v>224.47</v>
      </c>
      <c r="Y523" s="8">
        <f>RawSalesTable[[#This Row],[Quantity]]*RawSalesTable[[#This Row],[Unit_Price]]</f>
        <v>1496.52</v>
      </c>
      <c r="Z523" s="8">
        <f>RawSalesTable[[#This Row],[Gross_Sales]]*RawSalesTable[[#This Row],[Discount_Pct]]</f>
        <v>74.826000000000008</v>
      </c>
      <c r="AA523" s="8">
        <f>RawSalesTable[[#This Row],[Gross_Sales]]-RawSalesTable[[#This Row],[Discount_Amount]]</f>
        <v>1421.694</v>
      </c>
      <c r="AB523" s="8">
        <f>RawSalesTable[[#This Row],[Unit_Cost]]*RawSalesTable[[#This Row],[Quantity]]</f>
        <v>897.88</v>
      </c>
      <c r="AC523" s="8">
        <f>RawSalesTable[[#This Row],[Net_Sales]]-RawSalesTable[[#This Row],[Total_Cost]]</f>
        <v>523.81399999999996</v>
      </c>
      <c r="AD523" s="9">
        <f>RawSalesTable[[#This Row],[Profit]]/RawSalesTable[[#This Row],[Net_Sales]]</f>
        <v>0.36844356099132441</v>
      </c>
      <c r="AE523" s="8">
        <f>IF(RawSalesTable[[#This Row],[Return_Status]]="Yes",1,0)</f>
        <v>0</v>
      </c>
      <c r="AF523" s="8">
        <f>YEAR(RawSalesTable[[#This Row],[Order_Date]])</f>
        <v>2025</v>
      </c>
      <c r="AG523" s="8">
        <f>MONTH(RawSalesTable[[#This Row],[Order_Date]])</f>
        <v>11</v>
      </c>
      <c r="AH523" s="8" t="str">
        <f>TEXT(RawSalesTable[[#This Row],[Order_Date]],"mmmm")</f>
        <v>novembre</v>
      </c>
      <c r="AI523" s="8" t="str">
        <f>IF(RawSalesTable[[#This Row],[Month_Number]]&lt;=3,"Q1",IF(RawSalesTable[[#This Row],[Month_Number]]&lt;=6,"Q2",IF(RawSalesTable[[#This Row],[Month_Number]]&lt;=9,"Q3","Q4")))</f>
        <v>Q4</v>
      </c>
      <c r="AJ523" s="13">
        <f>DATE(YEAR(RawSalesTable[[#This Row],[Order_Date]]),MONTH(RawSalesTable[[#This Row],[Order_Date]]),1)</f>
        <v>45962</v>
      </c>
      <c r="AK523" s="8" t="str">
        <f>VLOOKUP(RawSalesTable[[#This Row],[Customer_ID_clean]],CustomersTable[],4,FALSE)</f>
        <v>British Columbia</v>
      </c>
    </row>
    <row r="524" spans="1:37">
      <c r="A524" t="s">
        <v>952</v>
      </c>
      <c r="B524" s="3">
        <v>45752</v>
      </c>
      <c r="C524" t="s">
        <v>200</v>
      </c>
      <c r="D524" t="s">
        <v>360</v>
      </c>
      <c r="E524" t="s">
        <v>201</v>
      </c>
      <c r="F524" t="s">
        <v>87</v>
      </c>
      <c r="G524" t="s">
        <v>117</v>
      </c>
      <c r="H524" t="s">
        <v>105</v>
      </c>
      <c r="I524">
        <v>2</v>
      </c>
      <c r="J524" s="2">
        <v>63.34</v>
      </c>
      <c r="K524" s="4">
        <v>0.1</v>
      </c>
      <c r="L524" t="s">
        <v>98</v>
      </c>
      <c r="M524">
        <v>6</v>
      </c>
      <c r="N524" t="s">
        <v>91</v>
      </c>
      <c r="O524" t="str">
        <f>SUBSTITUTE(PROPER(TRIM(RawSalesTable[[#This Row],[Channel_Raw]])), "Market Place", "Marketplace")</f>
        <v>Marketplace</v>
      </c>
      <c r="P524" t="str">
        <f>TRIM(RawSalesTable[[#This Row],[Store_Raw]])</f>
        <v>Online Fulfillment</v>
      </c>
      <c r="Q524" t="str">
        <f>IF(TRIM(RawSalesTable[[#This Row],[Payment_Method_Raw]])="","Non renseigné",SUBSTITUTE(TRIM(RawSalesTable[[#This Row],[Payment_Method_Raw]]),"CC","Credit Card"))</f>
        <v>Debit Card</v>
      </c>
      <c r="R524" s="8" t="str">
        <f>UPPER(PROPER(RawSalesTable[[#This Row],[Customer_ID]]))</f>
        <v>C0118</v>
      </c>
      <c r="S524" s="8" t="str">
        <f>TRIM(LEFT(RawSalesTable[[#This Row],[Customer_Info]],FIND(",",RawSalesTable[[#This Row],[Customer_Info]]) -1))</f>
        <v>Ryan Smith</v>
      </c>
      <c r="T524" s="8" t="str">
        <f>TRIM(MID(RawSalesTable[[#This Row],[Customer_Info]],FIND(",",RawSalesTable[[#This Row],[Customer_Info]])+1,FIND(",",RawSalesTable[[#This Row],[Customer_Info]],FIND(",",RawSalesTable[[#This Row],[Customer_Info]])+1)-FIND(",",RawSalesTable[[#This Row],[Customer_Info]])-1))</f>
        <v>Victoria</v>
      </c>
      <c r="U524" s="8" t="str">
        <f>TRIM(RIGHT(RawSalesTable[[#This Row],[Customer_Info]], LEN(RawSalesTable[[#This Row],[Customer_Info]])-FIND(",",RawSalesTable[[#This Row],[Customer_Info]],FIND(",",RawSalesTable[[#This Row],[Customer_Info]])+1)))</f>
        <v>Small Business</v>
      </c>
      <c r="V524" s="8" t="str">
        <f>VLOOKUP(RawSalesTable[[#This Row],[Product_ID]],ProductsTable[],2,FALSE)</f>
        <v>Blender</v>
      </c>
      <c r="W524" s="8" t="str">
        <f>VLOOKUP(RawSalesTable[[#This Row],[Product_ID]],ProductsTable[],3,FALSE)</f>
        <v>Home</v>
      </c>
      <c r="X524" s="8">
        <f>VLOOKUP(RawSalesTable[[#This Row],[Product_ID]],ProductsTable[],5,FALSE)</f>
        <v>37.46</v>
      </c>
      <c r="Y524" s="8">
        <f>RawSalesTable[[#This Row],[Quantity]]*RawSalesTable[[#This Row],[Unit_Price]]</f>
        <v>126.68</v>
      </c>
      <c r="Z524" s="8">
        <f>RawSalesTable[[#This Row],[Gross_Sales]]*RawSalesTable[[#This Row],[Discount_Pct]]</f>
        <v>12.668000000000001</v>
      </c>
      <c r="AA524" s="8">
        <f>RawSalesTable[[#This Row],[Gross_Sales]]-RawSalesTable[[#This Row],[Discount_Amount]]</f>
        <v>114.012</v>
      </c>
      <c r="AB524" s="8">
        <f>RawSalesTable[[#This Row],[Unit_Cost]]*RawSalesTable[[#This Row],[Quantity]]</f>
        <v>74.92</v>
      </c>
      <c r="AC524" s="8">
        <f>RawSalesTable[[#This Row],[Net_Sales]]-RawSalesTable[[#This Row],[Total_Cost]]</f>
        <v>39.091999999999999</v>
      </c>
      <c r="AD524" s="9">
        <f>RawSalesTable[[#This Row],[Profit]]/RawSalesTable[[#This Row],[Net_Sales]]</f>
        <v>0.34287618847138895</v>
      </c>
      <c r="AE524" s="8">
        <f>IF(RawSalesTable[[#This Row],[Return_Status]]="Yes",1,0)</f>
        <v>0</v>
      </c>
      <c r="AF524" s="8">
        <f>YEAR(RawSalesTable[[#This Row],[Order_Date]])</f>
        <v>2025</v>
      </c>
      <c r="AG524" s="8">
        <f>MONTH(RawSalesTable[[#This Row],[Order_Date]])</f>
        <v>4</v>
      </c>
      <c r="AH524" s="8" t="str">
        <f>TEXT(RawSalesTable[[#This Row],[Order_Date]],"mmmm")</f>
        <v>avril</v>
      </c>
      <c r="AI524" s="8" t="str">
        <f>IF(RawSalesTable[[#This Row],[Month_Number]]&lt;=3,"Q1",IF(RawSalesTable[[#This Row],[Month_Number]]&lt;=6,"Q2",IF(RawSalesTable[[#This Row],[Month_Number]]&lt;=9,"Q3","Q4")))</f>
        <v>Q2</v>
      </c>
      <c r="AJ524" s="13">
        <f>DATE(YEAR(RawSalesTable[[#This Row],[Order_Date]]),MONTH(RawSalesTable[[#This Row],[Order_Date]]),1)</f>
        <v>45748</v>
      </c>
      <c r="AK524" s="8" t="str">
        <f>VLOOKUP(RawSalesTable[[#This Row],[Customer_ID_clean]],CustomersTable[],4,FALSE)</f>
        <v>British Columbia</v>
      </c>
    </row>
    <row r="525" spans="1:37">
      <c r="A525" t="s">
        <v>953</v>
      </c>
      <c r="B525" s="3">
        <v>45938</v>
      </c>
      <c r="C525" t="s">
        <v>209</v>
      </c>
      <c r="D525" t="s">
        <v>114</v>
      </c>
      <c r="E525" t="s">
        <v>211</v>
      </c>
      <c r="F525" t="s">
        <v>116</v>
      </c>
      <c r="G525" t="s">
        <v>96</v>
      </c>
      <c r="H525" t="s">
        <v>97</v>
      </c>
      <c r="I525">
        <v>3</v>
      </c>
      <c r="J525" s="2">
        <v>140.27000000000001</v>
      </c>
      <c r="K525" s="4">
        <v>0.15</v>
      </c>
      <c r="L525" t="s">
        <v>98</v>
      </c>
      <c r="M525">
        <v>4</v>
      </c>
      <c r="N525" t="s">
        <v>91</v>
      </c>
      <c r="O525" t="str">
        <f>SUBSTITUTE(PROPER(TRIM(RawSalesTable[[#This Row],[Channel_Raw]])), "Market Place", "Marketplace")</f>
        <v>Retail Store</v>
      </c>
      <c r="P525" t="str">
        <f>TRIM(RawSalesTable[[#This Row],[Store_Raw]])</f>
        <v>Toronto Downtown</v>
      </c>
      <c r="Q525" t="str">
        <f>IF(TRIM(RawSalesTable[[#This Row],[Payment_Method_Raw]])="","Non renseigné",SUBSTITUTE(TRIM(RawSalesTable[[#This Row],[Payment_Method_Raw]]),"CC","Credit Card"))</f>
        <v>Debit Card</v>
      </c>
      <c r="R525" s="8" t="str">
        <f>UPPER(PROPER(RawSalesTable[[#This Row],[Customer_ID]]))</f>
        <v>C0005</v>
      </c>
      <c r="S525" s="8" t="str">
        <f>TRIM(LEFT(RawSalesTable[[#This Row],[Customer_Info]],FIND(",",RawSalesTable[[#This Row],[Customer_Info]]) -1))</f>
        <v>Yasmine Taylor</v>
      </c>
      <c r="T525" s="8" t="str">
        <f>TRIM(MID(RawSalesTable[[#This Row],[Customer_Info]],FIND(",",RawSalesTable[[#This Row],[Customer_Info]])+1,FIND(",",RawSalesTable[[#This Row],[Customer_Info]],FIND(",",RawSalesTable[[#This Row],[Customer_Info]])+1)-FIND(",",RawSalesTable[[#This Row],[Customer_Info]])-1))</f>
        <v>Calgary</v>
      </c>
      <c r="U525" s="8" t="str">
        <f>TRIM(RIGHT(RawSalesTable[[#This Row],[Customer_Info]], LEN(RawSalesTable[[#This Row],[Customer_Info]])-FIND(",",RawSalesTable[[#This Row],[Customer_Info]],FIND(",",RawSalesTable[[#This Row],[Customer_Info]])+1)))</f>
        <v>Consumer</v>
      </c>
      <c r="V525" s="8" t="str">
        <f>VLOOKUP(RawSalesTable[[#This Row],[Product_ID]],ProductsTable[],2,FALSE)</f>
        <v>Laptop Sleeve</v>
      </c>
      <c r="W525" s="8" t="str">
        <f>VLOOKUP(RawSalesTable[[#This Row],[Product_ID]],ProductsTable[],3,FALSE)</f>
        <v>Accessories</v>
      </c>
      <c r="X525" s="8">
        <f>VLOOKUP(RawSalesTable[[#This Row],[Product_ID]],ProductsTable[],5,FALSE)</f>
        <v>78.95</v>
      </c>
      <c r="Y525" s="8">
        <f>RawSalesTable[[#This Row],[Quantity]]*RawSalesTable[[#This Row],[Unit_Price]]</f>
        <v>420.81000000000006</v>
      </c>
      <c r="Z525" s="8">
        <f>RawSalesTable[[#This Row],[Gross_Sales]]*RawSalesTable[[#This Row],[Discount_Pct]]</f>
        <v>63.121500000000005</v>
      </c>
      <c r="AA525" s="8">
        <f>RawSalesTable[[#This Row],[Gross_Sales]]-RawSalesTable[[#This Row],[Discount_Amount]]</f>
        <v>357.68850000000003</v>
      </c>
      <c r="AB525" s="8">
        <f>RawSalesTable[[#This Row],[Unit_Cost]]*RawSalesTable[[#This Row],[Quantity]]</f>
        <v>236.85000000000002</v>
      </c>
      <c r="AC525" s="8">
        <f>RawSalesTable[[#This Row],[Net_Sales]]-RawSalesTable[[#This Row],[Total_Cost]]</f>
        <v>120.83850000000001</v>
      </c>
      <c r="AD525" s="9">
        <f>RawSalesTable[[#This Row],[Profit]]/RawSalesTable[[#This Row],[Net_Sales]]</f>
        <v>0.33783166078864713</v>
      </c>
      <c r="AE525" s="8">
        <f>IF(RawSalesTable[[#This Row],[Return_Status]]="Yes",1,0)</f>
        <v>0</v>
      </c>
      <c r="AF525" s="8">
        <f>YEAR(RawSalesTable[[#This Row],[Order_Date]])</f>
        <v>2025</v>
      </c>
      <c r="AG525" s="8">
        <f>MONTH(RawSalesTable[[#This Row],[Order_Date]])</f>
        <v>10</v>
      </c>
      <c r="AH525" s="8" t="str">
        <f>TEXT(RawSalesTable[[#This Row],[Order_Date]],"mmmm")</f>
        <v>octobre</v>
      </c>
      <c r="AI525" s="8" t="str">
        <f>IF(RawSalesTable[[#This Row],[Month_Number]]&lt;=3,"Q1",IF(RawSalesTable[[#This Row],[Month_Number]]&lt;=6,"Q2",IF(RawSalesTable[[#This Row],[Month_Number]]&lt;=9,"Q3","Q4")))</f>
        <v>Q4</v>
      </c>
      <c r="AJ525" s="13">
        <f>DATE(YEAR(RawSalesTable[[#This Row],[Order_Date]]),MONTH(RawSalesTable[[#This Row],[Order_Date]]),1)</f>
        <v>45931</v>
      </c>
      <c r="AK525" s="8" t="str">
        <f>VLOOKUP(RawSalesTable[[#This Row],[Customer_ID_clean]],CustomersTable[],4,FALSE)</f>
        <v>Alberta</v>
      </c>
    </row>
    <row r="526" spans="1:37">
      <c r="A526" t="s">
        <v>954</v>
      </c>
      <c r="B526" s="3">
        <v>45666</v>
      </c>
      <c r="C526" t="s">
        <v>366</v>
      </c>
      <c r="D526" t="s">
        <v>165</v>
      </c>
      <c r="E526" t="s">
        <v>367</v>
      </c>
      <c r="F526" t="s">
        <v>103</v>
      </c>
      <c r="G526" t="s">
        <v>122</v>
      </c>
      <c r="H526" t="s">
        <v>89</v>
      </c>
      <c r="I526">
        <v>3</v>
      </c>
      <c r="J526" s="2">
        <v>101.4</v>
      </c>
      <c r="K526" s="4">
        <v>0.1</v>
      </c>
      <c r="L526" t="s">
        <v>90</v>
      </c>
      <c r="M526">
        <v>4</v>
      </c>
      <c r="N526" t="s">
        <v>91</v>
      </c>
      <c r="O526" t="str">
        <f>SUBSTITUTE(PROPER(TRIM(RawSalesTable[[#This Row],[Channel_Raw]])), "Market Place", "Marketplace")</f>
        <v>Online</v>
      </c>
      <c r="P526" t="str">
        <f>TRIM(RawSalesTable[[#This Row],[Store_Raw]])</f>
        <v>Vancouver West</v>
      </c>
      <c r="Q526" t="str">
        <f>IF(TRIM(RawSalesTable[[#This Row],[Payment_Method_Raw]])="","Non renseigné",SUBSTITUTE(TRIM(RawSalesTable[[#This Row],[Payment_Method_Raw]]),"CC","Credit Card"))</f>
        <v>PayPal</v>
      </c>
      <c r="R526" s="8" t="str">
        <f>UPPER(PROPER(RawSalesTable[[#This Row],[Customer_ID]]))</f>
        <v>C0117</v>
      </c>
      <c r="S526" s="8" t="str">
        <f>TRIM(LEFT(RawSalesTable[[#This Row],[Customer_Info]],FIND(",",RawSalesTable[[#This Row],[Customer_Info]]) -1))</f>
        <v>Ethan Hall</v>
      </c>
      <c r="T526" s="8" t="str">
        <f>TRIM(MID(RawSalesTable[[#This Row],[Customer_Info]],FIND(",",RawSalesTable[[#This Row],[Customer_Info]])+1,FIND(",",RawSalesTable[[#This Row],[Customer_Info]],FIND(",",RawSalesTable[[#This Row],[Customer_Info]])+1)-FIND(",",RawSalesTable[[#This Row],[Customer_Info]])-1))</f>
        <v>Vancouver</v>
      </c>
      <c r="U526" s="8" t="str">
        <f>TRIM(RIGHT(RawSalesTable[[#This Row],[Customer_Info]], LEN(RawSalesTable[[#This Row],[Customer_Info]])-FIND(",",RawSalesTable[[#This Row],[Customer_Info]],FIND(",",RawSalesTable[[#This Row],[Customer_Info]])+1)))</f>
        <v>Consumer</v>
      </c>
      <c r="V526" s="8" t="str">
        <f>VLOOKUP(RawSalesTable[[#This Row],[Product_ID]],ProductsTable[],2,FALSE)</f>
        <v>Food Scale</v>
      </c>
      <c r="W526" s="8" t="str">
        <f>VLOOKUP(RawSalesTable[[#This Row],[Product_ID]],ProductsTable[],3,FALSE)</f>
        <v>Home</v>
      </c>
      <c r="X526" s="8">
        <f>VLOOKUP(RawSalesTable[[#This Row],[Product_ID]],ProductsTable[],5,FALSE)</f>
        <v>46.07</v>
      </c>
      <c r="Y526" s="8">
        <f>RawSalesTable[[#This Row],[Quantity]]*RawSalesTable[[#This Row],[Unit_Price]]</f>
        <v>304.20000000000005</v>
      </c>
      <c r="Z526" s="8">
        <f>RawSalesTable[[#This Row],[Gross_Sales]]*RawSalesTable[[#This Row],[Discount_Pct]]</f>
        <v>30.420000000000005</v>
      </c>
      <c r="AA526" s="8">
        <f>RawSalesTable[[#This Row],[Gross_Sales]]-RawSalesTable[[#This Row],[Discount_Amount]]</f>
        <v>273.78000000000003</v>
      </c>
      <c r="AB526" s="8">
        <f>RawSalesTable[[#This Row],[Unit_Cost]]*RawSalesTable[[#This Row],[Quantity]]</f>
        <v>138.21</v>
      </c>
      <c r="AC526" s="8">
        <f>RawSalesTable[[#This Row],[Net_Sales]]-RawSalesTable[[#This Row],[Total_Cost]]</f>
        <v>135.57000000000002</v>
      </c>
      <c r="AD526" s="9">
        <f>RawSalesTable[[#This Row],[Profit]]/RawSalesTable[[#This Row],[Net_Sales]]</f>
        <v>0.49517861056322598</v>
      </c>
      <c r="AE526" s="8">
        <f>IF(RawSalesTable[[#This Row],[Return_Status]]="Yes",1,0)</f>
        <v>0</v>
      </c>
      <c r="AF526" s="8">
        <f>YEAR(RawSalesTable[[#This Row],[Order_Date]])</f>
        <v>2025</v>
      </c>
      <c r="AG526" s="8">
        <f>MONTH(RawSalesTable[[#This Row],[Order_Date]])</f>
        <v>1</v>
      </c>
      <c r="AH526" s="8" t="str">
        <f>TEXT(RawSalesTable[[#This Row],[Order_Date]],"mmmm")</f>
        <v>janvier</v>
      </c>
      <c r="AI526" s="8" t="str">
        <f>IF(RawSalesTable[[#This Row],[Month_Number]]&lt;=3,"Q1",IF(RawSalesTable[[#This Row],[Month_Number]]&lt;=6,"Q2",IF(RawSalesTable[[#This Row],[Month_Number]]&lt;=9,"Q3","Q4")))</f>
        <v>Q1</v>
      </c>
      <c r="AJ526" s="13">
        <f>DATE(YEAR(RawSalesTable[[#This Row],[Order_Date]]),MONTH(RawSalesTable[[#This Row],[Order_Date]]),1)</f>
        <v>45658</v>
      </c>
      <c r="AK526" s="8" t="str">
        <f>VLOOKUP(RawSalesTable[[#This Row],[Customer_ID_clean]],CustomersTable[],4,FALSE)</f>
        <v>British Columbia</v>
      </c>
    </row>
    <row r="527" spans="1:37">
      <c r="A527" t="s">
        <v>955</v>
      </c>
      <c r="B527" s="3">
        <v>45661</v>
      </c>
      <c r="C527" t="s">
        <v>448</v>
      </c>
      <c r="D527" t="s">
        <v>139</v>
      </c>
      <c r="E527" t="s">
        <v>790</v>
      </c>
      <c r="F527" t="s">
        <v>111</v>
      </c>
      <c r="G527" t="s">
        <v>130</v>
      </c>
      <c r="H527" t="s">
        <v>97</v>
      </c>
      <c r="I527">
        <v>4</v>
      </c>
      <c r="J527" s="2">
        <v>86.59</v>
      </c>
      <c r="K527" s="4">
        <v>0.05</v>
      </c>
      <c r="L527" t="s">
        <v>106</v>
      </c>
      <c r="M527">
        <v>0</v>
      </c>
      <c r="N527" t="s">
        <v>91</v>
      </c>
      <c r="O527" t="str">
        <f>SUBSTITUTE(PROPER(TRIM(RawSalesTable[[#This Row],[Channel_Raw]])), "Market Place", "Marketplace")</f>
        <v>Retail Store</v>
      </c>
      <c r="P527" t="str">
        <f>TRIM(RawSalesTable[[#This Row],[Store_Raw]])</f>
        <v>Montreal Central</v>
      </c>
      <c r="Q527" t="str">
        <f>IF(TRIM(RawSalesTable[[#This Row],[Payment_Method_Raw]])="","Non renseigné",SUBSTITUTE(TRIM(RawSalesTable[[#This Row],[Payment_Method_Raw]]),"CC","Credit Card"))</f>
        <v>Credit Card</v>
      </c>
      <c r="R527" s="8" t="str">
        <f>UPPER(PROPER(RawSalesTable[[#This Row],[Customer_ID]]))</f>
        <v>C0074</v>
      </c>
      <c r="S527" s="8" t="str">
        <f>TRIM(LEFT(RawSalesTable[[#This Row],[Customer_Info]],FIND(",",RawSalesTable[[#This Row],[Customer_Info]]) -1))</f>
        <v>Sophia Chen</v>
      </c>
      <c r="T527" s="8" t="str">
        <f>TRIM(MID(RawSalesTable[[#This Row],[Customer_Info]],FIND(",",RawSalesTable[[#This Row],[Customer_Info]])+1,FIND(",",RawSalesTable[[#This Row],[Customer_Info]],FIND(",",RawSalesTable[[#This Row],[Customer_Info]])+1)-FIND(",",RawSalesTable[[#This Row],[Customer_Info]])-1))</f>
        <v>Vancouver</v>
      </c>
      <c r="U527" s="8" t="str">
        <f>TRIM(RIGHT(RawSalesTable[[#This Row],[Customer_Info]], LEN(RawSalesTable[[#This Row],[Customer_Info]])-FIND(",",RawSalesTable[[#This Row],[Customer_Info]],FIND(",",RawSalesTable[[#This Row],[Customer_Info]])+1)))</f>
        <v>Corporate</v>
      </c>
      <c r="V527" s="8" t="str">
        <f>VLOOKUP(RawSalesTable[[#This Row],[Product_ID]],ProductsTable[],2,FALSE)</f>
        <v>Standing Desk</v>
      </c>
      <c r="W527" s="8" t="str">
        <f>VLOOKUP(RawSalesTable[[#This Row],[Product_ID]],ProductsTable[],3,FALSE)</f>
        <v>Office</v>
      </c>
      <c r="X527" s="8">
        <f>VLOOKUP(RawSalesTable[[#This Row],[Product_ID]],ProductsTable[],5,FALSE)</f>
        <v>45.17</v>
      </c>
      <c r="Y527" s="8">
        <f>RawSalesTable[[#This Row],[Quantity]]*RawSalesTable[[#This Row],[Unit_Price]]</f>
        <v>346.36</v>
      </c>
      <c r="Z527" s="8">
        <f>RawSalesTable[[#This Row],[Gross_Sales]]*RawSalesTable[[#This Row],[Discount_Pct]]</f>
        <v>17.318000000000001</v>
      </c>
      <c r="AA527" s="8">
        <f>RawSalesTable[[#This Row],[Gross_Sales]]-RawSalesTable[[#This Row],[Discount_Amount]]</f>
        <v>329.04200000000003</v>
      </c>
      <c r="AB527" s="8">
        <f>RawSalesTable[[#This Row],[Unit_Cost]]*RawSalesTable[[#This Row],[Quantity]]</f>
        <v>180.68</v>
      </c>
      <c r="AC527" s="8">
        <f>RawSalesTable[[#This Row],[Net_Sales]]-RawSalesTable[[#This Row],[Total_Cost]]</f>
        <v>148.36200000000002</v>
      </c>
      <c r="AD527" s="9">
        <f>RawSalesTable[[#This Row],[Profit]]/RawSalesTable[[#This Row],[Net_Sales]]</f>
        <v>0.45089076774393544</v>
      </c>
      <c r="AE527" s="8">
        <f>IF(RawSalesTable[[#This Row],[Return_Status]]="Yes",1,0)</f>
        <v>0</v>
      </c>
      <c r="AF527" s="8">
        <f>YEAR(RawSalesTable[[#This Row],[Order_Date]])</f>
        <v>2025</v>
      </c>
      <c r="AG527" s="8">
        <f>MONTH(RawSalesTable[[#This Row],[Order_Date]])</f>
        <v>1</v>
      </c>
      <c r="AH527" s="8" t="str">
        <f>TEXT(RawSalesTable[[#This Row],[Order_Date]],"mmmm")</f>
        <v>janvier</v>
      </c>
      <c r="AI527" s="8" t="str">
        <f>IF(RawSalesTable[[#This Row],[Month_Number]]&lt;=3,"Q1",IF(RawSalesTable[[#This Row],[Month_Number]]&lt;=6,"Q2",IF(RawSalesTable[[#This Row],[Month_Number]]&lt;=9,"Q3","Q4")))</f>
        <v>Q1</v>
      </c>
      <c r="AJ527" s="13">
        <f>DATE(YEAR(RawSalesTable[[#This Row],[Order_Date]]),MONTH(RawSalesTable[[#This Row],[Order_Date]]),1)</f>
        <v>45658</v>
      </c>
      <c r="AK527" s="8" t="str">
        <f>VLOOKUP(RawSalesTable[[#This Row],[Customer_ID_clean]],CustomersTable[],4,FALSE)</f>
        <v>British Columbia</v>
      </c>
    </row>
    <row r="528" spans="1:37">
      <c r="A528" t="s">
        <v>957</v>
      </c>
      <c r="B528" s="3">
        <v>45730</v>
      </c>
      <c r="C528" t="s">
        <v>319</v>
      </c>
      <c r="D528" t="s">
        <v>271</v>
      </c>
      <c r="E528" t="s">
        <v>320</v>
      </c>
      <c r="F528" t="s">
        <v>116</v>
      </c>
      <c r="G528" t="s">
        <v>130</v>
      </c>
      <c r="H528" t="s">
        <v>89</v>
      </c>
      <c r="I528">
        <v>2</v>
      </c>
      <c r="J528" s="2">
        <v>222.18</v>
      </c>
      <c r="K528" s="4">
        <v>0.25</v>
      </c>
      <c r="L528" t="s">
        <v>106</v>
      </c>
      <c r="M528">
        <v>3</v>
      </c>
      <c r="N528" t="s">
        <v>91</v>
      </c>
      <c r="O528" t="str">
        <f>SUBSTITUTE(PROPER(TRIM(RawSalesTable[[#This Row],[Channel_Raw]])), "Market Place", "Marketplace")</f>
        <v>Online</v>
      </c>
      <c r="P528" t="str">
        <f>TRIM(RawSalesTable[[#This Row],[Store_Raw]])</f>
        <v>Toronto Downtown</v>
      </c>
      <c r="Q528" t="str">
        <f>IF(TRIM(RawSalesTable[[#This Row],[Payment_Method_Raw]])="","Non renseigné",SUBSTITUTE(TRIM(RawSalesTable[[#This Row],[Payment_Method_Raw]]),"CC","Credit Card"))</f>
        <v>Credit Card</v>
      </c>
      <c r="R528" s="8" t="str">
        <f>UPPER(PROPER(RawSalesTable[[#This Row],[Customer_ID]]))</f>
        <v>C0013</v>
      </c>
      <c r="S528" s="8" t="str">
        <f>TRIM(LEFT(RawSalesTable[[#This Row],[Customer_Info]],FIND(",",RawSalesTable[[#This Row],[Customer_Info]]) -1))</f>
        <v>Amelia Martin</v>
      </c>
      <c r="T528" s="8" t="str">
        <f>TRIM(MID(RawSalesTable[[#This Row],[Customer_Info]],FIND(",",RawSalesTable[[#This Row],[Customer_Info]])+1,FIND(",",RawSalesTable[[#This Row],[Customer_Info]],FIND(",",RawSalesTable[[#This Row],[Customer_Info]])+1)-FIND(",",RawSalesTable[[#This Row],[Customer_Info]])-1))</f>
        <v>Quebec City</v>
      </c>
      <c r="U528" s="8" t="str">
        <f>TRIM(RIGHT(RawSalesTable[[#This Row],[Customer_Info]], LEN(RawSalesTable[[#This Row],[Customer_Info]])-FIND(",",RawSalesTable[[#This Row],[Customer_Info]],FIND(",",RawSalesTable[[#This Row],[Customer_Info]])+1)))</f>
        <v>Small Business</v>
      </c>
      <c r="V528" s="8" t="str">
        <f>VLOOKUP(RawSalesTable[[#This Row],[Product_ID]],ProductsTable[],2,FALSE)</f>
        <v>Resistance Bands</v>
      </c>
      <c r="W528" s="8" t="str">
        <f>VLOOKUP(RawSalesTable[[#This Row],[Product_ID]],ProductsTable[],3,FALSE)</f>
        <v>Fitness</v>
      </c>
      <c r="X528" s="8">
        <f>VLOOKUP(RawSalesTable[[#This Row],[Product_ID]],ProductsTable[],5,FALSE)</f>
        <v>139.19999999999999</v>
      </c>
      <c r="Y528" s="8">
        <f>RawSalesTable[[#This Row],[Quantity]]*RawSalesTable[[#This Row],[Unit_Price]]</f>
        <v>444.36</v>
      </c>
      <c r="Z528" s="8">
        <f>RawSalesTable[[#This Row],[Gross_Sales]]*RawSalesTable[[#This Row],[Discount_Pct]]</f>
        <v>111.09</v>
      </c>
      <c r="AA528" s="8">
        <f>RawSalesTable[[#This Row],[Gross_Sales]]-RawSalesTable[[#This Row],[Discount_Amount]]</f>
        <v>333.27</v>
      </c>
      <c r="AB528" s="8">
        <f>RawSalesTable[[#This Row],[Unit_Cost]]*RawSalesTable[[#This Row],[Quantity]]</f>
        <v>278.39999999999998</v>
      </c>
      <c r="AC528" s="8">
        <f>RawSalesTable[[#This Row],[Net_Sales]]-RawSalesTable[[#This Row],[Total_Cost]]</f>
        <v>54.870000000000005</v>
      </c>
      <c r="AD528" s="9">
        <f>RawSalesTable[[#This Row],[Profit]]/RawSalesTable[[#This Row],[Net_Sales]]</f>
        <v>0.16464128184355029</v>
      </c>
      <c r="AE528" s="8">
        <f>IF(RawSalesTable[[#This Row],[Return_Status]]="Yes",1,0)</f>
        <v>0</v>
      </c>
      <c r="AF528" s="8">
        <f>YEAR(RawSalesTable[[#This Row],[Order_Date]])</f>
        <v>2025</v>
      </c>
      <c r="AG528" s="8">
        <f>MONTH(RawSalesTable[[#This Row],[Order_Date]])</f>
        <v>3</v>
      </c>
      <c r="AH528" s="8" t="str">
        <f>TEXT(RawSalesTable[[#This Row],[Order_Date]],"mmmm")</f>
        <v>mars</v>
      </c>
      <c r="AI528" s="8" t="str">
        <f>IF(RawSalesTable[[#This Row],[Month_Number]]&lt;=3,"Q1",IF(RawSalesTable[[#This Row],[Month_Number]]&lt;=6,"Q2",IF(RawSalesTable[[#This Row],[Month_Number]]&lt;=9,"Q3","Q4")))</f>
        <v>Q1</v>
      </c>
      <c r="AJ528" s="13">
        <f>DATE(YEAR(RawSalesTable[[#This Row],[Order_Date]]),MONTH(RawSalesTable[[#This Row],[Order_Date]]),1)</f>
        <v>45717</v>
      </c>
      <c r="AK528" s="8" t="str">
        <f>VLOOKUP(RawSalesTable[[#This Row],[Customer_ID_clean]],CustomersTable[],4,FALSE)</f>
        <v>Quebec</v>
      </c>
    </row>
    <row r="529" spans="1:37">
      <c r="A529" t="s">
        <v>958</v>
      </c>
      <c r="B529" s="3">
        <v>45980</v>
      </c>
      <c r="C529" t="s">
        <v>335</v>
      </c>
      <c r="D529" t="s">
        <v>217</v>
      </c>
      <c r="E529" t="s">
        <v>336</v>
      </c>
      <c r="F529" t="s">
        <v>111</v>
      </c>
      <c r="G529" t="s">
        <v>171</v>
      </c>
      <c r="H529" t="s">
        <v>89</v>
      </c>
      <c r="I529">
        <v>1</v>
      </c>
      <c r="J529" s="2">
        <v>106.25</v>
      </c>
      <c r="K529" s="4">
        <v>0.05</v>
      </c>
      <c r="L529" t="s">
        <v>504</v>
      </c>
      <c r="M529">
        <v>3</v>
      </c>
      <c r="N529" t="s">
        <v>91</v>
      </c>
      <c r="O529" t="str">
        <f>SUBSTITUTE(PROPER(TRIM(RawSalesTable[[#This Row],[Channel_Raw]])), "Market Place", "Marketplace")</f>
        <v>Online</v>
      </c>
      <c r="P529" t="str">
        <f>TRIM(RawSalesTable[[#This Row],[Store_Raw]])</f>
        <v>Montreal Central</v>
      </c>
      <c r="Q529" t="str">
        <f>IF(TRIM(RawSalesTable[[#This Row],[Payment_Method_Raw]])="","Non renseigné",SUBSTITUTE(TRIM(RawSalesTable[[#This Row],[Payment_Method_Raw]]),"CC","Credit Card"))</f>
        <v>Debit Card</v>
      </c>
      <c r="R529" s="8" t="str">
        <f>UPPER(PROPER(RawSalesTable[[#This Row],[Customer_ID]]))</f>
        <v>C0037</v>
      </c>
      <c r="S529" s="8" t="str">
        <f>TRIM(LEFT(RawSalesTable[[#This Row],[Customer_Info]],FIND(",",RawSalesTable[[#This Row],[Customer_Info]]) -1))</f>
        <v>Lucas Scott</v>
      </c>
      <c r="T529" s="8" t="str">
        <f>TRIM(MID(RawSalesTable[[#This Row],[Customer_Info]],FIND(",",RawSalesTable[[#This Row],[Customer_Info]])+1,FIND(",",RawSalesTable[[#This Row],[Customer_Info]],FIND(",",RawSalesTable[[#This Row],[Customer_Info]])+1)-FIND(",",RawSalesTable[[#This Row],[Customer_Info]])-1))</f>
        <v>Victoria</v>
      </c>
      <c r="U529" s="8" t="str">
        <f>TRIM(RIGHT(RawSalesTable[[#This Row],[Customer_Info]], LEN(RawSalesTable[[#This Row],[Customer_Info]])-FIND(",",RawSalesTable[[#This Row],[Customer_Info]],FIND(",",RawSalesTable[[#This Row],[Customer_Info]])+1)))</f>
        <v>Small Business</v>
      </c>
      <c r="V529" s="8" t="str">
        <f>VLOOKUP(RawSalesTable[[#This Row],[Product_ID]],ProductsTable[],2,FALSE)</f>
        <v>USB-C Hub</v>
      </c>
      <c r="W529" s="8" t="str">
        <f>VLOOKUP(RawSalesTable[[#This Row],[Product_ID]],ProductsTable[],3,FALSE)</f>
        <v>Electronics</v>
      </c>
      <c r="X529" s="8">
        <f>VLOOKUP(RawSalesTable[[#This Row],[Product_ID]],ProductsTable[],5,FALSE)</f>
        <v>72</v>
      </c>
      <c r="Y529" s="8">
        <f>RawSalesTable[[#This Row],[Quantity]]*RawSalesTable[[#This Row],[Unit_Price]]</f>
        <v>106.25</v>
      </c>
      <c r="Z529" s="8">
        <f>RawSalesTable[[#This Row],[Gross_Sales]]*RawSalesTable[[#This Row],[Discount_Pct]]</f>
        <v>5.3125</v>
      </c>
      <c r="AA529" s="8">
        <f>RawSalesTable[[#This Row],[Gross_Sales]]-RawSalesTable[[#This Row],[Discount_Amount]]</f>
        <v>100.9375</v>
      </c>
      <c r="AB529" s="8">
        <f>RawSalesTable[[#This Row],[Unit_Cost]]*RawSalesTable[[#This Row],[Quantity]]</f>
        <v>72</v>
      </c>
      <c r="AC529" s="8">
        <f>RawSalesTable[[#This Row],[Net_Sales]]-RawSalesTable[[#This Row],[Total_Cost]]</f>
        <v>28.9375</v>
      </c>
      <c r="AD529" s="9">
        <f>RawSalesTable[[#This Row],[Profit]]/RawSalesTable[[#This Row],[Net_Sales]]</f>
        <v>0.286687306501548</v>
      </c>
      <c r="AE529" s="8">
        <f>IF(RawSalesTable[[#This Row],[Return_Status]]="Yes",1,0)</f>
        <v>0</v>
      </c>
      <c r="AF529" s="8">
        <f>YEAR(RawSalesTable[[#This Row],[Order_Date]])</f>
        <v>2025</v>
      </c>
      <c r="AG529" s="8">
        <f>MONTH(RawSalesTable[[#This Row],[Order_Date]])</f>
        <v>11</v>
      </c>
      <c r="AH529" s="8" t="str">
        <f>TEXT(RawSalesTable[[#This Row],[Order_Date]],"mmmm")</f>
        <v>novembre</v>
      </c>
      <c r="AI529" s="8" t="str">
        <f>IF(RawSalesTable[[#This Row],[Month_Number]]&lt;=3,"Q1",IF(RawSalesTable[[#This Row],[Month_Number]]&lt;=6,"Q2",IF(RawSalesTable[[#This Row],[Month_Number]]&lt;=9,"Q3","Q4")))</f>
        <v>Q4</v>
      </c>
      <c r="AJ529" s="13">
        <f>DATE(YEAR(RawSalesTable[[#This Row],[Order_Date]]),MONTH(RawSalesTable[[#This Row],[Order_Date]]),1)</f>
        <v>45962</v>
      </c>
      <c r="AK529" s="8" t="str">
        <f>VLOOKUP(RawSalesTable[[#This Row],[Customer_ID_clean]],CustomersTable[],4,FALSE)</f>
        <v>British Columbia</v>
      </c>
    </row>
    <row r="530" spans="1:37">
      <c r="A530" t="s">
        <v>959</v>
      </c>
      <c r="B530" s="3">
        <v>45980</v>
      </c>
      <c r="C530" t="s">
        <v>93</v>
      </c>
      <c r="D530" t="s">
        <v>210</v>
      </c>
      <c r="E530" t="s">
        <v>95</v>
      </c>
      <c r="F530" t="s">
        <v>116</v>
      </c>
      <c r="G530" t="s">
        <v>117</v>
      </c>
      <c r="H530" t="s">
        <v>97</v>
      </c>
      <c r="I530">
        <v>2</v>
      </c>
      <c r="J530" s="2">
        <v>298.18</v>
      </c>
      <c r="K530" s="4">
        <v>0</v>
      </c>
      <c r="L530" t="s">
        <v>90</v>
      </c>
      <c r="M530">
        <v>1</v>
      </c>
      <c r="N530" t="s">
        <v>91</v>
      </c>
      <c r="O530" t="str">
        <f>SUBSTITUTE(PROPER(TRIM(RawSalesTable[[#This Row],[Channel_Raw]])), "Market Place", "Marketplace")</f>
        <v>Retail Store</v>
      </c>
      <c r="P530" t="str">
        <f>TRIM(RawSalesTable[[#This Row],[Store_Raw]])</f>
        <v>Toronto Downtown</v>
      </c>
      <c r="Q530" t="str">
        <f>IF(TRIM(RawSalesTable[[#This Row],[Payment_Method_Raw]])="","Non renseigné",SUBSTITUTE(TRIM(RawSalesTable[[#This Row],[Payment_Method_Raw]]),"CC","Credit Card"))</f>
        <v>PayPal</v>
      </c>
      <c r="R530" s="8" t="str">
        <f>UPPER(PROPER(RawSalesTable[[#This Row],[Customer_ID]]))</f>
        <v>C0084</v>
      </c>
      <c r="S530" s="8" t="str">
        <f>TRIM(LEFT(RawSalesTable[[#This Row],[Customer_Info]],FIND(",",RawSalesTable[[#This Row],[Customer_Info]]) -1))</f>
        <v>Ryan Clark</v>
      </c>
      <c r="T530" s="8" t="str">
        <f>TRIM(MID(RawSalesTable[[#This Row],[Customer_Info]],FIND(",",RawSalesTable[[#This Row],[Customer_Info]])+1,FIND(",",RawSalesTable[[#This Row],[Customer_Info]],FIND(",",RawSalesTable[[#This Row],[Customer_Info]])+1)-FIND(",",RawSalesTable[[#This Row],[Customer_Info]])-1))</f>
        <v>Montreal</v>
      </c>
      <c r="U530" s="8" t="str">
        <f>TRIM(RIGHT(RawSalesTable[[#This Row],[Customer_Info]], LEN(RawSalesTable[[#This Row],[Customer_Info]])-FIND(",",RawSalesTable[[#This Row],[Customer_Info]],FIND(",",RawSalesTable[[#This Row],[Customer_Info]])+1)))</f>
        <v>Corporate</v>
      </c>
      <c r="V530" s="8" t="str">
        <f>VLOOKUP(RawSalesTable[[#This Row],[Product_ID]],ProductsTable[],2,FALSE)</f>
        <v>Desk Pad</v>
      </c>
      <c r="W530" s="8" t="str">
        <f>VLOOKUP(RawSalesTable[[#This Row],[Product_ID]],ProductsTable[],3,FALSE)</f>
        <v>Accessories</v>
      </c>
      <c r="X530" s="8">
        <f>VLOOKUP(RawSalesTable[[#This Row],[Product_ID]],ProductsTable[],5,FALSE)</f>
        <v>177.57</v>
      </c>
      <c r="Y530" s="8">
        <f>RawSalesTable[[#This Row],[Quantity]]*RawSalesTable[[#This Row],[Unit_Price]]</f>
        <v>596.36</v>
      </c>
      <c r="Z530" s="8">
        <f>RawSalesTable[[#This Row],[Gross_Sales]]*RawSalesTable[[#This Row],[Discount_Pct]]</f>
        <v>0</v>
      </c>
      <c r="AA530" s="8">
        <f>RawSalesTable[[#This Row],[Gross_Sales]]-RawSalesTable[[#This Row],[Discount_Amount]]</f>
        <v>596.36</v>
      </c>
      <c r="AB530" s="8">
        <f>RawSalesTable[[#This Row],[Unit_Cost]]*RawSalesTable[[#This Row],[Quantity]]</f>
        <v>355.14</v>
      </c>
      <c r="AC530" s="8">
        <f>RawSalesTable[[#This Row],[Net_Sales]]-RawSalesTable[[#This Row],[Total_Cost]]</f>
        <v>241.22000000000003</v>
      </c>
      <c r="AD530" s="9">
        <f>RawSalesTable[[#This Row],[Profit]]/RawSalesTable[[#This Row],[Net_Sales]]</f>
        <v>0.40448722248306396</v>
      </c>
      <c r="AE530" s="8">
        <f>IF(RawSalesTable[[#This Row],[Return_Status]]="Yes",1,0)</f>
        <v>0</v>
      </c>
      <c r="AF530" s="8">
        <f>YEAR(RawSalesTable[[#This Row],[Order_Date]])</f>
        <v>2025</v>
      </c>
      <c r="AG530" s="8">
        <f>MONTH(RawSalesTable[[#This Row],[Order_Date]])</f>
        <v>11</v>
      </c>
      <c r="AH530" s="8" t="str">
        <f>TEXT(RawSalesTable[[#This Row],[Order_Date]],"mmmm")</f>
        <v>novembre</v>
      </c>
      <c r="AI530" s="8" t="str">
        <f>IF(RawSalesTable[[#This Row],[Month_Number]]&lt;=3,"Q1",IF(RawSalesTable[[#This Row],[Month_Number]]&lt;=6,"Q2",IF(RawSalesTable[[#This Row],[Month_Number]]&lt;=9,"Q3","Q4")))</f>
        <v>Q4</v>
      </c>
      <c r="AJ530" s="13">
        <f>DATE(YEAR(RawSalesTable[[#This Row],[Order_Date]]),MONTH(RawSalesTable[[#This Row],[Order_Date]]),1)</f>
        <v>45962</v>
      </c>
      <c r="AK530" s="8" t="str">
        <f>VLOOKUP(RawSalesTable[[#This Row],[Customer_ID_clean]],CustomersTable[],4,FALSE)</f>
        <v>Quebec</v>
      </c>
    </row>
    <row r="531" spans="1:37">
      <c r="A531" t="s">
        <v>960</v>
      </c>
      <c r="B531" s="3">
        <v>45786</v>
      </c>
      <c r="C531" t="s">
        <v>239</v>
      </c>
      <c r="D531" t="s">
        <v>303</v>
      </c>
      <c r="E531" t="s">
        <v>240</v>
      </c>
      <c r="F531" t="s">
        <v>145</v>
      </c>
      <c r="G531" t="s">
        <v>96</v>
      </c>
      <c r="H531" t="s">
        <v>97</v>
      </c>
      <c r="I531">
        <v>3</v>
      </c>
      <c r="J531" s="2">
        <v>162.79</v>
      </c>
      <c r="K531" s="4">
        <v>0.05</v>
      </c>
      <c r="L531" t="s">
        <v>90</v>
      </c>
      <c r="M531">
        <v>0</v>
      </c>
      <c r="N531" t="s">
        <v>91</v>
      </c>
      <c r="O531" t="str">
        <f>SUBSTITUTE(PROPER(TRIM(RawSalesTable[[#This Row],[Channel_Raw]])), "Market Place", "Marketplace")</f>
        <v>Retail Store</v>
      </c>
      <c r="P531" t="str">
        <f>TRIM(RawSalesTable[[#This Row],[Store_Raw]])</f>
        <v>Calgary North</v>
      </c>
      <c r="Q531" t="str">
        <f>IF(TRIM(RawSalesTable[[#This Row],[Payment_Method_Raw]])="","Non renseigné",SUBSTITUTE(TRIM(RawSalesTable[[#This Row],[Payment_Method_Raw]]),"CC","Credit Card"))</f>
        <v>PayPal</v>
      </c>
      <c r="R531" s="8" t="str">
        <f>UPPER(PROPER(RawSalesTable[[#This Row],[Customer_ID]]))</f>
        <v>C0089</v>
      </c>
      <c r="S531" s="8" t="str">
        <f>TRIM(LEFT(RawSalesTable[[#This Row],[Customer_Info]],FIND(",",RawSalesTable[[#This Row],[Customer_Info]]) -1))</f>
        <v>Lucas Martin</v>
      </c>
      <c r="T531" s="8" t="str">
        <f>TRIM(MID(RawSalesTable[[#This Row],[Customer_Info]],FIND(",",RawSalesTable[[#This Row],[Customer_Info]])+1,FIND(",",RawSalesTable[[#This Row],[Customer_Info]],FIND(",",RawSalesTable[[#This Row],[Customer_Info]])+1)-FIND(",",RawSalesTable[[#This Row],[Customer_Info]])-1))</f>
        <v>Vancouver</v>
      </c>
      <c r="U531" s="8" t="str">
        <f>TRIM(RIGHT(RawSalesTable[[#This Row],[Customer_Info]], LEN(RawSalesTable[[#This Row],[Customer_Info]])-FIND(",",RawSalesTable[[#This Row],[Customer_Info]],FIND(",",RawSalesTable[[#This Row],[Customer_Info]])+1)))</f>
        <v>Consumer</v>
      </c>
      <c r="V531" s="8" t="str">
        <f>VLOOKUP(RawSalesTable[[#This Row],[Product_ID]],ProductsTable[],2,FALSE)</f>
        <v>Power Bank</v>
      </c>
      <c r="W531" s="8" t="str">
        <f>VLOOKUP(RawSalesTable[[#This Row],[Product_ID]],ProductsTable[],3,FALSE)</f>
        <v>Accessories</v>
      </c>
      <c r="X531" s="8">
        <f>VLOOKUP(RawSalesTable[[#This Row],[Product_ID]],ProductsTable[],5,FALSE)</f>
        <v>76.97</v>
      </c>
      <c r="Y531" s="8">
        <f>RawSalesTable[[#This Row],[Quantity]]*RawSalesTable[[#This Row],[Unit_Price]]</f>
        <v>488.37</v>
      </c>
      <c r="Z531" s="8">
        <f>RawSalesTable[[#This Row],[Gross_Sales]]*RawSalesTable[[#This Row],[Discount_Pct]]</f>
        <v>24.418500000000002</v>
      </c>
      <c r="AA531" s="8">
        <f>RawSalesTable[[#This Row],[Gross_Sales]]-RawSalesTable[[#This Row],[Discount_Amount]]</f>
        <v>463.95150000000001</v>
      </c>
      <c r="AB531" s="8">
        <f>RawSalesTable[[#This Row],[Unit_Cost]]*RawSalesTable[[#This Row],[Quantity]]</f>
        <v>230.91</v>
      </c>
      <c r="AC531" s="8">
        <f>RawSalesTable[[#This Row],[Net_Sales]]-RawSalesTable[[#This Row],[Total_Cost]]</f>
        <v>233.04150000000001</v>
      </c>
      <c r="AD531" s="9">
        <f>RawSalesTable[[#This Row],[Profit]]/RawSalesTable[[#This Row],[Net_Sales]]</f>
        <v>0.50229711510793695</v>
      </c>
      <c r="AE531" s="8">
        <f>IF(RawSalesTable[[#This Row],[Return_Status]]="Yes",1,0)</f>
        <v>0</v>
      </c>
      <c r="AF531" s="8">
        <f>YEAR(RawSalesTable[[#This Row],[Order_Date]])</f>
        <v>2025</v>
      </c>
      <c r="AG531" s="8">
        <f>MONTH(RawSalesTable[[#This Row],[Order_Date]])</f>
        <v>5</v>
      </c>
      <c r="AH531" s="8" t="str">
        <f>TEXT(RawSalesTable[[#This Row],[Order_Date]],"mmmm")</f>
        <v>mai</v>
      </c>
      <c r="AI531" s="8" t="str">
        <f>IF(RawSalesTable[[#This Row],[Month_Number]]&lt;=3,"Q1",IF(RawSalesTable[[#This Row],[Month_Number]]&lt;=6,"Q2",IF(RawSalesTable[[#This Row],[Month_Number]]&lt;=9,"Q3","Q4")))</f>
        <v>Q2</v>
      </c>
      <c r="AJ531" s="13">
        <f>DATE(YEAR(RawSalesTable[[#This Row],[Order_Date]]),MONTH(RawSalesTable[[#This Row],[Order_Date]]),1)</f>
        <v>45778</v>
      </c>
      <c r="AK531" s="8" t="str">
        <f>VLOOKUP(RawSalesTable[[#This Row],[Customer_ID_clean]],CustomersTable[],4,FALSE)</f>
        <v>British Columbia</v>
      </c>
    </row>
    <row r="532" spans="1:37">
      <c r="A532" t="s">
        <v>961</v>
      </c>
      <c r="B532" s="3">
        <v>45723</v>
      </c>
      <c r="C532" t="s">
        <v>260</v>
      </c>
      <c r="D532" t="s">
        <v>85</v>
      </c>
      <c r="E532" t="s">
        <v>562</v>
      </c>
      <c r="F532" t="s">
        <v>116</v>
      </c>
      <c r="G532" t="s">
        <v>96</v>
      </c>
      <c r="H532" t="s">
        <v>105</v>
      </c>
      <c r="I532">
        <v>1</v>
      </c>
      <c r="J532" s="2">
        <v>318.27</v>
      </c>
      <c r="K532" s="4">
        <v>0</v>
      </c>
      <c r="L532" t="s">
        <v>521</v>
      </c>
      <c r="M532">
        <v>7</v>
      </c>
      <c r="N532" t="s">
        <v>91</v>
      </c>
      <c r="O532" t="str">
        <f>SUBSTITUTE(PROPER(TRIM(RawSalesTable[[#This Row],[Channel_Raw]])), "Market Place", "Marketplace")</f>
        <v>Marketplace</v>
      </c>
      <c r="P532" t="str">
        <f>TRIM(RawSalesTable[[#This Row],[Store_Raw]])</f>
        <v>Toronto Downtown</v>
      </c>
      <c r="Q532" t="str">
        <f>IF(TRIM(RawSalesTable[[#This Row],[Payment_Method_Raw]])="","Non renseigné",SUBSTITUTE(TRIM(RawSalesTable[[#This Row],[Payment_Method_Raw]]),"CC","Credit Card"))</f>
        <v>debit card</v>
      </c>
      <c r="R532" s="8" t="str">
        <f>UPPER(PROPER(RawSalesTable[[#This Row],[Customer_ID]]))</f>
        <v>C0076</v>
      </c>
      <c r="S532" s="8" t="str">
        <f>TRIM(LEFT(RawSalesTable[[#This Row],[Customer_Info]],FIND(",",RawSalesTable[[#This Row],[Customer_Info]]) -1))</f>
        <v>Maya Taylor</v>
      </c>
      <c r="T532" s="8" t="str">
        <f>TRIM(MID(RawSalesTable[[#This Row],[Customer_Info]],FIND(",",RawSalesTable[[#This Row],[Customer_Info]])+1,FIND(",",RawSalesTable[[#This Row],[Customer_Info]],FIND(",",RawSalesTable[[#This Row],[Customer_Info]])+1)-FIND(",",RawSalesTable[[#This Row],[Customer_Info]])-1))</f>
        <v>Saskatoon</v>
      </c>
      <c r="U532" s="8" t="str">
        <f>TRIM(RIGHT(RawSalesTable[[#This Row],[Customer_Info]], LEN(RawSalesTable[[#This Row],[Customer_Info]])-FIND(",",RawSalesTable[[#This Row],[Customer_Info]],FIND(",",RawSalesTable[[#This Row],[Customer_Info]])+1)))</f>
        <v>Corporate</v>
      </c>
      <c r="V532" s="8" t="str">
        <f>VLOOKUP(RawSalesTable[[#This Row],[Product_ID]],ProductsTable[],2,FALSE)</f>
        <v>Yoga Mat</v>
      </c>
      <c r="W532" s="8" t="str">
        <f>VLOOKUP(RawSalesTable[[#This Row],[Product_ID]],ProductsTable[],3,FALSE)</f>
        <v>Fitness</v>
      </c>
      <c r="X532" s="8">
        <f>VLOOKUP(RawSalesTable[[#This Row],[Product_ID]],ProductsTable[],5,FALSE)</f>
        <v>197.33</v>
      </c>
      <c r="Y532" s="8">
        <f>RawSalesTable[[#This Row],[Quantity]]*RawSalesTable[[#This Row],[Unit_Price]]</f>
        <v>318.27</v>
      </c>
      <c r="Z532" s="8">
        <f>RawSalesTable[[#This Row],[Gross_Sales]]*RawSalesTable[[#This Row],[Discount_Pct]]</f>
        <v>0</v>
      </c>
      <c r="AA532" s="8">
        <f>RawSalesTable[[#This Row],[Gross_Sales]]-RawSalesTable[[#This Row],[Discount_Amount]]</f>
        <v>318.27</v>
      </c>
      <c r="AB532" s="8">
        <f>RawSalesTable[[#This Row],[Unit_Cost]]*RawSalesTable[[#This Row],[Quantity]]</f>
        <v>197.33</v>
      </c>
      <c r="AC532" s="8">
        <f>RawSalesTable[[#This Row],[Net_Sales]]-RawSalesTable[[#This Row],[Total_Cost]]</f>
        <v>120.93999999999997</v>
      </c>
      <c r="AD532" s="9">
        <f>RawSalesTable[[#This Row],[Profit]]/RawSalesTable[[#This Row],[Net_Sales]]</f>
        <v>0.37999183083545413</v>
      </c>
      <c r="AE532" s="8">
        <f>IF(RawSalesTable[[#This Row],[Return_Status]]="Yes",1,0)</f>
        <v>0</v>
      </c>
      <c r="AF532" s="8">
        <f>YEAR(RawSalesTable[[#This Row],[Order_Date]])</f>
        <v>2025</v>
      </c>
      <c r="AG532" s="8">
        <f>MONTH(RawSalesTable[[#This Row],[Order_Date]])</f>
        <v>3</v>
      </c>
      <c r="AH532" s="8" t="str">
        <f>TEXT(RawSalesTable[[#This Row],[Order_Date]],"mmmm")</f>
        <v>mars</v>
      </c>
      <c r="AI532" s="8" t="str">
        <f>IF(RawSalesTable[[#This Row],[Month_Number]]&lt;=3,"Q1",IF(RawSalesTable[[#This Row],[Month_Number]]&lt;=6,"Q2",IF(RawSalesTable[[#This Row],[Month_Number]]&lt;=9,"Q3","Q4")))</f>
        <v>Q1</v>
      </c>
      <c r="AJ532" s="13">
        <f>DATE(YEAR(RawSalesTable[[#This Row],[Order_Date]]),MONTH(RawSalesTable[[#This Row],[Order_Date]]),1)</f>
        <v>45717</v>
      </c>
      <c r="AK532" s="8" t="str">
        <f>VLOOKUP(RawSalesTable[[#This Row],[Customer_ID_clean]],CustomersTable[],4,FALSE)</f>
        <v>Saskatchewan</v>
      </c>
    </row>
    <row r="533" spans="1:37">
      <c r="A533" t="s">
        <v>962</v>
      </c>
      <c r="B533" s="3">
        <v>45818</v>
      </c>
      <c r="C533" t="s">
        <v>410</v>
      </c>
      <c r="D533" t="s">
        <v>194</v>
      </c>
      <c r="E533" t="s">
        <v>411</v>
      </c>
      <c r="F533" t="s">
        <v>145</v>
      </c>
      <c r="G533" t="s">
        <v>122</v>
      </c>
      <c r="H533" t="s">
        <v>97</v>
      </c>
      <c r="I533">
        <v>1</v>
      </c>
      <c r="J533" s="2">
        <v>207.24</v>
      </c>
      <c r="K533" s="4">
        <v>0.15</v>
      </c>
      <c r="L533" t="s">
        <v>90</v>
      </c>
      <c r="M533">
        <v>3</v>
      </c>
      <c r="N533" t="s">
        <v>91</v>
      </c>
      <c r="O533" t="str">
        <f>SUBSTITUTE(PROPER(TRIM(RawSalesTable[[#This Row],[Channel_Raw]])), "Market Place", "Marketplace")</f>
        <v>Retail Store</v>
      </c>
      <c r="P533" t="str">
        <f>TRIM(RawSalesTable[[#This Row],[Store_Raw]])</f>
        <v>Calgary North</v>
      </c>
      <c r="Q533" t="str">
        <f>IF(TRIM(RawSalesTable[[#This Row],[Payment_Method_Raw]])="","Non renseigné",SUBSTITUTE(TRIM(RawSalesTable[[#This Row],[Payment_Method_Raw]]),"CC","Credit Card"))</f>
        <v>PayPal</v>
      </c>
      <c r="R533" s="8" t="str">
        <f>UPPER(PROPER(RawSalesTable[[#This Row],[Customer_ID]]))</f>
        <v>C0093</v>
      </c>
      <c r="S533" s="8" t="str">
        <f>TRIM(LEFT(RawSalesTable[[#This Row],[Customer_Info]],FIND(",",RawSalesTable[[#This Row],[Customer_Info]]) -1))</f>
        <v>Ethan Roy</v>
      </c>
      <c r="T533" s="8" t="str">
        <f>TRIM(MID(RawSalesTable[[#This Row],[Customer_Info]],FIND(",",RawSalesTable[[#This Row],[Customer_Info]])+1,FIND(",",RawSalesTable[[#This Row],[Customer_Info]],FIND(",",RawSalesTable[[#This Row],[Customer_Info]])+1)-FIND(",",RawSalesTable[[#This Row],[Customer_Info]])-1))</f>
        <v>Winnipeg</v>
      </c>
      <c r="U533" s="8" t="str">
        <f>TRIM(RIGHT(RawSalesTable[[#This Row],[Customer_Info]], LEN(RawSalesTable[[#This Row],[Customer_Info]])-FIND(",",RawSalesTable[[#This Row],[Customer_Info]],FIND(",",RawSalesTable[[#This Row],[Customer_Info]])+1)))</f>
        <v>Consumer</v>
      </c>
      <c r="V533" s="8" t="str">
        <f>VLOOKUP(RawSalesTable[[#This Row],[Product_ID]],ProductsTable[],2,FALSE)</f>
        <v>Jump Rope</v>
      </c>
      <c r="W533" s="8" t="str">
        <f>VLOOKUP(RawSalesTable[[#This Row],[Product_ID]],ProductsTable[],3,FALSE)</f>
        <v>Fitness</v>
      </c>
      <c r="X533" s="8">
        <f>VLOOKUP(RawSalesTable[[#This Row],[Product_ID]],ProductsTable[],5,FALSE)</f>
        <v>101</v>
      </c>
      <c r="Y533" s="8">
        <f>RawSalesTable[[#This Row],[Quantity]]*RawSalesTable[[#This Row],[Unit_Price]]</f>
        <v>207.24</v>
      </c>
      <c r="Z533" s="8">
        <f>RawSalesTable[[#This Row],[Gross_Sales]]*RawSalesTable[[#This Row],[Discount_Pct]]</f>
        <v>31.085999999999999</v>
      </c>
      <c r="AA533" s="8">
        <f>RawSalesTable[[#This Row],[Gross_Sales]]-RawSalesTable[[#This Row],[Discount_Amount]]</f>
        <v>176.154</v>
      </c>
      <c r="AB533" s="8">
        <f>RawSalesTable[[#This Row],[Unit_Cost]]*RawSalesTable[[#This Row],[Quantity]]</f>
        <v>101</v>
      </c>
      <c r="AC533" s="8">
        <f>RawSalesTable[[#This Row],[Net_Sales]]-RawSalesTable[[#This Row],[Total_Cost]]</f>
        <v>75.153999999999996</v>
      </c>
      <c r="AD533" s="9">
        <f>RawSalesTable[[#This Row],[Profit]]/RawSalesTable[[#This Row],[Net_Sales]]</f>
        <v>0.42663805533794291</v>
      </c>
      <c r="AE533" s="8">
        <f>IF(RawSalesTable[[#This Row],[Return_Status]]="Yes",1,0)</f>
        <v>0</v>
      </c>
      <c r="AF533" s="8">
        <f>YEAR(RawSalesTable[[#This Row],[Order_Date]])</f>
        <v>2025</v>
      </c>
      <c r="AG533" s="8">
        <f>MONTH(RawSalesTable[[#This Row],[Order_Date]])</f>
        <v>6</v>
      </c>
      <c r="AH533" s="8" t="str">
        <f>TEXT(RawSalesTable[[#This Row],[Order_Date]],"mmmm")</f>
        <v>juin</v>
      </c>
      <c r="AI533" s="8" t="str">
        <f>IF(RawSalesTable[[#This Row],[Month_Number]]&lt;=3,"Q1",IF(RawSalesTable[[#This Row],[Month_Number]]&lt;=6,"Q2",IF(RawSalesTable[[#This Row],[Month_Number]]&lt;=9,"Q3","Q4")))</f>
        <v>Q2</v>
      </c>
      <c r="AJ533" s="13">
        <f>DATE(YEAR(RawSalesTable[[#This Row],[Order_Date]]),MONTH(RawSalesTable[[#This Row],[Order_Date]]),1)</f>
        <v>45809</v>
      </c>
      <c r="AK533" s="8" t="str">
        <f>VLOOKUP(RawSalesTable[[#This Row],[Customer_ID_clean]],CustomersTable[],4,FALSE)</f>
        <v>Manitoba</v>
      </c>
    </row>
    <row r="534" spans="1:37">
      <c r="A534" t="s">
        <v>963</v>
      </c>
      <c r="B534" s="3">
        <v>45886</v>
      </c>
      <c r="C534" t="s">
        <v>84</v>
      </c>
      <c r="D534" t="s">
        <v>503</v>
      </c>
      <c r="E534" t="s">
        <v>86</v>
      </c>
      <c r="F534" t="s">
        <v>87</v>
      </c>
      <c r="G534" t="s">
        <v>104</v>
      </c>
      <c r="H534" t="s">
        <v>105</v>
      </c>
      <c r="I534">
        <v>2</v>
      </c>
      <c r="J534" s="2">
        <v>117.72</v>
      </c>
      <c r="K534" s="4">
        <v>0.05</v>
      </c>
      <c r="L534" t="s">
        <v>106</v>
      </c>
      <c r="M534">
        <v>5</v>
      </c>
      <c r="N534" t="s">
        <v>91</v>
      </c>
      <c r="O534" t="str">
        <f>SUBSTITUTE(PROPER(TRIM(RawSalesTable[[#This Row],[Channel_Raw]])), "Market Place", "Marketplace")</f>
        <v>Marketplace</v>
      </c>
      <c r="P534" t="str">
        <f>TRIM(RawSalesTable[[#This Row],[Store_Raw]])</f>
        <v>Online Fulfillment</v>
      </c>
      <c r="Q534" t="str">
        <f>IF(TRIM(RawSalesTable[[#This Row],[Payment_Method_Raw]])="","Non renseigné",SUBSTITUTE(TRIM(RawSalesTable[[#This Row],[Payment_Method_Raw]]),"CC","Credit Card"))</f>
        <v>Credit Card</v>
      </c>
      <c r="R534" s="8" t="str">
        <f>UPPER(PROPER(RawSalesTable[[#This Row],[Customer_ID]]))</f>
        <v>C0113</v>
      </c>
      <c r="S534" s="8" t="str">
        <f>TRIM(LEFT(RawSalesTable[[#This Row],[Customer_Info]],FIND(",",RawSalesTable[[#This Row],[Customer_Info]]) -1))</f>
        <v>Olivia Johnson</v>
      </c>
      <c r="T534" s="8" t="str">
        <f>TRIM(MID(RawSalesTable[[#This Row],[Customer_Info]],FIND(",",RawSalesTable[[#This Row],[Customer_Info]])+1,FIND(",",RawSalesTable[[#This Row],[Customer_Info]],FIND(",",RawSalesTable[[#This Row],[Customer_Info]])+1)-FIND(",",RawSalesTable[[#This Row],[Customer_Info]])-1))</f>
        <v>Surrey</v>
      </c>
      <c r="U534" s="8" t="str">
        <f>TRIM(RIGHT(RawSalesTable[[#This Row],[Customer_Info]], LEN(RawSalesTable[[#This Row],[Customer_Info]])-FIND(",",RawSalesTable[[#This Row],[Customer_Info]],FIND(",",RawSalesTable[[#This Row],[Customer_Info]])+1)))</f>
        <v>Consumer</v>
      </c>
      <c r="V534" s="8" t="str">
        <f>VLOOKUP(RawSalesTable[[#This Row],[Product_ID]],ProductsTable[],2,FALSE)</f>
        <v>Whiteboard</v>
      </c>
      <c r="W534" s="8" t="str">
        <f>VLOOKUP(RawSalesTable[[#This Row],[Product_ID]],ProductsTable[],3,FALSE)</f>
        <v>Office</v>
      </c>
      <c r="X534" s="8">
        <f>VLOOKUP(RawSalesTable[[#This Row],[Product_ID]],ProductsTable[],5,FALSE)</f>
        <v>85.73</v>
      </c>
      <c r="Y534" s="8">
        <f>RawSalesTable[[#This Row],[Quantity]]*RawSalesTable[[#This Row],[Unit_Price]]</f>
        <v>235.44</v>
      </c>
      <c r="Z534" s="8">
        <f>RawSalesTable[[#This Row],[Gross_Sales]]*RawSalesTable[[#This Row],[Discount_Pct]]</f>
        <v>11.772</v>
      </c>
      <c r="AA534" s="8">
        <f>RawSalesTable[[#This Row],[Gross_Sales]]-RawSalesTable[[#This Row],[Discount_Amount]]</f>
        <v>223.66800000000001</v>
      </c>
      <c r="AB534" s="8">
        <f>RawSalesTable[[#This Row],[Unit_Cost]]*RawSalesTable[[#This Row],[Quantity]]</f>
        <v>171.46</v>
      </c>
      <c r="AC534" s="8">
        <f>RawSalesTable[[#This Row],[Net_Sales]]-RawSalesTable[[#This Row],[Total_Cost]]</f>
        <v>52.207999999999998</v>
      </c>
      <c r="AD534" s="9">
        <f>RawSalesTable[[#This Row],[Profit]]/RawSalesTable[[#This Row],[Net_Sales]]</f>
        <v>0.23341738648353808</v>
      </c>
      <c r="AE534" s="8">
        <f>IF(RawSalesTable[[#This Row],[Return_Status]]="Yes",1,0)</f>
        <v>0</v>
      </c>
      <c r="AF534" s="8">
        <f>YEAR(RawSalesTable[[#This Row],[Order_Date]])</f>
        <v>2025</v>
      </c>
      <c r="AG534" s="8">
        <f>MONTH(RawSalesTable[[#This Row],[Order_Date]])</f>
        <v>8</v>
      </c>
      <c r="AH534" s="8" t="str">
        <f>TEXT(RawSalesTable[[#This Row],[Order_Date]],"mmmm")</f>
        <v>août</v>
      </c>
      <c r="AI534" s="8" t="str">
        <f>IF(RawSalesTable[[#This Row],[Month_Number]]&lt;=3,"Q1",IF(RawSalesTable[[#This Row],[Month_Number]]&lt;=6,"Q2",IF(RawSalesTable[[#This Row],[Month_Number]]&lt;=9,"Q3","Q4")))</f>
        <v>Q3</v>
      </c>
      <c r="AJ534" s="13">
        <f>DATE(YEAR(RawSalesTable[[#This Row],[Order_Date]]),MONTH(RawSalesTable[[#This Row],[Order_Date]]),1)</f>
        <v>45870</v>
      </c>
      <c r="AK534" s="8" t="str">
        <f>VLOOKUP(RawSalesTable[[#This Row],[Customer_ID_clean]],CustomersTable[],4,FALSE)</f>
        <v>British Columbia</v>
      </c>
    </row>
    <row r="535" spans="1:37">
      <c r="A535" t="s">
        <v>964</v>
      </c>
      <c r="B535" s="3">
        <v>45863</v>
      </c>
      <c r="C535" t="s">
        <v>531</v>
      </c>
      <c r="D535" t="s">
        <v>101</v>
      </c>
      <c r="E535" t="s">
        <v>532</v>
      </c>
      <c r="F535" t="s">
        <v>111</v>
      </c>
      <c r="G535" t="s">
        <v>183</v>
      </c>
      <c r="H535" t="s">
        <v>89</v>
      </c>
      <c r="I535">
        <v>1</v>
      </c>
      <c r="J535" s="2">
        <v>314.3</v>
      </c>
      <c r="K535" s="4">
        <v>0.05</v>
      </c>
      <c r="L535" t="s">
        <v>106</v>
      </c>
      <c r="M535">
        <v>3</v>
      </c>
      <c r="N535" t="s">
        <v>91</v>
      </c>
      <c r="O535" t="str">
        <f>SUBSTITUTE(PROPER(TRIM(RawSalesTable[[#This Row],[Channel_Raw]])), "Market Place", "Marketplace")</f>
        <v>Online</v>
      </c>
      <c r="P535" t="str">
        <f>TRIM(RawSalesTable[[#This Row],[Store_Raw]])</f>
        <v>Montreal Central</v>
      </c>
      <c r="Q535" t="str">
        <f>IF(TRIM(RawSalesTable[[#This Row],[Payment_Method_Raw]])="","Non renseigné",SUBSTITUTE(TRIM(RawSalesTable[[#This Row],[Payment_Method_Raw]]),"CC","Credit Card"))</f>
        <v>Credit Card</v>
      </c>
      <c r="R535" s="8" t="str">
        <f>UPPER(PROPER(RawSalesTable[[#This Row],[Customer_ID]]))</f>
        <v>C0042</v>
      </c>
      <c r="S535" s="8" t="str">
        <f>TRIM(LEFT(RawSalesTable[[#This Row],[Customer_Info]],FIND(",",RawSalesTable[[#This Row],[Customer_Info]]) -1))</f>
        <v>Emma King</v>
      </c>
      <c r="T535" s="8" t="str">
        <f>TRIM(MID(RawSalesTable[[#This Row],[Customer_Info]],FIND(",",RawSalesTable[[#This Row],[Customer_Info]])+1,FIND(",",RawSalesTable[[#This Row],[Customer_Info]],FIND(",",RawSalesTable[[#This Row],[Customer_Info]])+1)-FIND(",",RawSalesTable[[#This Row],[Customer_Info]])-1))</f>
        <v>Quebec City</v>
      </c>
      <c r="U535" s="8" t="str">
        <f>TRIM(RIGHT(RawSalesTable[[#This Row],[Customer_Info]], LEN(RawSalesTable[[#This Row],[Customer_Info]])-FIND(",",RawSalesTable[[#This Row],[Customer_Info]],FIND(",",RawSalesTable[[#This Row],[Customer_Info]])+1)))</f>
        <v>Consumer</v>
      </c>
      <c r="V535" s="8" t="str">
        <f>VLOOKUP(RawSalesTable[[#This Row],[Product_ID]],ProductsTable[],2,FALSE)</f>
        <v>Kettle</v>
      </c>
      <c r="W535" s="8" t="str">
        <f>VLOOKUP(RawSalesTable[[#This Row],[Product_ID]],ProductsTable[],3,FALSE)</f>
        <v>Home</v>
      </c>
      <c r="X535" s="8">
        <f>VLOOKUP(RawSalesTable[[#This Row],[Product_ID]],ProductsTable[],5,FALSE)</f>
        <v>139.86000000000001</v>
      </c>
      <c r="Y535" s="8">
        <f>RawSalesTable[[#This Row],[Quantity]]*RawSalesTable[[#This Row],[Unit_Price]]</f>
        <v>314.3</v>
      </c>
      <c r="Z535" s="8">
        <f>RawSalesTable[[#This Row],[Gross_Sales]]*RawSalesTable[[#This Row],[Discount_Pct]]</f>
        <v>15.715000000000002</v>
      </c>
      <c r="AA535" s="8">
        <f>RawSalesTable[[#This Row],[Gross_Sales]]-RawSalesTable[[#This Row],[Discount_Amount]]</f>
        <v>298.58500000000004</v>
      </c>
      <c r="AB535" s="8">
        <f>RawSalesTable[[#This Row],[Unit_Cost]]*RawSalesTable[[#This Row],[Quantity]]</f>
        <v>139.86000000000001</v>
      </c>
      <c r="AC535" s="8">
        <f>RawSalesTable[[#This Row],[Net_Sales]]-RawSalesTable[[#This Row],[Total_Cost]]</f>
        <v>158.72500000000002</v>
      </c>
      <c r="AD535" s="9">
        <f>RawSalesTable[[#This Row],[Profit]]/RawSalesTable[[#This Row],[Net_Sales]]</f>
        <v>0.53159066932364318</v>
      </c>
      <c r="AE535" s="8">
        <f>IF(RawSalesTable[[#This Row],[Return_Status]]="Yes",1,0)</f>
        <v>0</v>
      </c>
      <c r="AF535" s="8">
        <f>YEAR(RawSalesTable[[#This Row],[Order_Date]])</f>
        <v>2025</v>
      </c>
      <c r="AG535" s="8">
        <f>MONTH(RawSalesTable[[#This Row],[Order_Date]])</f>
        <v>7</v>
      </c>
      <c r="AH535" s="8" t="str">
        <f>TEXT(RawSalesTable[[#This Row],[Order_Date]],"mmmm")</f>
        <v>juillet</v>
      </c>
      <c r="AI535" s="8" t="str">
        <f>IF(RawSalesTable[[#This Row],[Month_Number]]&lt;=3,"Q1",IF(RawSalesTable[[#This Row],[Month_Number]]&lt;=6,"Q2",IF(RawSalesTable[[#This Row],[Month_Number]]&lt;=9,"Q3","Q4")))</f>
        <v>Q3</v>
      </c>
      <c r="AJ535" s="13">
        <f>DATE(YEAR(RawSalesTable[[#This Row],[Order_Date]]),MONTH(RawSalesTable[[#This Row],[Order_Date]]),1)</f>
        <v>45839</v>
      </c>
      <c r="AK535" s="8" t="str">
        <f>VLOOKUP(RawSalesTable[[#This Row],[Customer_ID_clean]],CustomersTable[],4,FALSE)</f>
        <v>Quebec</v>
      </c>
    </row>
    <row r="536" spans="1:37">
      <c r="A536" t="s">
        <v>965</v>
      </c>
      <c r="B536" s="3">
        <v>45662</v>
      </c>
      <c r="C536" t="s">
        <v>531</v>
      </c>
      <c r="D536" t="s">
        <v>120</v>
      </c>
      <c r="E536" t="s">
        <v>532</v>
      </c>
      <c r="F536" t="s">
        <v>111</v>
      </c>
      <c r="G536" t="s">
        <v>122</v>
      </c>
      <c r="H536" t="s">
        <v>89</v>
      </c>
      <c r="I536">
        <v>1</v>
      </c>
      <c r="J536" s="2">
        <v>400.01</v>
      </c>
      <c r="K536" s="4">
        <v>0</v>
      </c>
      <c r="L536" t="s">
        <v>106</v>
      </c>
      <c r="M536">
        <v>6</v>
      </c>
      <c r="N536" t="s">
        <v>91</v>
      </c>
      <c r="O536" t="str">
        <f>SUBSTITUTE(PROPER(TRIM(RawSalesTable[[#This Row],[Channel_Raw]])), "Market Place", "Marketplace")</f>
        <v>Online</v>
      </c>
      <c r="P536" t="str">
        <f>TRIM(RawSalesTable[[#This Row],[Store_Raw]])</f>
        <v>Montreal Central</v>
      </c>
      <c r="Q536" t="str">
        <f>IF(TRIM(RawSalesTable[[#This Row],[Payment_Method_Raw]])="","Non renseigné",SUBSTITUTE(TRIM(RawSalesTable[[#This Row],[Payment_Method_Raw]]),"CC","Credit Card"))</f>
        <v>Credit Card</v>
      </c>
      <c r="R536" s="8" t="str">
        <f>UPPER(PROPER(RawSalesTable[[#This Row],[Customer_ID]]))</f>
        <v>C0042</v>
      </c>
      <c r="S536" s="8" t="str">
        <f>TRIM(LEFT(RawSalesTable[[#This Row],[Customer_Info]],FIND(",",RawSalesTable[[#This Row],[Customer_Info]]) -1))</f>
        <v>Emma King</v>
      </c>
      <c r="T536" s="8" t="str">
        <f>TRIM(MID(RawSalesTable[[#This Row],[Customer_Info]],FIND(",",RawSalesTable[[#This Row],[Customer_Info]])+1,FIND(",",RawSalesTable[[#This Row],[Customer_Info]],FIND(",",RawSalesTable[[#This Row],[Customer_Info]])+1)-FIND(",",RawSalesTable[[#This Row],[Customer_Info]])-1))</f>
        <v>Quebec City</v>
      </c>
      <c r="U536" s="8" t="str">
        <f>TRIM(RIGHT(RawSalesTable[[#This Row],[Customer_Info]], LEN(RawSalesTable[[#This Row],[Customer_Info]])-FIND(",",RawSalesTable[[#This Row],[Customer_Info]],FIND(",",RawSalesTable[[#This Row],[Customer_Info]])+1)))</f>
        <v>Consumer</v>
      </c>
      <c r="V536" s="8" t="str">
        <f>VLOOKUP(RawSalesTable[[#This Row],[Product_ID]],ProductsTable[],2,FALSE)</f>
        <v>Desk Organizer</v>
      </c>
      <c r="W536" s="8" t="str">
        <f>VLOOKUP(RawSalesTable[[#This Row],[Product_ID]],ProductsTable[],3,FALSE)</f>
        <v>Office</v>
      </c>
      <c r="X536" s="8">
        <f>VLOOKUP(RawSalesTable[[#This Row],[Product_ID]],ProductsTable[],5,FALSE)</f>
        <v>235.76</v>
      </c>
      <c r="Y536" s="8">
        <f>RawSalesTable[[#This Row],[Quantity]]*RawSalesTable[[#This Row],[Unit_Price]]</f>
        <v>400.01</v>
      </c>
      <c r="Z536" s="8">
        <f>RawSalesTable[[#This Row],[Gross_Sales]]*RawSalesTable[[#This Row],[Discount_Pct]]</f>
        <v>0</v>
      </c>
      <c r="AA536" s="8">
        <f>RawSalesTable[[#This Row],[Gross_Sales]]-RawSalesTable[[#This Row],[Discount_Amount]]</f>
        <v>400.01</v>
      </c>
      <c r="AB536" s="8">
        <f>RawSalesTable[[#This Row],[Unit_Cost]]*RawSalesTable[[#This Row],[Quantity]]</f>
        <v>235.76</v>
      </c>
      <c r="AC536" s="8">
        <f>RawSalesTable[[#This Row],[Net_Sales]]-RawSalesTable[[#This Row],[Total_Cost]]</f>
        <v>164.25</v>
      </c>
      <c r="AD536" s="9">
        <f>RawSalesTable[[#This Row],[Profit]]/RawSalesTable[[#This Row],[Net_Sales]]</f>
        <v>0.41061473463163423</v>
      </c>
      <c r="AE536" s="8">
        <f>IF(RawSalesTable[[#This Row],[Return_Status]]="Yes",1,0)</f>
        <v>0</v>
      </c>
      <c r="AF536" s="8">
        <f>YEAR(RawSalesTable[[#This Row],[Order_Date]])</f>
        <v>2025</v>
      </c>
      <c r="AG536" s="8">
        <f>MONTH(RawSalesTable[[#This Row],[Order_Date]])</f>
        <v>1</v>
      </c>
      <c r="AH536" s="8" t="str">
        <f>TEXT(RawSalesTable[[#This Row],[Order_Date]],"mmmm")</f>
        <v>janvier</v>
      </c>
      <c r="AI536" s="8" t="str">
        <f>IF(RawSalesTable[[#This Row],[Month_Number]]&lt;=3,"Q1",IF(RawSalesTable[[#This Row],[Month_Number]]&lt;=6,"Q2",IF(RawSalesTable[[#This Row],[Month_Number]]&lt;=9,"Q3","Q4")))</f>
        <v>Q1</v>
      </c>
      <c r="AJ536" s="13">
        <f>DATE(YEAR(RawSalesTable[[#This Row],[Order_Date]]),MONTH(RawSalesTable[[#This Row],[Order_Date]]),1)</f>
        <v>45658</v>
      </c>
      <c r="AK536" s="8" t="str">
        <f>VLOOKUP(RawSalesTable[[#This Row],[Customer_ID_clean]],CustomersTable[],4,FALSE)</f>
        <v>Quebec</v>
      </c>
    </row>
    <row r="537" spans="1:37">
      <c r="A537" t="s">
        <v>966</v>
      </c>
      <c r="B537" s="3">
        <v>45902</v>
      </c>
      <c r="C537" t="s">
        <v>156</v>
      </c>
      <c r="D537" t="s">
        <v>303</v>
      </c>
      <c r="E537" t="s">
        <v>158</v>
      </c>
      <c r="F537" t="s">
        <v>116</v>
      </c>
      <c r="G537" t="s">
        <v>117</v>
      </c>
      <c r="H537" t="s">
        <v>89</v>
      </c>
      <c r="I537">
        <v>1</v>
      </c>
      <c r="J537" s="2">
        <v>166.49</v>
      </c>
      <c r="K537" s="4">
        <v>0.1</v>
      </c>
      <c r="L537" t="s">
        <v>106</v>
      </c>
      <c r="M537">
        <v>4</v>
      </c>
      <c r="N537" t="s">
        <v>91</v>
      </c>
      <c r="O537" t="str">
        <f>SUBSTITUTE(PROPER(TRIM(RawSalesTable[[#This Row],[Channel_Raw]])), "Market Place", "Marketplace")</f>
        <v>Online</v>
      </c>
      <c r="P537" t="str">
        <f>TRIM(RawSalesTable[[#This Row],[Store_Raw]])</f>
        <v>Toronto Downtown</v>
      </c>
      <c r="Q537" t="str">
        <f>IF(TRIM(RawSalesTable[[#This Row],[Payment_Method_Raw]])="","Non renseigné",SUBSTITUTE(TRIM(RawSalesTable[[#This Row],[Payment_Method_Raw]]),"CC","Credit Card"))</f>
        <v>Credit Card</v>
      </c>
      <c r="R537" s="8" t="str">
        <f>UPPER(PROPER(RawSalesTable[[#This Row],[Customer_ID]]))</f>
        <v>C0112</v>
      </c>
      <c r="S537" s="8" t="str">
        <f>TRIM(LEFT(RawSalesTable[[#This Row],[Customer_Info]],FIND(",",RawSalesTable[[#This Row],[Customer_Info]]) -1))</f>
        <v>Ava Bennett</v>
      </c>
      <c r="T537" s="8" t="str">
        <f>TRIM(MID(RawSalesTable[[#This Row],[Customer_Info]],FIND(",",RawSalesTable[[#This Row],[Customer_Info]])+1,FIND(",",RawSalesTable[[#This Row],[Customer_Info]],FIND(",",RawSalesTable[[#This Row],[Customer_Info]])+1)-FIND(",",RawSalesTable[[#This Row],[Customer_Info]])-1))</f>
        <v>Halifax</v>
      </c>
      <c r="U537" s="8" t="str">
        <f>TRIM(RIGHT(RawSalesTable[[#This Row],[Customer_Info]], LEN(RawSalesTable[[#This Row],[Customer_Info]])-FIND(",",RawSalesTable[[#This Row],[Customer_Info]],FIND(",",RawSalesTable[[#This Row],[Customer_Info]])+1)))</f>
        <v>Consumer</v>
      </c>
      <c r="V537" s="8" t="str">
        <f>VLOOKUP(RawSalesTable[[#This Row],[Product_ID]],ProductsTable[],2,FALSE)</f>
        <v>Power Bank</v>
      </c>
      <c r="W537" s="8" t="str">
        <f>VLOOKUP(RawSalesTable[[#This Row],[Product_ID]],ProductsTable[],3,FALSE)</f>
        <v>Accessories</v>
      </c>
      <c r="X537" s="8">
        <f>VLOOKUP(RawSalesTable[[#This Row],[Product_ID]],ProductsTable[],5,FALSE)</f>
        <v>76.97</v>
      </c>
      <c r="Y537" s="8">
        <f>RawSalesTable[[#This Row],[Quantity]]*RawSalesTable[[#This Row],[Unit_Price]]</f>
        <v>166.49</v>
      </c>
      <c r="Z537" s="8">
        <f>RawSalesTable[[#This Row],[Gross_Sales]]*RawSalesTable[[#This Row],[Discount_Pct]]</f>
        <v>16.649000000000001</v>
      </c>
      <c r="AA537" s="8">
        <f>RawSalesTable[[#This Row],[Gross_Sales]]-RawSalesTable[[#This Row],[Discount_Amount]]</f>
        <v>149.84100000000001</v>
      </c>
      <c r="AB537" s="8">
        <f>RawSalesTable[[#This Row],[Unit_Cost]]*RawSalesTable[[#This Row],[Quantity]]</f>
        <v>76.97</v>
      </c>
      <c r="AC537" s="8">
        <f>RawSalesTable[[#This Row],[Net_Sales]]-RawSalesTable[[#This Row],[Total_Cost]]</f>
        <v>72.871000000000009</v>
      </c>
      <c r="AD537" s="9">
        <f>RawSalesTable[[#This Row],[Profit]]/RawSalesTable[[#This Row],[Net_Sales]]</f>
        <v>0.48632216816492152</v>
      </c>
      <c r="AE537" s="8">
        <f>IF(RawSalesTable[[#This Row],[Return_Status]]="Yes",1,0)</f>
        <v>0</v>
      </c>
      <c r="AF537" s="8">
        <f>YEAR(RawSalesTable[[#This Row],[Order_Date]])</f>
        <v>2025</v>
      </c>
      <c r="AG537" s="8">
        <f>MONTH(RawSalesTable[[#This Row],[Order_Date]])</f>
        <v>9</v>
      </c>
      <c r="AH537" s="8" t="str">
        <f>TEXT(RawSalesTable[[#This Row],[Order_Date]],"mmmm")</f>
        <v>septembre</v>
      </c>
      <c r="AI537" s="8" t="str">
        <f>IF(RawSalesTable[[#This Row],[Month_Number]]&lt;=3,"Q1",IF(RawSalesTable[[#This Row],[Month_Number]]&lt;=6,"Q2",IF(RawSalesTable[[#This Row],[Month_Number]]&lt;=9,"Q3","Q4")))</f>
        <v>Q3</v>
      </c>
      <c r="AJ537" s="13">
        <f>DATE(YEAR(RawSalesTable[[#This Row],[Order_Date]]),MONTH(RawSalesTable[[#This Row],[Order_Date]]),1)</f>
        <v>45901</v>
      </c>
      <c r="AK537" s="8" t="str">
        <f>VLOOKUP(RawSalesTable[[#This Row],[Customer_ID_clean]],CustomersTable[],4,FALSE)</f>
        <v>Nova Scotia</v>
      </c>
    </row>
    <row r="538" spans="1:37">
      <c r="A538" t="s">
        <v>967</v>
      </c>
      <c r="B538" s="3">
        <v>45998</v>
      </c>
      <c r="C538" t="s">
        <v>610</v>
      </c>
      <c r="D538" t="s">
        <v>120</v>
      </c>
      <c r="E538" t="s">
        <v>611</v>
      </c>
      <c r="F538" t="s">
        <v>145</v>
      </c>
      <c r="G538" t="s">
        <v>183</v>
      </c>
      <c r="H538" t="s">
        <v>89</v>
      </c>
      <c r="I538">
        <v>1</v>
      </c>
      <c r="J538" s="2">
        <v>358.44</v>
      </c>
      <c r="K538" s="4">
        <v>0.05</v>
      </c>
      <c r="L538" t="s">
        <v>98</v>
      </c>
      <c r="M538">
        <v>6</v>
      </c>
      <c r="N538" t="s">
        <v>91</v>
      </c>
      <c r="O538" t="str">
        <f>SUBSTITUTE(PROPER(TRIM(RawSalesTable[[#This Row],[Channel_Raw]])), "Market Place", "Marketplace")</f>
        <v>Online</v>
      </c>
      <c r="P538" t="str">
        <f>TRIM(RawSalesTable[[#This Row],[Store_Raw]])</f>
        <v>Calgary North</v>
      </c>
      <c r="Q538" t="str">
        <f>IF(TRIM(RawSalesTable[[#This Row],[Payment_Method_Raw]])="","Non renseigné",SUBSTITUTE(TRIM(RawSalesTable[[#This Row],[Payment_Method_Raw]]),"CC","Credit Card"))</f>
        <v>Debit Card</v>
      </c>
      <c r="R538" s="8" t="str">
        <f>UPPER(PROPER(RawSalesTable[[#This Row],[Customer_ID]]))</f>
        <v>C0051</v>
      </c>
      <c r="S538" s="8" t="str">
        <f>TRIM(LEFT(RawSalesTable[[#This Row],[Customer_Info]],FIND(",",RawSalesTable[[#This Row],[Customer_Info]]) -1))</f>
        <v>Daniel Brown</v>
      </c>
      <c r="T538" s="8" t="str">
        <f>TRIM(MID(RawSalesTable[[#This Row],[Customer_Info]],FIND(",",RawSalesTable[[#This Row],[Customer_Info]])+1,FIND(",",RawSalesTable[[#This Row],[Customer_Info]],FIND(",",RawSalesTable[[#This Row],[Customer_Info]])+1)-FIND(",",RawSalesTable[[#This Row],[Customer_Info]])-1))</f>
        <v>Vancouver</v>
      </c>
      <c r="U538" s="8" t="str">
        <f>TRIM(RIGHT(RawSalesTable[[#This Row],[Customer_Info]], LEN(RawSalesTable[[#This Row],[Customer_Info]])-FIND(",",RawSalesTable[[#This Row],[Customer_Info]],FIND(",",RawSalesTable[[#This Row],[Customer_Info]])+1)))</f>
        <v>Small Business</v>
      </c>
      <c r="V538" s="8" t="str">
        <f>VLOOKUP(RawSalesTable[[#This Row],[Product_ID]],ProductsTable[],2,FALSE)</f>
        <v>Desk Organizer</v>
      </c>
      <c r="W538" s="8" t="str">
        <f>VLOOKUP(RawSalesTable[[#This Row],[Product_ID]],ProductsTable[],3,FALSE)</f>
        <v>Office</v>
      </c>
      <c r="X538" s="8">
        <f>VLOOKUP(RawSalesTable[[#This Row],[Product_ID]],ProductsTable[],5,FALSE)</f>
        <v>235.76</v>
      </c>
      <c r="Y538" s="8">
        <f>RawSalesTable[[#This Row],[Quantity]]*RawSalesTable[[#This Row],[Unit_Price]]</f>
        <v>358.44</v>
      </c>
      <c r="Z538" s="8">
        <f>RawSalesTable[[#This Row],[Gross_Sales]]*RawSalesTable[[#This Row],[Discount_Pct]]</f>
        <v>17.922000000000001</v>
      </c>
      <c r="AA538" s="8">
        <f>RawSalesTable[[#This Row],[Gross_Sales]]-RawSalesTable[[#This Row],[Discount_Amount]]</f>
        <v>340.51799999999997</v>
      </c>
      <c r="AB538" s="8">
        <f>RawSalesTable[[#This Row],[Unit_Cost]]*RawSalesTable[[#This Row],[Quantity]]</f>
        <v>235.76</v>
      </c>
      <c r="AC538" s="8">
        <f>RawSalesTable[[#This Row],[Net_Sales]]-RawSalesTable[[#This Row],[Total_Cost]]</f>
        <v>104.75799999999998</v>
      </c>
      <c r="AD538" s="9">
        <f>RawSalesTable[[#This Row],[Profit]]/RawSalesTable[[#This Row],[Net_Sales]]</f>
        <v>0.30764306145343268</v>
      </c>
      <c r="AE538" s="8">
        <f>IF(RawSalesTable[[#This Row],[Return_Status]]="Yes",1,0)</f>
        <v>0</v>
      </c>
      <c r="AF538" s="8">
        <f>YEAR(RawSalesTable[[#This Row],[Order_Date]])</f>
        <v>2025</v>
      </c>
      <c r="AG538" s="8">
        <f>MONTH(RawSalesTable[[#This Row],[Order_Date]])</f>
        <v>12</v>
      </c>
      <c r="AH538" s="8" t="str">
        <f>TEXT(RawSalesTable[[#This Row],[Order_Date]],"mmmm")</f>
        <v>décembre</v>
      </c>
      <c r="AI538" s="8" t="str">
        <f>IF(RawSalesTable[[#This Row],[Month_Number]]&lt;=3,"Q1",IF(RawSalesTable[[#This Row],[Month_Number]]&lt;=6,"Q2",IF(RawSalesTable[[#This Row],[Month_Number]]&lt;=9,"Q3","Q4")))</f>
        <v>Q4</v>
      </c>
      <c r="AJ538" s="13">
        <f>DATE(YEAR(RawSalesTable[[#This Row],[Order_Date]]),MONTH(RawSalesTable[[#This Row],[Order_Date]]),1)</f>
        <v>45992</v>
      </c>
      <c r="AK538" s="8" t="str">
        <f>VLOOKUP(RawSalesTable[[#This Row],[Customer_ID_clean]],CustomersTable[],4,FALSE)</f>
        <v>British Columbia</v>
      </c>
    </row>
    <row r="539" spans="1:37">
      <c r="A539" t="s">
        <v>968</v>
      </c>
      <c r="B539" s="3">
        <v>45837</v>
      </c>
      <c r="C539" t="s">
        <v>113</v>
      </c>
      <c r="D539" t="s">
        <v>174</v>
      </c>
      <c r="E539" t="s">
        <v>115</v>
      </c>
      <c r="F539" t="s">
        <v>145</v>
      </c>
      <c r="G539" t="s">
        <v>104</v>
      </c>
      <c r="H539" t="s">
        <v>308</v>
      </c>
      <c r="I539">
        <v>3</v>
      </c>
      <c r="J539" s="2">
        <v>39.380000000000003</v>
      </c>
      <c r="K539" s="4">
        <v>0.15</v>
      </c>
      <c r="L539" t="s">
        <v>98</v>
      </c>
      <c r="M539">
        <v>2</v>
      </c>
      <c r="N539" t="s">
        <v>91</v>
      </c>
      <c r="O539" t="str">
        <f>SUBSTITUTE(PROPER(TRIM(RawSalesTable[[#This Row],[Channel_Raw]])), "Market Place", "Marketplace")</f>
        <v>Online</v>
      </c>
      <c r="P539" t="str">
        <f>TRIM(RawSalesTable[[#This Row],[Store_Raw]])</f>
        <v>Calgary North</v>
      </c>
      <c r="Q539" t="str">
        <f>IF(TRIM(RawSalesTable[[#This Row],[Payment_Method_Raw]])="","Non renseigné",SUBSTITUTE(TRIM(RawSalesTable[[#This Row],[Payment_Method_Raw]]),"CC","Credit Card"))</f>
        <v>Debit Card</v>
      </c>
      <c r="R539" s="8" t="str">
        <f>UPPER(PROPER(RawSalesTable[[#This Row],[Customer_ID]]))</f>
        <v>C0083</v>
      </c>
      <c r="S539" s="8" t="str">
        <f>TRIM(LEFT(RawSalesTable[[#This Row],[Customer_Info]],FIND(",",RawSalesTable[[#This Row],[Customer_Info]]) -1))</f>
        <v>Amine King</v>
      </c>
      <c r="T539" s="8" t="str">
        <f>TRIM(MID(RawSalesTable[[#This Row],[Customer_Info]],FIND(",",RawSalesTable[[#This Row],[Customer_Info]])+1,FIND(",",RawSalesTable[[#This Row],[Customer_Info]],FIND(",",RawSalesTable[[#This Row],[Customer_Info]])+1)-FIND(",",RawSalesTable[[#This Row],[Customer_Info]])-1))</f>
        <v>Edmonton</v>
      </c>
      <c r="U539" s="8" t="str">
        <f>TRIM(RIGHT(RawSalesTable[[#This Row],[Customer_Info]], LEN(RawSalesTable[[#This Row],[Customer_Info]])-FIND(",",RawSalesTable[[#This Row],[Customer_Info]],FIND(",",RawSalesTable[[#This Row],[Customer_Info]])+1)))</f>
        <v>Consumer</v>
      </c>
      <c r="V539" s="8" t="str">
        <f>VLOOKUP(RawSalesTable[[#This Row],[Product_ID]],ProductsTable[],2,FALSE)</f>
        <v>Keyboard</v>
      </c>
      <c r="W539" s="8" t="str">
        <f>VLOOKUP(RawSalesTable[[#This Row],[Product_ID]],ProductsTable[],3,FALSE)</f>
        <v>Electronics</v>
      </c>
      <c r="X539" s="8">
        <f>VLOOKUP(RawSalesTable[[#This Row],[Product_ID]],ProductsTable[],5,FALSE)</f>
        <v>23.5</v>
      </c>
      <c r="Y539" s="8">
        <f>RawSalesTable[[#This Row],[Quantity]]*RawSalesTable[[#This Row],[Unit_Price]]</f>
        <v>118.14000000000001</v>
      </c>
      <c r="Z539" s="8">
        <f>RawSalesTable[[#This Row],[Gross_Sales]]*RawSalesTable[[#This Row],[Discount_Pct]]</f>
        <v>17.721</v>
      </c>
      <c r="AA539" s="8">
        <f>RawSalesTable[[#This Row],[Gross_Sales]]-RawSalesTable[[#This Row],[Discount_Amount]]</f>
        <v>100.41900000000001</v>
      </c>
      <c r="AB539" s="8">
        <f>RawSalesTable[[#This Row],[Unit_Cost]]*RawSalesTable[[#This Row],[Quantity]]</f>
        <v>70.5</v>
      </c>
      <c r="AC539" s="8">
        <f>RawSalesTable[[#This Row],[Net_Sales]]-RawSalesTable[[#This Row],[Total_Cost]]</f>
        <v>29.919000000000011</v>
      </c>
      <c r="AD539" s="9">
        <f>RawSalesTable[[#This Row],[Profit]]/RawSalesTable[[#This Row],[Net_Sales]]</f>
        <v>0.29794162459295559</v>
      </c>
      <c r="AE539" s="8">
        <f>IF(RawSalesTable[[#This Row],[Return_Status]]="Yes",1,0)</f>
        <v>0</v>
      </c>
      <c r="AF539" s="8">
        <f>YEAR(RawSalesTable[[#This Row],[Order_Date]])</f>
        <v>2025</v>
      </c>
      <c r="AG539" s="8">
        <f>MONTH(RawSalesTable[[#This Row],[Order_Date]])</f>
        <v>6</v>
      </c>
      <c r="AH539" s="8" t="str">
        <f>TEXT(RawSalesTable[[#This Row],[Order_Date]],"mmmm")</f>
        <v>juin</v>
      </c>
      <c r="AI539" s="8" t="str">
        <f>IF(RawSalesTable[[#This Row],[Month_Number]]&lt;=3,"Q1",IF(RawSalesTable[[#This Row],[Month_Number]]&lt;=6,"Q2",IF(RawSalesTable[[#This Row],[Month_Number]]&lt;=9,"Q3","Q4")))</f>
        <v>Q2</v>
      </c>
      <c r="AJ539" s="13">
        <f>DATE(YEAR(RawSalesTable[[#This Row],[Order_Date]]),MONTH(RawSalesTable[[#This Row],[Order_Date]]),1)</f>
        <v>45809</v>
      </c>
      <c r="AK539" s="8" t="str">
        <f>VLOOKUP(RawSalesTable[[#This Row],[Customer_ID_clean]],CustomersTable[],4,FALSE)</f>
        <v>Alberta</v>
      </c>
    </row>
    <row r="540" spans="1:37">
      <c r="A540" t="s">
        <v>969</v>
      </c>
      <c r="B540" s="3">
        <v>45806</v>
      </c>
      <c r="C540" t="s">
        <v>597</v>
      </c>
      <c r="D540" t="s">
        <v>174</v>
      </c>
      <c r="E540" t="s">
        <v>598</v>
      </c>
      <c r="F540" t="s">
        <v>116</v>
      </c>
      <c r="G540" t="s">
        <v>117</v>
      </c>
      <c r="H540" t="s">
        <v>89</v>
      </c>
      <c r="I540">
        <v>3</v>
      </c>
      <c r="J540" s="2">
        <v>38.880000000000003</v>
      </c>
      <c r="K540" s="4">
        <v>0</v>
      </c>
      <c r="L540" t="s">
        <v>90</v>
      </c>
      <c r="M540">
        <v>7</v>
      </c>
      <c r="N540" t="s">
        <v>91</v>
      </c>
      <c r="O540" t="str">
        <f>SUBSTITUTE(PROPER(TRIM(RawSalesTable[[#This Row],[Channel_Raw]])), "Market Place", "Marketplace")</f>
        <v>Online</v>
      </c>
      <c r="P540" t="str">
        <f>TRIM(RawSalesTable[[#This Row],[Store_Raw]])</f>
        <v>Toronto Downtown</v>
      </c>
      <c r="Q540" t="str">
        <f>IF(TRIM(RawSalesTable[[#This Row],[Payment_Method_Raw]])="","Non renseigné",SUBSTITUTE(TRIM(RawSalesTable[[#This Row],[Payment_Method_Raw]]),"CC","Credit Card"))</f>
        <v>PayPal</v>
      </c>
      <c r="R540" s="8" t="str">
        <f>UPPER(PROPER(RawSalesTable[[#This Row],[Customer_ID]]))</f>
        <v>C0004</v>
      </c>
      <c r="S540" s="8" t="str">
        <f>TRIM(LEFT(RawSalesTable[[#This Row],[Customer_Info]],FIND(",",RawSalesTable[[#This Row],[Customer_Info]]) -1))</f>
        <v>Mia Bennett</v>
      </c>
      <c r="T540" s="8" t="str">
        <f>TRIM(MID(RawSalesTable[[#This Row],[Customer_Info]],FIND(",",RawSalesTable[[#This Row],[Customer_Info]])+1,FIND(",",RawSalesTable[[#This Row],[Customer_Info]],FIND(",",RawSalesTable[[#This Row],[Customer_Info]])+1)-FIND(",",RawSalesTable[[#This Row],[Customer_Info]])-1))</f>
        <v>Laval</v>
      </c>
      <c r="U540" s="8" t="str">
        <f>TRIM(RIGHT(RawSalesTable[[#This Row],[Customer_Info]], LEN(RawSalesTable[[#This Row],[Customer_Info]])-FIND(",",RawSalesTable[[#This Row],[Customer_Info]],FIND(",",RawSalesTable[[#This Row],[Customer_Info]])+1)))</f>
        <v>Consumer</v>
      </c>
      <c r="V540" s="8" t="str">
        <f>VLOOKUP(RawSalesTable[[#This Row],[Product_ID]],ProductsTable[],2,FALSE)</f>
        <v>Keyboard</v>
      </c>
      <c r="W540" s="8" t="str">
        <f>VLOOKUP(RawSalesTable[[#This Row],[Product_ID]],ProductsTable[],3,FALSE)</f>
        <v>Electronics</v>
      </c>
      <c r="X540" s="8">
        <f>VLOOKUP(RawSalesTable[[#This Row],[Product_ID]],ProductsTable[],5,FALSE)</f>
        <v>23.5</v>
      </c>
      <c r="Y540" s="8">
        <f>RawSalesTable[[#This Row],[Quantity]]*RawSalesTable[[#This Row],[Unit_Price]]</f>
        <v>116.64000000000001</v>
      </c>
      <c r="Z540" s="8">
        <f>RawSalesTable[[#This Row],[Gross_Sales]]*RawSalesTable[[#This Row],[Discount_Pct]]</f>
        <v>0</v>
      </c>
      <c r="AA540" s="8">
        <f>RawSalesTable[[#This Row],[Gross_Sales]]-RawSalesTable[[#This Row],[Discount_Amount]]</f>
        <v>116.64000000000001</v>
      </c>
      <c r="AB540" s="8">
        <f>RawSalesTable[[#This Row],[Unit_Cost]]*RawSalesTable[[#This Row],[Quantity]]</f>
        <v>70.5</v>
      </c>
      <c r="AC540" s="8">
        <f>RawSalesTable[[#This Row],[Net_Sales]]-RawSalesTable[[#This Row],[Total_Cost]]</f>
        <v>46.140000000000015</v>
      </c>
      <c r="AD540" s="9">
        <f>RawSalesTable[[#This Row],[Profit]]/RawSalesTable[[#This Row],[Net_Sales]]</f>
        <v>0.39557613168724287</v>
      </c>
      <c r="AE540" s="8">
        <f>IF(RawSalesTable[[#This Row],[Return_Status]]="Yes",1,0)</f>
        <v>0</v>
      </c>
      <c r="AF540" s="8">
        <f>YEAR(RawSalesTable[[#This Row],[Order_Date]])</f>
        <v>2025</v>
      </c>
      <c r="AG540" s="8">
        <f>MONTH(RawSalesTable[[#This Row],[Order_Date]])</f>
        <v>5</v>
      </c>
      <c r="AH540" s="8" t="str">
        <f>TEXT(RawSalesTable[[#This Row],[Order_Date]],"mmmm")</f>
        <v>mai</v>
      </c>
      <c r="AI540" s="8" t="str">
        <f>IF(RawSalesTable[[#This Row],[Month_Number]]&lt;=3,"Q1",IF(RawSalesTable[[#This Row],[Month_Number]]&lt;=6,"Q2",IF(RawSalesTable[[#This Row],[Month_Number]]&lt;=9,"Q3","Q4")))</f>
        <v>Q2</v>
      </c>
      <c r="AJ540" s="13">
        <f>DATE(YEAR(RawSalesTable[[#This Row],[Order_Date]]),MONTH(RawSalesTable[[#This Row],[Order_Date]]),1)</f>
        <v>45778</v>
      </c>
      <c r="AK540" s="8" t="str">
        <f>VLOOKUP(RawSalesTable[[#This Row],[Customer_ID_clean]],CustomersTable[],4,FALSE)</f>
        <v>Quebec</v>
      </c>
    </row>
    <row r="541" spans="1:37">
      <c r="A541" t="s">
        <v>970</v>
      </c>
      <c r="B541" s="3">
        <v>45970</v>
      </c>
      <c r="C541" t="s">
        <v>758</v>
      </c>
      <c r="D541" t="s">
        <v>157</v>
      </c>
      <c r="E541" t="s">
        <v>759</v>
      </c>
      <c r="F541" t="s">
        <v>655</v>
      </c>
      <c r="G541" t="s">
        <v>88</v>
      </c>
      <c r="H541" t="s">
        <v>97</v>
      </c>
      <c r="I541">
        <v>3</v>
      </c>
      <c r="J541" s="2">
        <v>299.64</v>
      </c>
      <c r="K541" s="4">
        <v>0</v>
      </c>
      <c r="L541" t="s">
        <v>106</v>
      </c>
      <c r="M541">
        <v>3</v>
      </c>
      <c r="N541" t="s">
        <v>91</v>
      </c>
      <c r="O541" t="str">
        <f>SUBSTITUTE(PROPER(TRIM(RawSalesTable[[#This Row],[Channel_Raw]])), "Market Place", "Marketplace")</f>
        <v>Retail Store</v>
      </c>
      <c r="P541" t="str">
        <f>TRIM(RawSalesTable[[#This Row],[Store_Raw]])</f>
        <v>Online Fulfillment</v>
      </c>
      <c r="Q541" t="str">
        <f>IF(TRIM(RawSalesTable[[#This Row],[Payment_Method_Raw]])="","Non renseigné",SUBSTITUTE(TRIM(RawSalesTable[[#This Row],[Payment_Method_Raw]]),"CC","Credit Card"))</f>
        <v>Credit Card</v>
      </c>
      <c r="R541" s="8" t="str">
        <f>UPPER(PROPER(RawSalesTable[[#This Row],[Customer_ID]]))</f>
        <v>C0034</v>
      </c>
      <c r="S541" s="8" t="str">
        <f>TRIM(LEFT(RawSalesTable[[#This Row],[Customer_Info]],FIND(",",RawSalesTable[[#This Row],[Customer_Info]]) -1))</f>
        <v>Noah Tremblay</v>
      </c>
      <c r="T541" s="8" t="str">
        <f>TRIM(MID(RawSalesTable[[#This Row],[Customer_Info]],FIND(",",RawSalesTable[[#This Row],[Customer_Info]])+1,FIND(",",RawSalesTable[[#This Row],[Customer_Info]],FIND(",",RawSalesTable[[#This Row],[Customer_Info]])+1)-FIND(",",RawSalesTable[[#This Row],[Customer_Info]])-1))</f>
        <v>Toronto</v>
      </c>
      <c r="U541" s="8" t="str">
        <f>TRIM(RIGHT(RawSalesTable[[#This Row],[Customer_Info]], LEN(RawSalesTable[[#This Row],[Customer_Info]])-FIND(",",RawSalesTable[[#This Row],[Customer_Info]],FIND(",",RawSalesTable[[#This Row],[Customer_Info]])+1)))</f>
        <v>Corporate</v>
      </c>
      <c r="V541" s="8" t="str">
        <f>VLOOKUP(RawSalesTable[[#This Row],[Product_ID]],ProductsTable[],2,FALSE)</f>
        <v>Notebook</v>
      </c>
      <c r="W541" s="8" t="str">
        <f>VLOOKUP(RawSalesTable[[#This Row],[Product_ID]],ProductsTable[],3,FALSE)</f>
        <v>Office</v>
      </c>
      <c r="X541" s="8">
        <f>VLOOKUP(RawSalesTable[[#This Row],[Product_ID]],ProductsTable[],5,FALSE)</f>
        <v>176.13</v>
      </c>
      <c r="Y541" s="8">
        <f>RawSalesTable[[#This Row],[Quantity]]*RawSalesTable[[#This Row],[Unit_Price]]</f>
        <v>898.92</v>
      </c>
      <c r="Z541" s="8">
        <f>RawSalesTable[[#This Row],[Gross_Sales]]*RawSalesTable[[#This Row],[Discount_Pct]]</f>
        <v>0</v>
      </c>
      <c r="AA541" s="8">
        <f>RawSalesTable[[#This Row],[Gross_Sales]]-RawSalesTable[[#This Row],[Discount_Amount]]</f>
        <v>898.92</v>
      </c>
      <c r="AB541" s="8">
        <f>RawSalesTable[[#This Row],[Unit_Cost]]*RawSalesTable[[#This Row],[Quantity]]</f>
        <v>528.39</v>
      </c>
      <c r="AC541" s="8">
        <f>RawSalesTable[[#This Row],[Net_Sales]]-RawSalesTable[[#This Row],[Total_Cost]]</f>
        <v>370.53</v>
      </c>
      <c r="AD541" s="9">
        <f>RawSalesTable[[#This Row],[Profit]]/RawSalesTable[[#This Row],[Net_Sales]]</f>
        <v>0.41219463356027231</v>
      </c>
      <c r="AE541" s="8">
        <f>IF(RawSalesTable[[#This Row],[Return_Status]]="Yes",1,0)</f>
        <v>0</v>
      </c>
      <c r="AF541" s="8">
        <f>YEAR(RawSalesTable[[#This Row],[Order_Date]])</f>
        <v>2025</v>
      </c>
      <c r="AG541" s="8">
        <f>MONTH(RawSalesTable[[#This Row],[Order_Date]])</f>
        <v>11</v>
      </c>
      <c r="AH541" s="8" t="str">
        <f>TEXT(RawSalesTable[[#This Row],[Order_Date]],"mmmm")</f>
        <v>novembre</v>
      </c>
      <c r="AI541" s="8" t="str">
        <f>IF(RawSalesTable[[#This Row],[Month_Number]]&lt;=3,"Q1",IF(RawSalesTable[[#This Row],[Month_Number]]&lt;=6,"Q2",IF(RawSalesTable[[#This Row],[Month_Number]]&lt;=9,"Q3","Q4")))</f>
        <v>Q4</v>
      </c>
      <c r="AJ541" s="13">
        <f>DATE(YEAR(RawSalesTable[[#This Row],[Order_Date]]),MONTH(RawSalesTable[[#This Row],[Order_Date]]),1)</f>
        <v>45962</v>
      </c>
      <c r="AK541" s="8" t="str">
        <f>VLOOKUP(RawSalesTable[[#This Row],[Customer_ID_clean]],CustomersTable[],4,FALSE)</f>
        <v>Ontario</v>
      </c>
    </row>
    <row r="542" spans="1:37">
      <c r="A542" t="s">
        <v>972</v>
      </c>
      <c r="B542" s="3">
        <v>45693</v>
      </c>
      <c r="C542" t="s">
        <v>156</v>
      </c>
      <c r="D542" t="s">
        <v>125</v>
      </c>
      <c r="E542" t="s">
        <v>973</v>
      </c>
      <c r="F542" t="s">
        <v>87</v>
      </c>
      <c r="G542" t="s">
        <v>122</v>
      </c>
      <c r="H542" t="s">
        <v>105</v>
      </c>
      <c r="I542">
        <v>2</v>
      </c>
      <c r="J542" s="2">
        <v>56.24</v>
      </c>
      <c r="K542" s="4">
        <v>0</v>
      </c>
      <c r="L542" t="s">
        <v>98</v>
      </c>
      <c r="M542">
        <v>3</v>
      </c>
      <c r="N542" t="s">
        <v>91</v>
      </c>
      <c r="O542" t="str">
        <f>SUBSTITUTE(PROPER(TRIM(RawSalesTable[[#This Row],[Channel_Raw]])), "Market Place", "Marketplace")</f>
        <v>Marketplace</v>
      </c>
      <c r="P542" t="str">
        <f>TRIM(RawSalesTable[[#This Row],[Store_Raw]])</f>
        <v>Online Fulfillment</v>
      </c>
      <c r="Q542" t="str">
        <f>IF(TRIM(RawSalesTable[[#This Row],[Payment_Method_Raw]])="","Non renseigné",SUBSTITUTE(TRIM(RawSalesTable[[#This Row],[Payment_Method_Raw]]),"CC","Credit Card"))</f>
        <v>Debit Card</v>
      </c>
      <c r="R542" s="8" t="str">
        <f>UPPER(PROPER(RawSalesTable[[#This Row],[Customer_ID]]))</f>
        <v>C0112</v>
      </c>
      <c r="S542" s="8" t="str">
        <f>TRIM(LEFT(RawSalesTable[[#This Row],[Customer_Info]],FIND(",",RawSalesTable[[#This Row],[Customer_Info]]) -1))</f>
        <v>Ava Bennett</v>
      </c>
      <c r="T542" s="8" t="str">
        <f>TRIM(MID(RawSalesTable[[#This Row],[Customer_Info]],FIND(",",RawSalesTable[[#This Row],[Customer_Info]])+1,FIND(",",RawSalesTable[[#This Row],[Customer_Info]],FIND(",",RawSalesTable[[#This Row],[Customer_Info]])+1)-FIND(",",RawSalesTable[[#This Row],[Customer_Info]])-1))</f>
        <v>Halifax</v>
      </c>
      <c r="U542" s="8" t="str">
        <f>TRIM(RIGHT(RawSalesTable[[#This Row],[Customer_Info]], LEN(RawSalesTable[[#This Row],[Customer_Info]])-FIND(",",RawSalesTable[[#This Row],[Customer_Info]],FIND(",",RawSalesTable[[#This Row],[Customer_Info]])+1)))</f>
        <v>Consumer</v>
      </c>
      <c r="V542" s="8" t="str">
        <f>VLOOKUP(RawSalesTable[[#This Row],[Product_ID]],ProductsTable[],2,FALSE)</f>
        <v>Kettlebell</v>
      </c>
      <c r="W542" s="8" t="str">
        <f>VLOOKUP(RawSalesTable[[#This Row],[Product_ID]],ProductsTable[],3,FALSE)</f>
        <v>Fitness</v>
      </c>
      <c r="X542" s="8">
        <f>VLOOKUP(RawSalesTable[[#This Row],[Product_ID]],ProductsTable[],5,FALSE)</f>
        <v>25.97</v>
      </c>
      <c r="Y542" s="8">
        <f>RawSalesTable[[#This Row],[Quantity]]*RawSalesTable[[#This Row],[Unit_Price]]</f>
        <v>112.48</v>
      </c>
      <c r="Z542" s="8">
        <f>RawSalesTable[[#This Row],[Gross_Sales]]*RawSalesTable[[#This Row],[Discount_Pct]]</f>
        <v>0</v>
      </c>
      <c r="AA542" s="8">
        <f>RawSalesTable[[#This Row],[Gross_Sales]]-RawSalesTable[[#This Row],[Discount_Amount]]</f>
        <v>112.48</v>
      </c>
      <c r="AB542" s="8">
        <f>RawSalesTable[[#This Row],[Unit_Cost]]*RawSalesTable[[#This Row],[Quantity]]</f>
        <v>51.94</v>
      </c>
      <c r="AC542" s="8">
        <f>RawSalesTable[[#This Row],[Net_Sales]]-RawSalesTable[[#This Row],[Total_Cost]]</f>
        <v>60.540000000000006</v>
      </c>
      <c r="AD542" s="9">
        <f>RawSalesTable[[#This Row],[Profit]]/RawSalesTable[[#This Row],[Net_Sales]]</f>
        <v>0.53822901849217641</v>
      </c>
      <c r="AE542" s="8">
        <f>IF(RawSalesTable[[#This Row],[Return_Status]]="Yes",1,0)</f>
        <v>0</v>
      </c>
      <c r="AF542" s="8">
        <f>YEAR(RawSalesTable[[#This Row],[Order_Date]])</f>
        <v>2025</v>
      </c>
      <c r="AG542" s="8">
        <f>MONTH(RawSalesTable[[#This Row],[Order_Date]])</f>
        <v>2</v>
      </c>
      <c r="AH542" s="8" t="str">
        <f>TEXT(RawSalesTable[[#This Row],[Order_Date]],"mmmm")</f>
        <v>février</v>
      </c>
      <c r="AI542" s="8" t="str">
        <f>IF(RawSalesTable[[#This Row],[Month_Number]]&lt;=3,"Q1",IF(RawSalesTable[[#This Row],[Month_Number]]&lt;=6,"Q2",IF(RawSalesTable[[#This Row],[Month_Number]]&lt;=9,"Q3","Q4")))</f>
        <v>Q1</v>
      </c>
      <c r="AJ542" s="13">
        <f>DATE(YEAR(RawSalesTable[[#This Row],[Order_Date]]),MONTH(RawSalesTable[[#This Row],[Order_Date]]),1)</f>
        <v>45689</v>
      </c>
      <c r="AK542" s="8" t="str">
        <f>VLOOKUP(RawSalesTable[[#This Row],[Customer_ID_clean]],CustomersTable[],4,FALSE)</f>
        <v>Nova Scotia</v>
      </c>
    </row>
    <row r="543" spans="1:37">
      <c r="A543" t="s">
        <v>974</v>
      </c>
      <c r="B543" s="3">
        <v>45722</v>
      </c>
      <c r="C543" t="s">
        <v>164</v>
      </c>
      <c r="D543" t="s">
        <v>152</v>
      </c>
      <c r="E543" t="s">
        <v>166</v>
      </c>
      <c r="F543" t="s">
        <v>87</v>
      </c>
      <c r="G543" t="s">
        <v>104</v>
      </c>
      <c r="H543" t="s">
        <v>228</v>
      </c>
      <c r="I543">
        <v>2</v>
      </c>
      <c r="J543" s="2">
        <v>136.83000000000001</v>
      </c>
      <c r="K543" s="4">
        <v>0.15</v>
      </c>
      <c r="L543" t="s">
        <v>90</v>
      </c>
      <c r="M543">
        <v>3</v>
      </c>
      <c r="N543" t="s">
        <v>91</v>
      </c>
      <c r="O543" t="str">
        <f>SUBSTITUTE(PROPER(TRIM(RawSalesTable[[#This Row],[Channel_Raw]])), "Market Place", "Marketplace")</f>
        <v>Online</v>
      </c>
      <c r="P543" t="str">
        <f>TRIM(RawSalesTable[[#This Row],[Store_Raw]])</f>
        <v>Online Fulfillment</v>
      </c>
      <c r="Q543" t="str">
        <f>IF(TRIM(RawSalesTable[[#This Row],[Payment_Method_Raw]])="","Non renseigné",SUBSTITUTE(TRIM(RawSalesTable[[#This Row],[Payment_Method_Raw]]),"CC","Credit Card"))</f>
        <v>PayPal</v>
      </c>
      <c r="R543" s="8" t="str">
        <f>UPPER(PROPER(RawSalesTable[[#This Row],[Customer_ID]]))</f>
        <v>C0032</v>
      </c>
      <c r="S543" s="8" t="str">
        <f>TRIM(LEFT(RawSalesTable[[#This Row],[Customer_Info]],FIND(",",RawSalesTable[[#This Row],[Customer_Info]]) -1))</f>
        <v>Nora Bennett</v>
      </c>
      <c r="T543" s="8" t="str">
        <f>TRIM(MID(RawSalesTable[[#This Row],[Customer_Info]],FIND(",",RawSalesTable[[#This Row],[Customer_Info]])+1,FIND(",",RawSalesTable[[#This Row],[Customer_Info]],FIND(",",RawSalesTable[[#This Row],[Customer_Info]])+1)-FIND(",",RawSalesTable[[#This Row],[Customer_Info]])-1))</f>
        <v>Surrey</v>
      </c>
      <c r="U543" s="8" t="str">
        <f>TRIM(RIGHT(RawSalesTable[[#This Row],[Customer_Info]], LEN(RawSalesTable[[#This Row],[Customer_Info]])-FIND(",",RawSalesTable[[#This Row],[Customer_Info]],FIND(",",RawSalesTable[[#This Row],[Customer_Info]])+1)))</f>
        <v>Consumer</v>
      </c>
      <c r="V543" s="8" t="str">
        <f>VLOOKUP(RawSalesTable[[#This Row],[Product_ID]],ProductsTable[],2,FALSE)</f>
        <v>Smart Speaker</v>
      </c>
      <c r="W543" s="8" t="str">
        <f>VLOOKUP(RawSalesTable[[#This Row],[Product_ID]],ProductsTable[],3,FALSE)</f>
        <v>Electronics</v>
      </c>
      <c r="X543" s="8">
        <f>VLOOKUP(RawSalesTable[[#This Row],[Product_ID]],ProductsTable[],5,FALSE)</f>
        <v>69</v>
      </c>
      <c r="Y543" s="8">
        <f>RawSalesTable[[#This Row],[Quantity]]*RawSalesTable[[#This Row],[Unit_Price]]</f>
        <v>273.66000000000003</v>
      </c>
      <c r="Z543" s="8">
        <f>RawSalesTable[[#This Row],[Gross_Sales]]*RawSalesTable[[#This Row],[Discount_Pct]]</f>
        <v>41.048999999999999</v>
      </c>
      <c r="AA543" s="8">
        <f>RawSalesTable[[#This Row],[Gross_Sales]]-RawSalesTable[[#This Row],[Discount_Amount]]</f>
        <v>232.61100000000002</v>
      </c>
      <c r="AB543" s="8">
        <f>RawSalesTable[[#This Row],[Unit_Cost]]*RawSalesTable[[#This Row],[Quantity]]</f>
        <v>138</v>
      </c>
      <c r="AC543" s="8">
        <f>RawSalesTable[[#This Row],[Net_Sales]]-RawSalesTable[[#This Row],[Total_Cost]]</f>
        <v>94.611000000000018</v>
      </c>
      <c r="AD543" s="9">
        <f>RawSalesTable[[#This Row],[Profit]]/RawSalesTable[[#This Row],[Net_Sales]]</f>
        <v>0.406734849168784</v>
      </c>
      <c r="AE543" s="8">
        <f>IF(RawSalesTable[[#This Row],[Return_Status]]="Yes",1,0)</f>
        <v>0</v>
      </c>
      <c r="AF543" s="8">
        <f>YEAR(RawSalesTable[[#This Row],[Order_Date]])</f>
        <v>2025</v>
      </c>
      <c r="AG543" s="8">
        <f>MONTH(RawSalesTable[[#This Row],[Order_Date]])</f>
        <v>3</v>
      </c>
      <c r="AH543" s="8" t="str">
        <f>TEXT(RawSalesTable[[#This Row],[Order_Date]],"mmmm")</f>
        <v>mars</v>
      </c>
      <c r="AI543" s="8" t="str">
        <f>IF(RawSalesTable[[#This Row],[Month_Number]]&lt;=3,"Q1",IF(RawSalesTable[[#This Row],[Month_Number]]&lt;=6,"Q2",IF(RawSalesTable[[#This Row],[Month_Number]]&lt;=9,"Q3","Q4")))</f>
        <v>Q1</v>
      </c>
      <c r="AJ543" s="13">
        <f>DATE(YEAR(RawSalesTable[[#This Row],[Order_Date]]),MONTH(RawSalesTable[[#This Row],[Order_Date]]),1)</f>
        <v>45717</v>
      </c>
      <c r="AK543" s="8" t="str">
        <f>VLOOKUP(RawSalesTable[[#This Row],[Customer_ID_clean]],CustomersTable[],4,FALSE)</f>
        <v>British Columbia</v>
      </c>
    </row>
    <row r="544" spans="1:37">
      <c r="A544" t="s">
        <v>975</v>
      </c>
      <c r="B544" s="3">
        <v>45721</v>
      </c>
      <c r="C544" t="s">
        <v>119</v>
      </c>
      <c r="D544" t="s">
        <v>139</v>
      </c>
      <c r="E544" t="s">
        <v>976</v>
      </c>
      <c r="F544" t="s">
        <v>103</v>
      </c>
      <c r="G544" t="s">
        <v>88</v>
      </c>
      <c r="H544" t="s">
        <v>89</v>
      </c>
      <c r="I544">
        <v>1</v>
      </c>
      <c r="J544" s="2">
        <v>82.59</v>
      </c>
      <c r="K544" s="4">
        <v>0.2</v>
      </c>
      <c r="L544" t="s">
        <v>90</v>
      </c>
      <c r="M544">
        <v>6</v>
      </c>
      <c r="N544" t="s">
        <v>91</v>
      </c>
      <c r="O544" t="str">
        <f>SUBSTITUTE(PROPER(TRIM(RawSalesTable[[#This Row],[Channel_Raw]])), "Market Place", "Marketplace")</f>
        <v>Online</v>
      </c>
      <c r="P544" t="str">
        <f>TRIM(RawSalesTable[[#This Row],[Store_Raw]])</f>
        <v>Vancouver West</v>
      </c>
      <c r="Q544" t="str">
        <f>IF(TRIM(RawSalesTable[[#This Row],[Payment_Method_Raw]])="","Non renseigné",SUBSTITUTE(TRIM(RawSalesTable[[#This Row],[Payment_Method_Raw]]),"CC","Credit Card"))</f>
        <v>PayPal</v>
      </c>
      <c r="R544" s="8" t="str">
        <f>UPPER(PROPER(RawSalesTable[[#This Row],[Customer_ID]]))</f>
        <v>C0057</v>
      </c>
      <c r="S544" s="8" t="str">
        <f>TRIM(LEFT(RawSalesTable[[#This Row],[Customer_Info]],FIND(",",RawSalesTable[[#This Row],[Customer_Info]]) -1))</f>
        <v>Adam Khan</v>
      </c>
      <c r="T544" s="8" t="str">
        <f>TRIM(MID(RawSalesTable[[#This Row],[Customer_Info]],FIND(",",RawSalesTable[[#This Row],[Customer_Info]])+1,FIND(",",RawSalesTable[[#This Row],[Customer_Info]],FIND(",",RawSalesTable[[#This Row],[Customer_Info]])+1)-FIND(",",RawSalesTable[[#This Row],[Customer_Info]])-1))</f>
        <v>Edmonton</v>
      </c>
      <c r="U544" s="8" t="str">
        <f>TRIM(RIGHT(RawSalesTable[[#This Row],[Customer_Info]], LEN(RawSalesTable[[#This Row],[Customer_Info]])-FIND(",",RawSalesTable[[#This Row],[Customer_Info]],FIND(",",RawSalesTable[[#This Row],[Customer_Info]])+1)))</f>
        <v>Small Business</v>
      </c>
      <c r="V544" s="8" t="str">
        <f>VLOOKUP(RawSalesTable[[#This Row],[Product_ID]],ProductsTable[],2,FALSE)</f>
        <v>Standing Desk</v>
      </c>
      <c r="W544" s="8" t="str">
        <f>VLOOKUP(RawSalesTable[[#This Row],[Product_ID]],ProductsTable[],3,FALSE)</f>
        <v>Office</v>
      </c>
      <c r="X544" s="8">
        <f>VLOOKUP(RawSalesTable[[#This Row],[Product_ID]],ProductsTable[],5,FALSE)</f>
        <v>45.17</v>
      </c>
      <c r="Y544" s="8">
        <f>RawSalesTable[[#This Row],[Quantity]]*RawSalesTable[[#This Row],[Unit_Price]]</f>
        <v>82.59</v>
      </c>
      <c r="Z544" s="8">
        <f>RawSalesTable[[#This Row],[Gross_Sales]]*RawSalesTable[[#This Row],[Discount_Pct]]</f>
        <v>16.518000000000001</v>
      </c>
      <c r="AA544" s="8">
        <f>RawSalesTable[[#This Row],[Gross_Sales]]-RawSalesTable[[#This Row],[Discount_Amount]]</f>
        <v>66.072000000000003</v>
      </c>
      <c r="AB544" s="8">
        <f>RawSalesTable[[#This Row],[Unit_Cost]]*RawSalesTable[[#This Row],[Quantity]]</f>
        <v>45.17</v>
      </c>
      <c r="AC544" s="8">
        <f>RawSalesTable[[#This Row],[Net_Sales]]-RawSalesTable[[#This Row],[Total_Cost]]</f>
        <v>20.902000000000001</v>
      </c>
      <c r="AD544" s="9">
        <f>RawSalesTable[[#This Row],[Profit]]/RawSalesTable[[#This Row],[Net_Sales]]</f>
        <v>0.31635185857852038</v>
      </c>
      <c r="AE544" s="8">
        <f>IF(RawSalesTable[[#This Row],[Return_Status]]="Yes",1,0)</f>
        <v>0</v>
      </c>
      <c r="AF544" s="8">
        <f>YEAR(RawSalesTable[[#This Row],[Order_Date]])</f>
        <v>2025</v>
      </c>
      <c r="AG544" s="8">
        <f>MONTH(RawSalesTable[[#This Row],[Order_Date]])</f>
        <v>3</v>
      </c>
      <c r="AH544" s="8" t="str">
        <f>TEXT(RawSalesTable[[#This Row],[Order_Date]],"mmmm")</f>
        <v>mars</v>
      </c>
      <c r="AI544" s="8" t="str">
        <f>IF(RawSalesTable[[#This Row],[Month_Number]]&lt;=3,"Q1",IF(RawSalesTable[[#This Row],[Month_Number]]&lt;=6,"Q2",IF(RawSalesTable[[#This Row],[Month_Number]]&lt;=9,"Q3","Q4")))</f>
        <v>Q1</v>
      </c>
      <c r="AJ544" s="13">
        <f>DATE(YEAR(RawSalesTable[[#This Row],[Order_Date]]),MONTH(RawSalesTable[[#This Row],[Order_Date]]),1)</f>
        <v>45717</v>
      </c>
      <c r="AK544" s="8" t="str">
        <f>VLOOKUP(RawSalesTable[[#This Row],[Customer_ID_clean]],CustomersTable[],4,FALSE)</f>
        <v>Alberta</v>
      </c>
    </row>
    <row r="545" spans="1:37">
      <c r="A545" t="s">
        <v>977</v>
      </c>
      <c r="B545" s="3">
        <v>45928</v>
      </c>
      <c r="C545" t="s">
        <v>93</v>
      </c>
      <c r="D545" t="s">
        <v>139</v>
      </c>
      <c r="E545" t="s">
        <v>95</v>
      </c>
      <c r="F545" t="s">
        <v>145</v>
      </c>
      <c r="G545" t="s">
        <v>171</v>
      </c>
      <c r="H545" t="s">
        <v>89</v>
      </c>
      <c r="I545">
        <v>2</v>
      </c>
      <c r="J545" s="2">
        <v>82.4</v>
      </c>
      <c r="K545" s="4">
        <v>0.05</v>
      </c>
      <c r="L545" t="s">
        <v>106</v>
      </c>
      <c r="M545">
        <v>7</v>
      </c>
      <c r="N545" t="s">
        <v>91</v>
      </c>
      <c r="O545" t="str">
        <f>SUBSTITUTE(PROPER(TRIM(RawSalesTable[[#This Row],[Channel_Raw]])), "Market Place", "Marketplace")</f>
        <v>Online</v>
      </c>
      <c r="P545" t="str">
        <f>TRIM(RawSalesTable[[#This Row],[Store_Raw]])</f>
        <v>Calgary North</v>
      </c>
      <c r="Q545" t="str">
        <f>IF(TRIM(RawSalesTable[[#This Row],[Payment_Method_Raw]])="","Non renseigné",SUBSTITUTE(TRIM(RawSalesTable[[#This Row],[Payment_Method_Raw]]),"CC","Credit Card"))</f>
        <v>Credit Card</v>
      </c>
      <c r="R545" s="8" t="str">
        <f>UPPER(PROPER(RawSalesTable[[#This Row],[Customer_ID]]))</f>
        <v>C0084</v>
      </c>
      <c r="S545" s="8" t="str">
        <f>TRIM(LEFT(RawSalesTable[[#This Row],[Customer_Info]],FIND(",",RawSalesTable[[#This Row],[Customer_Info]]) -1))</f>
        <v>Ryan Clark</v>
      </c>
      <c r="T545" s="8" t="str">
        <f>TRIM(MID(RawSalesTable[[#This Row],[Customer_Info]],FIND(",",RawSalesTable[[#This Row],[Customer_Info]])+1,FIND(",",RawSalesTable[[#This Row],[Customer_Info]],FIND(",",RawSalesTable[[#This Row],[Customer_Info]])+1)-FIND(",",RawSalesTable[[#This Row],[Customer_Info]])-1))</f>
        <v>Montreal</v>
      </c>
      <c r="U545" s="8" t="str">
        <f>TRIM(RIGHT(RawSalesTable[[#This Row],[Customer_Info]], LEN(RawSalesTable[[#This Row],[Customer_Info]])-FIND(",",RawSalesTable[[#This Row],[Customer_Info]],FIND(",",RawSalesTable[[#This Row],[Customer_Info]])+1)))</f>
        <v>Corporate</v>
      </c>
      <c r="V545" s="8" t="str">
        <f>VLOOKUP(RawSalesTable[[#This Row],[Product_ID]],ProductsTable[],2,FALSE)</f>
        <v>Standing Desk</v>
      </c>
      <c r="W545" s="8" t="str">
        <f>VLOOKUP(RawSalesTable[[#This Row],[Product_ID]],ProductsTable[],3,FALSE)</f>
        <v>Office</v>
      </c>
      <c r="X545" s="8">
        <f>VLOOKUP(RawSalesTable[[#This Row],[Product_ID]],ProductsTable[],5,FALSE)</f>
        <v>45.17</v>
      </c>
      <c r="Y545" s="8">
        <f>RawSalesTable[[#This Row],[Quantity]]*RawSalesTable[[#This Row],[Unit_Price]]</f>
        <v>164.8</v>
      </c>
      <c r="Z545" s="8">
        <f>RawSalesTable[[#This Row],[Gross_Sales]]*RawSalesTable[[#This Row],[Discount_Pct]]</f>
        <v>8.24</v>
      </c>
      <c r="AA545" s="8">
        <f>RawSalesTable[[#This Row],[Gross_Sales]]-RawSalesTable[[#This Row],[Discount_Amount]]</f>
        <v>156.56</v>
      </c>
      <c r="AB545" s="8">
        <f>RawSalesTable[[#This Row],[Unit_Cost]]*RawSalesTable[[#This Row],[Quantity]]</f>
        <v>90.34</v>
      </c>
      <c r="AC545" s="8">
        <f>RawSalesTable[[#This Row],[Net_Sales]]-RawSalesTable[[#This Row],[Total_Cost]]</f>
        <v>66.22</v>
      </c>
      <c r="AD545" s="9">
        <f>RawSalesTable[[#This Row],[Profit]]/RawSalesTable[[#This Row],[Net_Sales]]</f>
        <v>0.42296882984159428</v>
      </c>
      <c r="AE545" s="8">
        <f>IF(RawSalesTable[[#This Row],[Return_Status]]="Yes",1,0)</f>
        <v>0</v>
      </c>
      <c r="AF545" s="8">
        <f>YEAR(RawSalesTable[[#This Row],[Order_Date]])</f>
        <v>2025</v>
      </c>
      <c r="AG545" s="8">
        <f>MONTH(RawSalesTable[[#This Row],[Order_Date]])</f>
        <v>9</v>
      </c>
      <c r="AH545" s="8" t="str">
        <f>TEXT(RawSalesTable[[#This Row],[Order_Date]],"mmmm")</f>
        <v>septembre</v>
      </c>
      <c r="AI545" s="8" t="str">
        <f>IF(RawSalesTable[[#This Row],[Month_Number]]&lt;=3,"Q1",IF(RawSalesTable[[#This Row],[Month_Number]]&lt;=6,"Q2",IF(RawSalesTable[[#This Row],[Month_Number]]&lt;=9,"Q3","Q4")))</f>
        <v>Q3</v>
      </c>
      <c r="AJ545" s="13">
        <f>DATE(YEAR(RawSalesTable[[#This Row],[Order_Date]]),MONTH(RawSalesTable[[#This Row],[Order_Date]]),1)</f>
        <v>45901</v>
      </c>
      <c r="AK545" s="8" t="str">
        <f>VLOOKUP(RawSalesTable[[#This Row],[Customer_ID_clean]],CustomersTable[],4,FALSE)</f>
        <v>Quebec</v>
      </c>
    </row>
    <row r="546" spans="1:37">
      <c r="A546" t="s">
        <v>978</v>
      </c>
      <c r="B546" s="3">
        <v>45773</v>
      </c>
      <c r="C546" t="s">
        <v>319</v>
      </c>
      <c r="D546" t="s">
        <v>194</v>
      </c>
      <c r="E546" t="s">
        <v>320</v>
      </c>
      <c r="F546" t="s">
        <v>116</v>
      </c>
      <c r="G546" t="s">
        <v>96</v>
      </c>
      <c r="H546" t="s">
        <v>105</v>
      </c>
      <c r="I546">
        <v>1</v>
      </c>
      <c r="J546" s="2">
        <v>191.25</v>
      </c>
      <c r="K546" s="4">
        <v>0</v>
      </c>
      <c r="L546" t="s">
        <v>98</v>
      </c>
      <c r="M546">
        <v>1</v>
      </c>
      <c r="N546" t="s">
        <v>91</v>
      </c>
      <c r="O546" t="str">
        <f>SUBSTITUTE(PROPER(TRIM(RawSalesTable[[#This Row],[Channel_Raw]])), "Market Place", "Marketplace")</f>
        <v>Marketplace</v>
      </c>
      <c r="P546" t="str">
        <f>TRIM(RawSalesTable[[#This Row],[Store_Raw]])</f>
        <v>Toronto Downtown</v>
      </c>
      <c r="Q546" t="str">
        <f>IF(TRIM(RawSalesTable[[#This Row],[Payment_Method_Raw]])="","Non renseigné",SUBSTITUTE(TRIM(RawSalesTable[[#This Row],[Payment_Method_Raw]]),"CC","Credit Card"))</f>
        <v>Debit Card</v>
      </c>
      <c r="R546" s="8" t="str">
        <f>UPPER(PROPER(RawSalesTable[[#This Row],[Customer_ID]]))</f>
        <v>C0013</v>
      </c>
      <c r="S546" s="8" t="str">
        <f>TRIM(LEFT(RawSalesTable[[#This Row],[Customer_Info]],FIND(",",RawSalesTable[[#This Row],[Customer_Info]]) -1))</f>
        <v>Amelia Martin</v>
      </c>
      <c r="T546" s="8" t="str">
        <f>TRIM(MID(RawSalesTable[[#This Row],[Customer_Info]],FIND(",",RawSalesTable[[#This Row],[Customer_Info]])+1,FIND(",",RawSalesTable[[#This Row],[Customer_Info]],FIND(",",RawSalesTable[[#This Row],[Customer_Info]])+1)-FIND(",",RawSalesTable[[#This Row],[Customer_Info]])-1))</f>
        <v>Quebec City</v>
      </c>
      <c r="U546" s="8" t="str">
        <f>TRIM(RIGHT(RawSalesTable[[#This Row],[Customer_Info]], LEN(RawSalesTable[[#This Row],[Customer_Info]])-FIND(",",RawSalesTable[[#This Row],[Customer_Info]],FIND(",",RawSalesTable[[#This Row],[Customer_Info]])+1)))</f>
        <v>Small Business</v>
      </c>
      <c r="V546" s="8" t="str">
        <f>VLOOKUP(RawSalesTable[[#This Row],[Product_ID]],ProductsTable[],2,FALSE)</f>
        <v>Jump Rope</v>
      </c>
      <c r="W546" s="8" t="str">
        <f>VLOOKUP(RawSalesTable[[#This Row],[Product_ID]],ProductsTable[],3,FALSE)</f>
        <v>Fitness</v>
      </c>
      <c r="X546" s="8">
        <f>VLOOKUP(RawSalesTable[[#This Row],[Product_ID]],ProductsTable[],5,FALSE)</f>
        <v>101</v>
      </c>
      <c r="Y546" s="8">
        <f>RawSalesTable[[#This Row],[Quantity]]*RawSalesTable[[#This Row],[Unit_Price]]</f>
        <v>191.25</v>
      </c>
      <c r="Z546" s="8">
        <f>RawSalesTable[[#This Row],[Gross_Sales]]*RawSalesTable[[#This Row],[Discount_Pct]]</f>
        <v>0</v>
      </c>
      <c r="AA546" s="8">
        <f>RawSalesTable[[#This Row],[Gross_Sales]]-RawSalesTable[[#This Row],[Discount_Amount]]</f>
        <v>191.25</v>
      </c>
      <c r="AB546" s="8">
        <f>RawSalesTable[[#This Row],[Unit_Cost]]*RawSalesTable[[#This Row],[Quantity]]</f>
        <v>101</v>
      </c>
      <c r="AC546" s="8">
        <f>RawSalesTable[[#This Row],[Net_Sales]]-RawSalesTable[[#This Row],[Total_Cost]]</f>
        <v>90.25</v>
      </c>
      <c r="AD546" s="9">
        <f>RawSalesTable[[#This Row],[Profit]]/RawSalesTable[[#This Row],[Net_Sales]]</f>
        <v>0.4718954248366013</v>
      </c>
      <c r="AE546" s="8">
        <f>IF(RawSalesTable[[#This Row],[Return_Status]]="Yes",1,0)</f>
        <v>0</v>
      </c>
      <c r="AF546" s="8">
        <f>YEAR(RawSalesTable[[#This Row],[Order_Date]])</f>
        <v>2025</v>
      </c>
      <c r="AG546" s="8">
        <f>MONTH(RawSalesTable[[#This Row],[Order_Date]])</f>
        <v>4</v>
      </c>
      <c r="AH546" s="8" t="str">
        <f>TEXT(RawSalesTable[[#This Row],[Order_Date]],"mmmm")</f>
        <v>avril</v>
      </c>
      <c r="AI546" s="8" t="str">
        <f>IF(RawSalesTable[[#This Row],[Month_Number]]&lt;=3,"Q1",IF(RawSalesTable[[#This Row],[Month_Number]]&lt;=6,"Q2",IF(RawSalesTable[[#This Row],[Month_Number]]&lt;=9,"Q3","Q4")))</f>
        <v>Q2</v>
      </c>
      <c r="AJ546" s="13">
        <f>DATE(YEAR(RawSalesTable[[#This Row],[Order_Date]]),MONTH(RawSalesTable[[#This Row],[Order_Date]]),1)</f>
        <v>45748</v>
      </c>
      <c r="AK546" s="8" t="str">
        <f>VLOOKUP(RawSalesTable[[#This Row],[Customer_ID_clean]],CustomersTable[],4,FALSE)</f>
        <v>Quebec</v>
      </c>
    </row>
    <row r="547" spans="1:37">
      <c r="A547" t="s">
        <v>979</v>
      </c>
      <c r="B547" s="3">
        <v>45807</v>
      </c>
      <c r="C547" t="s">
        <v>661</v>
      </c>
      <c r="D547" t="s">
        <v>261</v>
      </c>
      <c r="E547" t="s">
        <v>662</v>
      </c>
      <c r="F547" t="s">
        <v>103</v>
      </c>
      <c r="G547" t="s">
        <v>88</v>
      </c>
      <c r="H547" t="s">
        <v>105</v>
      </c>
      <c r="I547">
        <v>1</v>
      </c>
      <c r="J547" s="2">
        <v>257.38</v>
      </c>
      <c r="K547" s="4">
        <v>0.05</v>
      </c>
      <c r="L547" t="s">
        <v>90</v>
      </c>
      <c r="M547">
        <v>6</v>
      </c>
      <c r="N547" t="s">
        <v>91</v>
      </c>
      <c r="O547" t="str">
        <f>SUBSTITUTE(PROPER(TRIM(RawSalesTable[[#This Row],[Channel_Raw]])), "Market Place", "Marketplace")</f>
        <v>Marketplace</v>
      </c>
      <c r="P547" t="str">
        <f>TRIM(RawSalesTable[[#This Row],[Store_Raw]])</f>
        <v>Vancouver West</v>
      </c>
      <c r="Q547" t="str">
        <f>IF(TRIM(RawSalesTable[[#This Row],[Payment_Method_Raw]])="","Non renseigné",SUBSTITUTE(TRIM(RawSalesTable[[#This Row],[Payment_Method_Raw]]),"CC","Credit Card"))</f>
        <v>PayPal</v>
      </c>
      <c r="R547" s="8" t="str">
        <f>UPPER(PROPER(RawSalesTable[[#This Row],[Customer_ID]]))</f>
        <v>C0111</v>
      </c>
      <c r="S547" s="8" t="str">
        <f>TRIM(LEFT(RawSalesTable[[#This Row],[Customer_Info]],FIND(",",RawSalesTable[[#This Row],[Customer_Info]]) -1))</f>
        <v>Noah Khan</v>
      </c>
      <c r="T547" s="8" t="str">
        <f>TRIM(MID(RawSalesTable[[#This Row],[Customer_Info]],FIND(",",RawSalesTable[[#This Row],[Customer_Info]])+1,FIND(",",RawSalesTable[[#This Row],[Customer_Info]],FIND(",",RawSalesTable[[#This Row],[Customer_Info]])+1)-FIND(",",RawSalesTable[[#This Row],[Customer_Info]])-1))</f>
        <v>Halifax</v>
      </c>
      <c r="U547" s="8" t="str">
        <f>TRIM(RIGHT(RawSalesTable[[#This Row],[Customer_Info]], LEN(RawSalesTable[[#This Row],[Customer_Info]])-FIND(",",RawSalesTable[[#This Row],[Customer_Info]],FIND(",",RawSalesTable[[#This Row],[Customer_Info]])+1)))</f>
        <v>Consumer</v>
      </c>
      <c r="V547" s="8" t="str">
        <f>VLOOKUP(RawSalesTable[[#This Row],[Product_ID]],ProductsTable[],2,FALSE)</f>
        <v>Dumbbell Set</v>
      </c>
      <c r="W547" s="8" t="str">
        <f>VLOOKUP(RawSalesTable[[#This Row],[Product_ID]],ProductsTable[],3,FALSE)</f>
        <v>Fitness</v>
      </c>
      <c r="X547" s="8">
        <f>VLOOKUP(RawSalesTable[[#This Row],[Product_ID]],ProductsTable[],5,FALSE)</f>
        <v>131.72999999999999</v>
      </c>
      <c r="Y547" s="8">
        <f>RawSalesTable[[#This Row],[Quantity]]*RawSalesTable[[#This Row],[Unit_Price]]</f>
        <v>257.38</v>
      </c>
      <c r="Z547" s="8">
        <f>RawSalesTable[[#This Row],[Gross_Sales]]*RawSalesTable[[#This Row],[Discount_Pct]]</f>
        <v>12.869</v>
      </c>
      <c r="AA547" s="8">
        <f>RawSalesTable[[#This Row],[Gross_Sales]]-RawSalesTable[[#This Row],[Discount_Amount]]</f>
        <v>244.511</v>
      </c>
      <c r="AB547" s="8">
        <f>RawSalesTable[[#This Row],[Unit_Cost]]*RawSalesTable[[#This Row],[Quantity]]</f>
        <v>131.72999999999999</v>
      </c>
      <c r="AC547" s="8">
        <f>RawSalesTable[[#This Row],[Net_Sales]]-RawSalesTable[[#This Row],[Total_Cost]]</f>
        <v>112.78100000000001</v>
      </c>
      <c r="AD547" s="9">
        <f>RawSalesTable[[#This Row],[Profit]]/RawSalesTable[[#This Row],[Net_Sales]]</f>
        <v>0.46125123205090979</v>
      </c>
      <c r="AE547" s="8">
        <f>IF(RawSalesTable[[#This Row],[Return_Status]]="Yes",1,0)</f>
        <v>0</v>
      </c>
      <c r="AF547" s="8">
        <f>YEAR(RawSalesTable[[#This Row],[Order_Date]])</f>
        <v>2025</v>
      </c>
      <c r="AG547" s="8">
        <f>MONTH(RawSalesTable[[#This Row],[Order_Date]])</f>
        <v>5</v>
      </c>
      <c r="AH547" s="8" t="str">
        <f>TEXT(RawSalesTable[[#This Row],[Order_Date]],"mmmm")</f>
        <v>mai</v>
      </c>
      <c r="AI547" s="8" t="str">
        <f>IF(RawSalesTable[[#This Row],[Month_Number]]&lt;=3,"Q1",IF(RawSalesTable[[#This Row],[Month_Number]]&lt;=6,"Q2",IF(RawSalesTable[[#This Row],[Month_Number]]&lt;=9,"Q3","Q4")))</f>
        <v>Q2</v>
      </c>
      <c r="AJ547" s="13">
        <f>DATE(YEAR(RawSalesTable[[#This Row],[Order_Date]]),MONTH(RawSalesTable[[#This Row],[Order_Date]]),1)</f>
        <v>45778</v>
      </c>
      <c r="AK547" s="8" t="str">
        <f>VLOOKUP(RawSalesTable[[#This Row],[Customer_ID_clean]],CustomersTable[],4,FALSE)</f>
        <v>Nova Scotia</v>
      </c>
    </row>
    <row r="548" spans="1:37">
      <c r="A548" t="s">
        <v>980</v>
      </c>
      <c r="B548" s="3">
        <v>45828</v>
      </c>
      <c r="C548" t="s">
        <v>359</v>
      </c>
      <c r="D548" t="s">
        <v>503</v>
      </c>
      <c r="E548" t="s">
        <v>981</v>
      </c>
      <c r="F548" t="s">
        <v>145</v>
      </c>
      <c r="G548" t="s">
        <v>88</v>
      </c>
      <c r="H548" t="s">
        <v>89</v>
      </c>
      <c r="I548">
        <v>1</v>
      </c>
      <c r="J548" s="2">
        <v>124.54</v>
      </c>
      <c r="K548" s="4">
        <v>0.05</v>
      </c>
      <c r="L548" t="s">
        <v>98</v>
      </c>
      <c r="M548">
        <v>4</v>
      </c>
      <c r="N548" t="s">
        <v>91</v>
      </c>
      <c r="O548" t="str">
        <f>SUBSTITUTE(PROPER(TRIM(RawSalesTable[[#This Row],[Channel_Raw]])), "Market Place", "Marketplace")</f>
        <v>Online</v>
      </c>
      <c r="P548" t="str">
        <f>TRIM(RawSalesTable[[#This Row],[Store_Raw]])</f>
        <v>Calgary North</v>
      </c>
      <c r="Q548" t="str">
        <f>IF(TRIM(RawSalesTable[[#This Row],[Payment_Method_Raw]])="","Non renseigné",SUBSTITUTE(TRIM(RawSalesTable[[#This Row],[Payment_Method_Raw]]),"CC","Credit Card"))</f>
        <v>Debit Card</v>
      </c>
      <c r="R548" s="8" t="str">
        <f>UPPER(PROPER(RawSalesTable[[#This Row],[Customer_ID]]))</f>
        <v>C0044</v>
      </c>
      <c r="S548" s="8" t="str">
        <f>TRIM(LEFT(RawSalesTable[[#This Row],[Customer_Info]],FIND(",",RawSalesTable[[#This Row],[Customer_Info]]) -1))</f>
        <v>Nora Young</v>
      </c>
      <c r="T548" s="8" t="str">
        <f>TRIM(MID(RawSalesTable[[#This Row],[Customer_Info]],FIND(",",RawSalesTable[[#This Row],[Customer_Info]])+1,FIND(",",RawSalesTable[[#This Row],[Customer_Info]],FIND(",",RawSalesTable[[#This Row],[Customer_Info]])+1)-FIND(",",RawSalesTable[[#This Row],[Customer_Info]])-1))</f>
        <v>Vancouver</v>
      </c>
      <c r="U548" s="8" t="str">
        <f>TRIM(RIGHT(RawSalesTable[[#This Row],[Customer_Info]], LEN(RawSalesTable[[#This Row],[Customer_Info]])-FIND(",",RawSalesTable[[#This Row],[Customer_Info]],FIND(",",RawSalesTable[[#This Row],[Customer_Info]])+1)))</f>
        <v>Corporate</v>
      </c>
      <c r="V548" s="8" t="str">
        <f>VLOOKUP(RawSalesTable[[#This Row],[Product_ID]],ProductsTable[],2,FALSE)</f>
        <v>Whiteboard</v>
      </c>
      <c r="W548" s="8" t="str">
        <f>VLOOKUP(RawSalesTable[[#This Row],[Product_ID]],ProductsTable[],3,FALSE)</f>
        <v>Office</v>
      </c>
      <c r="X548" s="8">
        <f>VLOOKUP(RawSalesTable[[#This Row],[Product_ID]],ProductsTable[],5,FALSE)</f>
        <v>85.73</v>
      </c>
      <c r="Y548" s="8">
        <f>RawSalesTable[[#This Row],[Quantity]]*RawSalesTable[[#This Row],[Unit_Price]]</f>
        <v>124.54</v>
      </c>
      <c r="Z548" s="8">
        <f>RawSalesTable[[#This Row],[Gross_Sales]]*RawSalesTable[[#This Row],[Discount_Pct]]</f>
        <v>6.2270000000000003</v>
      </c>
      <c r="AA548" s="8">
        <f>RawSalesTable[[#This Row],[Gross_Sales]]-RawSalesTable[[#This Row],[Discount_Amount]]</f>
        <v>118.313</v>
      </c>
      <c r="AB548" s="8">
        <f>RawSalesTable[[#This Row],[Unit_Cost]]*RawSalesTable[[#This Row],[Quantity]]</f>
        <v>85.73</v>
      </c>
      <c r="AC548" s="8">
        <f>RawSalesTable[[#This Row],[Net_Sales]]-RawSalesTable[[#This Row],[Total_Cost]]</f>
        <v>32.582999999999998</v>
      </c>
      <c r="AD548" s="9">
        <f>RawSalesTable[[#This Row],[Profit]]/RawSalesTable[[#This Row],[Net_Sales]]</f>
        <v>0.27539661744694155</v>
      </c>
      <c r="AE548" s="8">
        <f>IF(RawSalesTable[[#This Row],[Return_Status]]="Yes",1,0)</f>
        <v>0</v>
      </c>
      <c r="AF548" s="8">
        <f>YEAR(RawSalesTable[[#This Row],[Order_Date]])</f>
        <v>2025</v>
      </c>
      <c r="AG548" s="8">
        <f>MONTH(RawSalesTable[[#This Row],[Order_Date]])</f>
        <v>6</v>
      </c>
      <c r="AH548" s="8" t="str">
        <f>TEXT(RawSalesTable[[#This Row],[Order_Date]],"mmmm")</f>
        <v>juin</v>
      </c>
      <c r="AI548" s="8" t="str">
        <f>IF(RawSalesTable[[#This Row],[Month_Number]]&lt;=3,"Q1",IF(RawSalesTable[[#This Row],[Month_Number]]&lt;=6,"Q2",IF(RawSalesTable[[#This Row],[Month_Number]]&lt;=9,"Q3","Q4")))</f>
        <v>Q2</v>
      </c>
      <c r="AJ548" s="13">
        <f>DATE(YEAR(RawSalesTable[[#This Row],[Order_Date]]),MONTH(RawSalesTable[[#This Row],[Order_Date]]),1)</f>
        <v>45809</v>
      </c>
      <c r="AK548" s="8" t="str">
        <f>VLOOKUP(RawSalesTable[[#This Row],[Customer_ID_clean]],CustomersTable[],4,FALSE)</f>
        <v>British Columbia</v>
      </c>
    </row>
    <row r="549" spans="1:37">
      <c r="A549" t="s">
        <v>982</v>
      </c>
      <c r="B549" s="3">
        <v>45902</v>
      </c>
      <c r="C549" t="s">
        <v>851</v>
      </c>
      <c r="D549" t="s">
        <v>303</v>
      </c>
      <c r="E549" t="s">
        <v>852</v>
      </c>
      <c r="F549" t="s">
        <v>116</v>
      </c>
      <c r="G549" t="s">
        <v>130</v>
      </c>
      <c r="H549" t="s">
        <v>89</v>
      </c>
      <c r="I549">
        <v>4</v>
      </c>
      <c r="J549" s="2">
        <v>153.62</v>
      </c>
      <c r="K549" s="4">
        <v>0</v>
      </c>
      <c r="L549" t="s">
        <v>98</v>
      </c>
      <c r="M549">
        <v>3</v>
      </c>
      <c r="N549" t="s">
        <v>91</v>
      </c>
      <c r="O549" t="str">
        <f>SUBSTITUTE(PROPER(TRIM(RawSalesTable[[#This Row],[Channel_Raw]])), "Market Place", "Marketplace")</f>
        <v>Online</v>
      </c>
      <c r="P549" t="str">
        <f>TRIM(RawSalesTable[[#This Row],[Store_Raw]])</f>
        <v>Toronto Downtown</v>
      </c>
      <c r="Q549" t="str">
        <f>IF(TRIM(RawSalesTable[[#This Row],[Payment_Method_Raw]])="","Non renseigné",SUBSTITUTE(TRIM(RawSalesTable[[#This Row],[Payment_Method_Raw]]),"CC","Credit Card"))</f>
        <v>Debit Card</v>
      </c>
      <c r="R549" s="8" t="str">
        <f>UPPER(PROPER(RawSalesTable[[#This Row],[Customer_ID]]))</f>
        <v>C0026</v>
      </c>
      <c r="S549" s="8" t="str">
        <f>TRIM(LEFT(RawSalesTable[[#This Row],[Customer_Info]],FIND(",",RawSalesTable[[#This Row],[Customer_Info]]) -1))</f>
        <v>Adam Hall</v>
      </c>
      <c r="T549" s="8" t="str">
        <f>TRIM(MID(RawSalesTable[[#This Row],[Customer_Info]],FIND(",",RawSalesTable[[#This Row],[Customer_Info]])+1,FIND(",",RawSalesTable[[#This Row],[Customer_Info]],FIND(",",RawSalesTable[[#This Row],[Customer_Info]])+1)-FIND(",",RawSalesTable[[#This Row],[Customer_Info]])-1))</f>
        <v>Surrey</v>
      </c>
      <c r="U549" s="8" t="str">
        <f>TRIM(RIGHT(RawSalesTable[[#This Row],[Customer_Info]], LEN(RawSalesTable[[#This Row],[Customer_Info]])-FIND(",",RawSalesTable[[#This Row],[Customer_Info]],FIND(",",RawSalesTable[[#This Row],[Customer_Info]])+1)))</f>
        <v>Corporate</v>
      </c>
      <c r="V549" s="8" t="str">
        <f>VLOOKUP(RawSalesTable[[#This Row],[Product_ID]],ProductsTable[],2,FALSE)</f>
        <v>Power Bank</v>
      </c>
      <c r="W549" s="8" t="str">
        <f>VLOOKUP(RawSalesTable[[#This Row],[Product_ID]],ProductsTable[],3,FALSE)</f>
        <v>Accessories</v>
      </c>
      <c r="X549" s="8">
        <f>VLOOKUP(RawSalesTable[[#This Row],[Product_ID]],ProductsTable[],5,FALSE)</f>
        <v>76.97</v>
      </c>
      <c r="Y549" s="8">
        <f>RawSalesTable[[#This Row],[Quantity]]*RawSalesTable[[#This Row],[Unit_Price]]</f>
        <v>614.48</v>
      </c>
      <c r="Z549" s="8">
        <f>RawSalesTable[[#This Row],[Gross_Sales]]*RawSalesTable[[#This Row],[Discount_Pct]]</f>
        <v>0</v>
      </c>
      <c r="AA549" s="8">
        <f>RawSalesTable[[#This Row],[Gross_Sales]]-RawSalesTable[[#This Row],[Discount_Amount]]</f>
        <v>614.48</v>
      </c>
      <c r="AB549" s="8">
        <f>RawSalesTable[[#This Row],[Unit_Cost]]*RawSalesTable[[#This Row],[Quantity]]</f>
        <v>307.88</v>
      </c>
      <c r="AC549" s="8">
        <f>RawSalesTable[[#This Row],[Net_Sales]]-RawSalesTable[[#This Row],[Total_Cost]]</f>
        <v>306.60000000000002</v>
      </c>
      <c r="AD549" s="9">
        <f>RawSalesTable[[#This Row],[Profit]]/RawSalesTable[[#This Row],[Net_Sales]]</f>
        <v>0.49895846894935558</v>
      </c>
      <c r="AE549" s="8">
        <f>IF(RawSalesTable[[#This Row],[Return_Status]]="Yes",1,0)</f>
        <v>0</v>
      </c>
      <c r="AF549" s="8">
        <f>YEAR(RawSalesTable[[#This Row],[Order_Date]])</f>
        <v>2025</v>
      </c>
      <c r="AG549" s="8">
        <f>MONTH(RawSalesTable[[#This Row],[Order_Date]])</f>
        <v>9</v>
      </c>
      <c r="AH549" s="8" t="str">
        <f>TEXT(RawSalesTable[[#This Row],[Order_Date]],"mmmm")</f>
        <v>septembre</v>
      </c>
      <c r="AI549" s="8" t="str">
        <f>IF(RawSalesTable[[#This Row],[Month_Number]]&lt;=3,"Q1",IF(RawSalesTable[[#This Row],[Month_Number]]&lt;=6,"Q2",IF(RawSalesTable[[#This Row],[Month_Number]]&lt;=9,"Q3","Q4")))</f>
        <v>Q3</v>
      </c>
      <c r="AJ549" s="13">
        <f>DATE(YEAR(RawSalesTable[[#This Row],[Order_Date]]),MONTH(RawSalesTable[[#This Row],[Order_Date]]),1)</f>
        <v>45901</v>
      </c>
      <c r="AK549" s="8" t="str">
        <f>VLOOKUP(RawSalesTable[[#This Row],[Customer_ID_clean]],CustomersTable[],4,FALSE)</f>
        <v>British Columbia</v>
      </c>
    </row>
    <row r="550" spans="1:37">
      <c r="A550" t="s">
        <v>983</v>
      </c>
      <c r="B550" s="3">
        <v>45680</v>
      </c>
      <c r="C550" t="s">
        <v>417</v>
      </c>
      <c r="D550" t="s">
        <v>217</v>
      </c>
      <c r="E550" t="s">
        <v>419</v>
      </c>
      <c r="F550" t="s">
        <v>116</v>
      </c>
      <c r="G550" t="s">
        <v>117</v>
      </c>
      <c r="H550" t="s">
        <v>105</v>
      </c>
      <c r="I550">
        <v>1</v>
      </c>
      <c r="J550" s="2">
        <v>100.86</v>
      </c>
      <c r="K550" s="4">
        <v>0.15</v>
      </c>
      <c r="L550" t="s">
        <v>98</v>
      </c>
      <c r="M550">
        <v>5</v>
      </c>
      <c r="N550" t="s">
        <v>91</v>
      </c>
      <c r="O550" t="str">
        <f>SUBSTITUTE(PROPER(TRIM(RawSalesTable[[#This Row],[Channel_Raw]])), "Market Place", "Marketplace")</f>
        <v>Marketplace</v>
      </c>
      <c r="P550" t="str">
        <f>TRIM(RawSalesTable[[#This Row],[Store_Raw]])</f>
        <v>Toronto Downtown</v>
      </c>
      <c r="Q550" t="str">
        <f>IF(TRIM(RawSalesTable[[#This Row],[Payment_Method_Raw]])="","Non renseigné",SUBSTITUTE(TRIM(RawSalesTable[[#This Row],[Payment_Method_Raw]]),"CC","Credit Card"))</f>
        <v>Debit Card</v>
      </c>
      <c r="R550" s="8" t="str">
        <f>UPPER(PROPER(RawSalesTable[[#This Row],[Customer_ID]]))</f>
        <v>C0079</v>
      </c>
      <c r="S550" s="8" t="str">
        <f>TRIM(LEFT(RawSalesTable[[#This Row],[Customer_Info]],FIND(",",RawSalesTable[[#This Row],[Customer_Info]]) -1))</f>
        <v>Sophia Scott</v>
      </c>
      <c r="T550" s="8" t="str">
        <f>TRIM(MID(RawSalesTable[[#This Row],[Customer_Info]],FIND(",",RawSalesTable[[#This Row],[Customer_Info]])+1,FIND(",",RawSalesTable[[#This Row],[Customer_Info]],FIND(",",RawSalesTable[[#This Row],[Customer_Info]])+1)-FIND(",",RawSalesTable[[#This Row],[Customer_Info]])-1))</f>
        <v>Ottawa</v>
      </c>
      <c r="U550" s="8" t="str">
        <f>TRIM(RIGHT(RawSalesTable[[#This Row],[Customer_Info]], LEN(RawSalesTable[[#This Row],[Customer_Info]])-FIND(",",RawSalesTable[[#This Row],[Customer_Info]],FIND(",",RawSalesTable[[#This Row],[Customer_Info]])+1)))</f>
        <v>Consumer</v>
      </c>
      <c r="V550" s="8" t="str">
        <f>VLOOKUP(RawSalesTable[[#This Row],[Product_ID]],ProductsTable[],2,FALSE)</f>
        <v>USB-C Hub</v>
      </c>
      <c r="W550" s="8" t="str">
        <f>VLOOKUP(RawSalesTable[[#This Row],[Product_ID]],ProductsTable[],3,FALSE)</f>
        <v>Electronics</v>
      </c>
      <c r="X550" s="8">
        <f>VLOOKUP(RawSalesTable[[#This Row],[Product_ID]],ProductsTable[],5,FALSE)</f>
        <v>72</v>
      </c>
      <c r="Y550" s="8">
        <f>RawSalesTable[[#This Row],[Quantity]]*RawSalesTable[[#This Row],[Unit_Price]]</f>
        <v>100.86</v>
      </c>
      <c r="Z550" s="8">
        <f>RawSalesTable[[#This Row],[Gross_Sales]]*RawSalesTable[[#This Row],[Discount_Pct]]</f>
        <v>15.129</v>
      </c>
      <c r="AA550" s="8">
        <f>RawSalesTable[[#This Row],[Gross_Sales]]-RawSalesTable[[#This Row],[Discount_Amount]]</f>
        <v>85.730999999999995</v>
      </c>
      <c r="AB550" s="8">
        <f>RawSalesTable[[#This Row],[Unit_Cost]]*RawSalesTable[[#This Row],[Quantity]]</f>
        <v>72</v>
      </c>
      <c r="AC550" s="8">
        <f>RawSalesTable[[#This Row],[Net_Sales]]-RawSalesTable[[#This Row],[Total_Cost]]</f>
        <v>13.730999999999995</v>
      </c>
      <c r="AD550" s="9">
        <f>RawSalesTable[[#This Row],[Profit]]/RawSalesTable[[#This Row],[Net_Sales]]</f>
        <v>0.16016376806522722</v>
      </c>
      <c r="AE550" s="8">
        <f>IF(RawSalesTable[[#This Row],[Return_Status]]="Yes",1,0)</f>
        <v>0</v>
      </c>
      <c r="AF550" s="8">
        <f>YEAR(RawSalesTable[[#This Row],[Order_Date]])</f>
        <v>2025</v>
      </c>
      <c r="AG550" s="8">
        <f>MONTH(RawSalesTable[[#This Row],[Order_Date]])</f>
        <v>1</v>
      </c>
      <c r="AH550" s="8" t="str">
        <f>TEXT(RawSalesTable[[#This Row],[Order_Date]],"mmmm")</f>
        <v>janvier</v>
      </c>
      <c r="AI550" s="8" t="str">
        <f>IF(RawSalesTable[[#This Row],[Month_Number]]&lt;=3,"Q1",IF(RawSalesTable[[#This Row],[Month_Number]]&lt;=6,"Q2",IF(RawSalesTable[[#This Row],[Month_Number]]&lt;=9,"Q3","Q4")))</f>
        <v>Q1</v>
      </c>
      <c r="AJ550" s="13">
        <f>DATE(YEAR(RawSalesTable[[#This Row],[Order_Date]]),MONTH(RawSalesTable[[#This Row],[Order_Date]]),1)</f>
        <v>45658</v>
      </c>
      <c r="AK550" s="8" t="str">
        <f>VLOOKUP(RawSalesTable[[#This Row],[Customer_ID_clean]],CustomersTable[],4,FALSE)</f>
        <v>Ontario</v>
      </c>
    </row>
    <row r="551" spans="1:37">
      <c r="A551" t="s">
        <v>984</v>
      </c>
      <c r="B551" s="3">
        <v>45780</v>
      </c>
      <c r="C551" t="s">
        <v>290</v>
      </c>
      <c r="D551" t="s">
        <v>252</v>
      </c>
      <c r="E551" t="s">
        <v>732</v>
      </c>
      <c r="F551" t="s">
        <v>111</v>
      </c>
      <c r="G551" t="s">
        <v>104</v>
      </c>
      <c r="H551" t="s">
        <v>105</v>
      </c>
      <c r="I551">
        <v>1</v>
      </c>
      <c r="J551" s="2">
        <v>263.81</v>
      </c>
      <c r="K551" s="4">
        <v>0</v>
      </c>
      <c r="L551" t="s">
        <v>106</v>
      </c>
      <c r="M551">
        <v>7</v>
      </c>
      <c r="N551" t="s">
        <v>91</v>
      </c>
      <c r="O551" t="str">
        <f>SUBSTITUTE(PROPER(TRIM(RawSalesTable[[#This Row],[Channel_Raw]])), "Market Place", "Marketplace")</f>
        <v>Marketplace</v>
      </c>
      <c r="P551" t="str">
        <f>TRIM(RawSalesTable[[#This Row],[Store_Raw]])</f>
        <v>Montreal Central</v>
      </c>
      <c r="Q551" t="str">
        <f>IF(TRIM(RawSalesTable[[#This Row],[Payment_Method_Raw]])="","Non renseigné",SUBSTITUTE(TRIM(RawSalesTable[[#This Row],[Payment_Method_Raw]]),"CC","Credit Card"))</f>
        <v>Credit Card</v>
      </c>
      <c r="R551" s="8" t="str">
        <f>UPPER(PROPER(RawSalesTable[[#This Row],[Customer_ID]]))</f>
        <v>C0116</v>
      </c>
      <c r="S551" s="8" t="str">
        <f>TRIM(LEFT(RawSalesTable[[#This Row],[Customer_Info]],FIND(",",RawSalesTable[[#This Row],[Customer_Info]]) -1))</f>
        <v>Lucas Brown</v>
      </c>
      <c r="T551" s="8" t="str">
        <f>TRIM(MID(RawSalesTable[[#This Row],[Customer_Info]],FIND(",",RawSalesTable[[#This Row],[Customer_Info]])+1,FIND(",",RawSalesTable[[#This Row],[Customer_Info]],FIND(",",RawSalesTable[[#This Row],[Customer_Info]])+1)-FIND(",",RawSalesTable[[#This Row],[Customer_Info]])-1))</f>
        <v>Mississauga</v>
      </c>
      <c r="U551" s="8" t="str">
        <f>TRIM(RIGHT(RawSalesTable[[#This Row],[Customer_Info]], LEN(RawSalesTable[[#This Row],[Customer_Info]])-FIND(",",RawSalesTable[[#This Row],[Customer_Info]],FIND(",",RawSalesTable[[#This Row],[Customer_Info]])+1)))</f>
        <v>Corporate</v>
      </c>
      <c r="V551" s="8" t="str">
        <f>VLOOKUP(RawSalesTable[[#This Row],[Product_ID]],ProductsTable[],2,FALSE)</f>
        <v>Vacuum</v>
      </c>
      <c r="W551" s="8" t="str">
        <f>VLOOKUP(RawSalesTable[[#This Row],[Product_ID]],ProductsTable[],3,FALSE)</f>
        <v>Home</v>
      </c>
      <c r="X551" s="8">
        <f>VLOOKUP(RawSalesTable[[#This Row],[Product_ID]],ProductsTable[],5,FALSE)</f>
        <v>186.94</v>
      </c>
      <c r="Y551" s="8">
        <f>RawSalesTable[[#This Row],[Quantity]]*RawSalesTable[[#This Row],[Unit_Price]]</f>
        <v>263.81</v>
      </c>
      <c r="Z551" s="8">
        <f>RawSalesTable[[#This Row],[Gross_Sales]]*RawSalesTable[[#This Row],[Discount_Pct]]</f>
        <v>0</v>
      </c>
      <c r="AA551" s="8">
        <f>RawSalesTable[[#This Row],[Gross_Sales]]-RawSalesTable[[#This Row],[Discount_Amount]]</f>
        <v>263.81</v>
      </c>
      <c r="AB551" s="8">
        <f>RawSalesTable[[#This Row],[Unit_Cost]]*RawSalesTable[[#This Row],[Quantity]]</f>
        <v>186.94</v>
      </c>
      <c r="AC551" s="8">
        <f>RawSalesTable[[#This Row],[Net_Sales]]-RawSalesTable[[#This Row],[Total_Cost]]</f>
        <v>76.87</v>
      </c>
      <c r="AD551" s="9">
        <f>RawSalesTable[[#This Row],[Profit]]/RawSalesTable[[#This Row],[Net_Sales]]</f>
        <v>0.29138395057048633</v>
      </c>
      <c r="AE551" s="8">
        <f>IF(RawSalesTable[[#This Row],[Return_Status]]="Yes",1,0)</f>
        <v>0</v>
      </c>
      <c r="AF551" s="8">
        <f>YEAR(RawSalesTable[[#This Row],[Order_Date]])</f>
        <v>2025</v>
      </c>
      <c r="AG551" s="8">
        <f>MONTH(RawSalesTable[[#This Row],[Order_Date]])</f>
        <v>5</v>
      </c>
      <c r="AH551" s="8" t="str">
        <f>TEXT(RawSalesTable[[#This Row],[Order_Date]],"mmmm")</f>
        <v>mai</v>
      </c>
      <c r="AI551" s="8" t="str">
        <f>IF(RawSalesTable[[#This Row],[Month_Number]]&lt;=3,"Q1",IF(RawSalesTable[[#This Row],[Month_Number]]&lt;=6,"Q2",IF(RawSalesTable[[#This Row],[Month_Number]]&lt;=9,"Q3","Q4")))</f>
        <v>Q2</v>
      </c>
      <c r="AJ551" s="13">
        <f>DATE(YEAR(RawSalesTable[[#This Row],[Order_Date]]),MONTH(RawSalesTable[[#This Row],[Order_Date]]),1)</f>
        <v>45778</v>
      </c>
      <c r="AK551" s="8" t="str">
        <f>VLOOKUP(RawSalesTable[[#This Row],[Customer_ID_clean]],CustomersTable[],4,FALSE)</f>
        <v>Ontario</v>
      </c>
    </row>
    <row r="552" spans="1:37">
      <c r="A552" t="s">
        <v>985</v>
      </c>
      <c r="B552" s="3">
        <v>45926</v>
      </c>
      <c r="C552" t="s">
        <v>670</v>
      </c>
      <c r="D552" t="s">
        <v>210</v>
      </c>
      <c r="E552" t="s">
        <v>671</v>
      </c>
      <c r="F552" t="s">
        <v>87</v>
      </c>
      <c r="G552" t="s">
        <v>171</v>
      </c>
      <c r="H552" t="s">
        <v>89</v>
      </c>
      <c r="I552">
        <v>3</v>
      </c>
      <c r="J552" s="2">
        <v>291.04000000000002</v>
      </c>
      <c r="K552" s="4">
        <v>0.1</v>
      </c>
      <c r="L552" t="s">
        <v>504</v>
      </c>
      <c r="M552">
        <v>9</v>
      </c>
      <c r="N552" t="s">
        <v>91</v>
      </c>
      <c r="O552" t="str">
        <f>SUBSTITUTE(PROPER(TRIM(RawSalesTable[[#This Row],[Channel_Raw]])), "Market Place", "Marketplace")</f>
        <v>Online</v>
      </c>
      <c r="P552" t="str">
        <f>TRIM(RawSalesTable[[#This Row],[Store_Raw]])</f>
        <v>Online Fulfillment</v>
      </c>
      <c r="Q552" t="str">
        <f>IF(TRIM(RawSalesTable[[#This Row],[Payment_Method_Raw]])="","Non renseigné",SUBSTITUTE(TRIM(RawSalesTable[[#This Row],[Payment_Method_Raw]]),"CC","Credit Card"))</f>
        <v>Debit Card</v>
      </c>
      <c r="R552" s="8" t="str">
        <f>UPPER(PROPER(RawSalesTable[[#This Row],[Customer_ID]]))</f>
        <v>C0107</v>
      </c>
      <c r="S552" s="8" t="str">
        <f>TRIM(LEFT(RawSalesTable[[#This Row],[Customer_Info]],FIND(",",RawSalesTable[[#This Row],[Customer_Info]]) -1))</f>
        <v>Ava Lee</v>
      </c>
      <c r="T552" s="8" t="str">
        <f>TRIM(MID(RawSalesTable[[#This Row],[Customer_Info]],FIND(",",RawSalesTable[[#This Row],[Customer_Info]])+1,FIND(",",RawSalesTable[[#This Row],[Customer_Info]],FIND(",",RawSalesTable[[#This Row],[Customer_Info]])+1)-FIND(",",RawSalesTable[[#This Row],[Customer_Info]])-1))</f>
        <v>Calgary</v>
      </c>
      <c r="U552" s="8" t="str">
        <f>TRIM(RIGHT(RawSalesTable[[#This Row],[Customer_Info]], LEN(RawSalesTable[[#This Row],[Customer_Info]])-FIND(",",RawSalesTable[[#This Row],[Customer_Info]],FIND(",",RawSalesTable[[#This Row],[Customer_Info]])+1)))</f>
        <v>Small Business</v>
      </c>
      <c r="V552" s="8" t="str">
        <f>VLOOKUP(RawSalesTable[[#This Row],[Product_ID]],ProductsTable[],2,FALSE)</f>
        <v>Desk Pad</v>
      </c>
      <c r="W552" s="8" t="str">
        <f>VLOOKUP(RawSalesTable[[#This Row],[Product_ID]],ProductsTable[],3,FALSE)</f>
        <v>Accessories</v>
      </c>
      <c r="X552" s="8">
        <f>VLOOKUP(RawSalesTable[[#This Row],[Product_ID]],ProductsTable[],5,FALSE)</f>
        <v>177.57</v>
      </c>
      <c r="Y552" s="8">
        <f>RawSalesTable[[#This Row],[Quantity]]*RawSalesTable[[#This Row],[Unit_Price]]</f>
        <v>873.12000000000012</v>
      </c>
      <c r="Z552" s="8">
        <f>RawSalesTable[[#This Row],[Gross_Sales]]*RawSalesTable[[#This Row],[Discount_Pct]]</f>
        <v>87.312000000000012</v>
      </c>
      <c r="AA552" s="8">
        <f>RawSalesTable[[#This Row],[Gross_Sales]]-RawSalesTable[[#This Row],[Discount_Amount]]</f>
        <v>785.80800000000011</v>
      </c>
      <c r="AB552" s="8">
        <f>RawSalesTable[[#This Row],[Unit_Cost]]*RawSalesTable[[#This Row],[Quantity]]</f>
        <v>532.71</v>
      </c>
      <c r="AC552" s="8">
        <f>RawSalesTable[[#This Row],[Net_Sales]]-RawSalesTable[[#This Row],[Total_Cost]]</f>
        <v>253.09800000000007</v>
      </c>
      <c r="AD552" s="9">
        <f>RawSalesTable[[#This Row],[Profit]]/RawSalesTable[[#This Row],[Net_Sales]]</f>
        <v>0.32208631115997804</v>
      </c>
      <c r="AE552" s="8">
        <f>IF(RawSalesTable[[#This Row],[Return_Status]]="Yes",1,0)</f>
        <v>0</v>
      </c>
      <c r="AF552" s="8">
        <f>YEAR(RawSalesTable[[#This Row],[Order_Date]])</f>
        <v>2025</v>
      </c>
      <c r="AG552" s="8">
        <f>MONTH(RawSalesTable[[#This Row],[Order_Date]])</f>
        <v>9</v>
      </c>
      <c r="AH552" s="8" t="str">
        <f>TEXT(RawSalesTable[[#This Row],[Order_Date]],"mmmm")</f>
        <v>septembre</v>
      </c>
      <c r="AI552" s="8" t="str">
        <f>IF(RawSalesTable[[#This Row],[Month_Number]]&lt;=3,"Q1",IF(RawSalesTable[[#This Row],[Month_Number]]&lt;=6,"Q2",IF(RawSalesTable[[#This Row],[Month_Number]]&lt;=9,"Q3","Q4")))</f>
        <v>Q3</v>
      </c>
      <c r="AJ552" s="13">
        <f>DATE(YEAR(RawSalesTable[[#This Row],[Order_Date]]),MONTH(RawSalesTable[[#This Row],[Order_Date]]),1)</f>
        <v>45901</v>
      </c>
      <c r="AK552" s="8" t="str">
        <f>VLOOKUP(RawSalesTable[[#This Row],[Customer_ID_clean]],CustomersTable[],4,FALSE)</f>
        <v>Alberta</v>
      </c>
    </row>
    <row r="553" spans="1:37">
      <c r="A553" t="s">
        <v>986</v>
      </c>
      <c r="B553" s="3">
        <v>45824</v>
      </c>
      <c r="C553" t="s">
        <v>200</v>
      </c>
      <c r="D553" t="s">
        <v>174</v>
      </c>
      <c r="E553" t="s">
        <v>201</v>
      </c>
      <c r="F553" t="s">
        <v>116</v>
      </c>
      <c r="G553" t="s">
        <v>117</v>
      </c>
      <c r="H553" t="s">
        <v>105</v>
      </c>
      <c r="I553">
        <v>1</v>
      </c>
      <c r="J553" s="2">
        <v>36.26</v>
      </c>
      <c r="K553" s="4">
        <v>0.05</v>
      </c>
      <c r="L553" t="s">
        <v>98</v>
      </c>
      <c r="M553">
        <v>1</v>
      </c>
      <c r="N553" t="s">
        <v>147</v>
      </c>
      <c r="O553" t="str">
        <f>SUBSTITUTE(PROPER(TRIM(RawSalesTable[[#This Row],[Channel_Raw]])), "Market Place", "Marketplace")</f>
        <v>Marketplace</v>
      </c>
      <c r="P553" t="str">
        <f>TRIM(RawSalesTable[[#This Row],[Store_Raw]])</f>
        <v>Toronto Downtown</v>
      </c>
      <c r="Q553" t="str">
        <f>IF(TRIM(RawSalesTable[[#This Row],[Payment_Method_Raw]])="","Non renseigné",SUBSTITUTE(TRIM(RawSalesTable[[#This Row],[Payment_Method_Raw]]),"CC","Credit Card"))</f>
        <v>Debit Card</v>
      </c>
      <c r="R553" s="8" t="str">
        <f>UPPER(PROPER(RawSalesTable[[#This Row],[Customer_ID]]))</f>
        <v>C0118</v>
      </c>
      <c r="S553" s="8" t="str">
        <f>TRIM(LEFT(RawSalesTable[[#This Row],[Customer_Info]],FIND(",",RawSalesTable[[#This Row],[Customer_Info]]) -1))</f>
        <v>Ryan Smith</v>
      </c>
      <c r="T553" s="8" t="str">
        <f>TRIM(MID(RawSalesTable[[#This Row],[Customer_Info]],FIND(",",RawSalesTable[[#This Row],[Customer_Info]])+1,FIND(",",RawSalesTable[[#This Row],[Customer_Info]],FIND(",",RawSalesTable[[#This Row],[Customer_Info]])+1)-FIND(",",RawSalesTable[[#This Row],[Customer_Info]])-1))</f>
        <v>Victoria</v>
      </c>
      <c r="U553" s="8" t="str">
        <f>TRIM(RIGHT(RawSalesTable[[#This Row],[Customer_Info]], LEN(RawSalesTable[[#This Row],[Customer_Info]])-FIND(",",RawSalesTable[[#This Row],[Customer_Info]],FIND(",",RawSalesTable[[#This Row],[Customer_Info]])+1)))</f>
        <v>Small Business</v>
      </c>
      <c r="V553" s="8" t="str">
        <f>VLOOKUP(RawSalesTable[[#This Row],[Product_ID]],ProductsTable[],2,FALSE)</f>
        <v>Keyboard</v>
      </c>
      <c r="W553" s="8" t="str">
        <f>VLOOKUP(RawSalesTable[[#This Row],[Product_ID]],ProductsTable[],3,FALSE)</f>
        <v>Electronics</v>
      </c>
      <c r="X553" s="8">
        <f>VLOOKUP(RawSalesTable[[#This Row],[Product_ID]],ProductsTable[],5,FALSE)</f>
        <v>23.5</v>
      </c>
      <c r="Y553" s="8">
        <f>RawSalesTable[[#This Row],[Quantity]]*RawSalesTable[[#This Row],[Unit_Price]]</f>
        <v>36.26</v>
      </c>
      <c r="Z553" s="8">
        <f>RawSalesTable[[#This Row],[Gross_Sales]]*RawSalesTable[[#This Row],[Discount_Pct]]</f>
        <v>1.8129999999999999</v>
      </c>
      <c r="AA553" s="8">
        <f>RawSalesTable[[#This Row],[Gross_Sales]]-RawSalesTable[[#This Row],[Discount_Amount]]</f>
        <v>34.446999999999996</v>
      </c>
      <c r="AB553" s="8">
        <f>RawSalesTable[[#This Row],[Unit_Cost]]*RawSalesTable[[#This Row],[Quantity]]</f>
        <v>23.5</v>
      </c>
      <c r="AC553" s="8">
        <f>RawSalesTable[[#This Row],[Net_Sales]]-RawSalesTable[[#This Row],[Total_Cost]]</f>
        <v>10.946999999999996</v>
      </c>
      <c r="AD553" s="9">
        <f>RawSalesTable[[#This Row],[Profit]]/RawSalesTable[[#This Row],[Net_Sales]]</f>
        <v>0.31779255087525754</v>
      </c>
      <c r="AE553" s="8">
        <f>IF(RawSalesTable[[#This Row],[Return_Status]]="Yes",1,0)</f>
        <v>1</v>
      </c>
      <c r="AF553" s="8">
        <f>YEAR(RawSalesTable[[#This Row],[Order_Date]])</f>
        <v>2025</v>
      </c>
      <c r="AG553" s="8">
        <f>MONTH(RawSalesTable[[#This Row],[Order_Date]])</f>
        <v>6</v>
      </c>
      <c r="AH553" s="8" t="str">
        <f>TEXT(RawSalesTable[[#This Row],[Order_Date]],"mmmm")</f>
        <v>juin</v>
      </c>
      <c r="AI553" s="8" t="str">
        <f>IF(RawSalesTable[[#This Row],[Month_Number]]&lt;=3,"Q1",IF(RawSalesTable[[#This Row],[Month_Number]]&lt;=6,"Q2",IF(RawSalesTable[[#This Row],[Month_Number]]&lt;=9,"Q3","Q4")))</f>
        <v>Q2</v>
      </c>
      <c r="AJ553" s="13">
        <f>DATE(YEAR(RawSalesTable[[#This Row],[Order_Date]]),MONTH(RawSalesTable[[#This Row],[Order_Date]]),1)</f>
        <v>45809</v>
      </c>
      <c r="AK553" s="8" t="str">
        <f>VLOOKUP(RawSalesTable[[#This Row],[Customer_ID_clean]],CustomersTable[],4,FALSE)</f>
        <v>British Columbia</v>
      </c>
    </row>
    <row r="554" spans="1:37">
      <c r="A554" t="s">
        <v>987</v>
      </c>
      <c r="B554" s="3">
        <v>45978</v>
      </c>
      <c r="C554" t="s">
        <v>594</v>
      </c>
      <c r="D554" t="s">
        <v>109</v>
      </c>
      <c r="E554" t="s">
        <v>595</v>
      </c>
      <c r="F554" t="s">
        <v>87</v>
      </c>
      <c r="G554" t="s">
        <v>117</v>
      </c>
      <c r="H554" t="s">
        <v>89</v>
      </c>
      <c r="I554">
        <v>3</v>
      </c>
      <c r="J554" s="2">
        <v>206.48</v>
      </c>
      <c r="K554" s="4">
        <v>0.2</v>
      </c>
      <c r="L554" t="s">
        <v>106</v>
      </c>
      <c r="M554">
        <v>1</v>
      </c>
      <c r="N554" t="s">
        <v>91</v>
      </c>
      <c r="O554" t="str">
        <f>SUBSTITUTE(PROPER(TRIM(RawSalesTable[[#This Row],[Channel_Raw]])), "Market Place", "Marketplace")</f>
        <v>Online</v>
      </c>
      <c r="P554" t="str">
        <f>TRIM(RawSalesTable[[#This Row],[Store_Raw]])</f>
        <v>Online Fulfillment</v>
      </c>
      <c r="Q554" t="str">
        <f>IF(TRIM(RawSalesTable[[#This Row],[Payment_Method_Raw]])="","Non renseigné",SUBSTITUTE(TRIM(RawSalesTable[[#This Row],[Payment_Method_Raw]]),"CC","Credit Card"))</f>
        <v>Credit Card</v>
      </c>
      <c r="R554" s="8" t="str">
        <f>UPPER(PROPER(RawSalesTable[[#This Row],[Customer_ID]]))</f>
        <v>C0027</v>
      </c>
      <c r="S554" s="8" t="str">
        <f>TRIM(LEFT(RawSalesTable[[#This Row],[Customer_Info]],FIND(",",RawSalesTable[[#This Row],[Customer_Info]]) -1))</f>
        <v>Nora Wilson</v>
      </c>
      <c r="T554" s="8" t="str">
        <f>TRIM(MID(RawSalesTable[[#This Row],[Customer_Info]],FIND(",",RawSalesTable[[#This Row],[Customer_Info]])+1,FIND(",",RawSalesTable[[#This Row],[Customer_Info]],FIND(",",RawSalesTable[[#This Row],[Customer_Info]])+1)-FIND(",",RawSalesTable[[#This Row],[Customer_Info]])-1))</f>
        <v>Toronto</v>
      </c>
      <c r="U554" s="8" t="str">
        <f>TRIM(RIGHT(RawSalesTable[[#This Row],[Customer_Info]], LEN(RawSalesTable[[#This Row],[Customer_Info]])-FIND(",",RawSalesTable[[#This Row],[Customer_Info]],FIND(",",RawSalesTable[[#This Row],[Customer_Info]])+1)))</f>
        <v>Small Business</v>
      </c>
      <c r="V554" s="8" t="str">
        <f>VLOOKUP(RawSalesTable[[#This Row],[Product_ID]],ProductsTable[],2,FALSE)</f>
        <v>Gym Bag</v>
      </c>
      <c r="W554" s="8" t="str">
        <f>VLOOKUP(RawSalesTable[[#This Row],[Product_ID]],ProductsTable[],3,FALSE)</f>
        <v>Fitness</v>
      </c>
      <c r="X554" s="8">
        <f>VLOOKUP(RawSalesTable[[#This Row],[Product_ID]],ProductsTable[],5,FALSE)</f>
        <v>132.72</v>
      </c>
      <c r="Y554" s="8">
        <f>RawSalesTable[[#This Row],[Quantity]]*RawSalesTable[[#This Row],[Unit_Price]]</f>
        <v>619.43999999999994</v>
      </c>
      <c r="Z554" s="8">
        <f>RawSalesTable[[#This Row],[Gross_Sales]]*RawSalesTable[[#This Row],[Discount_Pct]]</f>
        <v>123.88799999999999</v>
      </c>
      <c r="AA554" s="8">
        <f>RawSalesTable[[#This Row],[Gross_Sales]]-RawSalesTable[[#This Row],[Discount_Amount]]</f>
        <v>495.55199999999996</v>
      </c>
      <c r="AB554" s="8">
        <f>RawSalesTable[[#This Row],[Unit_Cost]]*RawSalesTable[[#This Row],[Quantity]]</f>
        <v>398.15999999999997</v>
      </c>
      <c r="AC554" s="8">
        <f>RawSalesTable[[#This Row],[Net_Sales]]-RawSalesTable[[#This Row],[Total_Cost]]</f>
        <v>97.391999999999996</v>
      </c>
      <c r="AD554" s="9">
        <f>RawSalesTable[[#This Row],[Profit]]/RawSalesTable[[#This Row],[Net_Sales]]</f>
        <v>0.19653235180162729</v>
      </c>
      <c r="AE554" s="8">
        <f>IF(RawSalesTable[[#This Row],[Return_Status]]="Yes",1,0)</f>
        <v>0</v>
      </c>
      <c r="AF554" s="8">
        <f>YEAR(RawSalesTable[[#This Row],[Order_Date]])</f>
        <v>2025</v>
      </c>
      <c r="AG554" s="8">
        <f>MONTH(RawSalesTable[[#This Row],[Order_Date]])</f>
        <v>11</v>
      </c>
      <c r="AH554" s="8" t="str">
        <f>TEXT(RawSalesTable[[#This Row],[Order_Date]],"mmmm")</f>
        <v>novembre</v>
      </c>
      <c r="AI554" s="8" t="str">
        <f>IF(RawSalesTable[[#This Row],[Month_Number]]&lt;=3,"Q1",IF(RawSalesTable[[#This Row],[Month_Number]]&lt;=6,"Q2",IF(RawSalesTable[[#This Row],[Month_Number]]&lt;=9,"Q3","Q4")))</f>
        <v>Q4</v>
      </c>
      <c r="AJ554" s="13">
        <f>DATE(YEAR(RawSalesTable[[#This Row],[Order_Date]]),MONTH(RawSalesTable[[#This Row],[Order_Date]]),1)</f>
        <v>45962</v>
      </c>
      <c r="AK554" s="8" t="str">
        <f>VLOOKUP(RawSalesTable[[#This Row],[Customer_ID_clean]],CustomersTable[],4,FALSE)</f>
        <v>Ontario</v>
      </c>
    </row>
    <row r="555" spans="1:37">
      <c r="A555" t="s">
        <v>988</v>
      </c>
      <c r="B555" s="3">
        <v>45965</v>
      </c>
      <c r="C555" t="s">
        <v>363</v>
      </c>
      <c r="D555" t="s">
        <v>190</v>
      </c>
      <c r="E555" t="s">
        <v>364</v>
      </c>
      <c r="F555" t="s">
        <v>103</v>
      </c>
      <c r="G555" t="s">
        <v>88</v>
      </c>
      <c r="H555" t="s">
        <v>89</v>
      </c>
      <c r="I555">
        <v>1</v>
      </c>
      <c r="J555" s="2">
        <v>291.87</v>
      </c>
      <c r="K555" s="4">
        <v>0.05</v>
      </c>
      <c r="L555" t="s">
        <v>98</v>
      </c>
      <c r="M555">
        <v>9</v>
      </c>
      <c r="N555" t="s">
        <v>91</v>
      </c>
      <c r="O555" t="str">
        <f>SUBSTITUTE(PROPER(TRIM(RawSalesTable[[#This Row],[Channel_Raw]])), "Market Place", "Marketplace")</f>
        <v>Online</v>
      </c>
      <c r="P555" t="str">
        <f>TRIM(RawSalesTable[[#This Row],[Store_Raw]])</f>
        <v>Vancouver West</v>
      </c>
      <c r="Q555" t="str">
        <f>IF(TRIM(RawSalesTable[[#This Row],[Payment_Method_Raw]])="","Non renseigné",SUBSTITUTE(TRIM(RawSalesTable[[#This Row],[Payment_Method_Raw]]),"CC","Credit Card"))</f>
        <v>Debit Card</v>
      </c>
      <c r="R555" s="8" t="str">
        <f>UPPER(PROPER(RawSalesTable[[#This Row],[Customer_ID]]))</f>
        <v>C0025</v>
      </c>
      <c r="S555" s="8" t="str">
        <f>TRIM(LEFT(RawSalesTable[[#This Row],[Customer_Info]],FIND(",",RawSalesTable[[#This Row],[Customer_Info]]) -1))</f>
        <v>Emma Gagnon</v>
      </c>
      <c r="T555" s="8" t="str">
        <f>TRIM(MID(RawSalesTable[[#This Row],[Customer_Info]],FIND(",",RawSalesTable[[#This Row],[Customer_Info]])+1,FIND(",",RawSalesTable[[#This Row],[Customer_Info]],FIND(",",RawSalesTable[[#This Row],[Customer_Info]])+1)-FIND(",",RawSalesTable[[#This Row],[Customer_Info]])-1))</f>
        <v>Surrey</v>
      </c>
      <c r="U555" s="8" t="str">
        <f>TRIM(RIGHT(RawSalesTable[[#This Row],[Customer_Info]], LEN(RawSalesTable[[#This Row],[Customer_Info]])-FIND(",",RawSalesTable[[#This Row],[Customer_Info]],FIND(",",RawSalesTable[[#This Row],[Customer_Info]])+1)))</f>
        <v>Corporate</v>
      </c>
      <c r="V555" s="8" t="str">
        <f>VLOOKUP(RawSalesTable[[#This Row],[Product_ID]],ProductsTable[],2,FALSE)</f>
        <v>Webcam</v>
      </c>
      <c r="W555" s="8" t="str">
        <f>VLOOKUP(RawSalesTable[[#This Row],[Product_ID]],ProductsTable[],3,FALSE)</f>
        <v>Electronics</v>
      </c>
      <c r="X555" s="8">
        <f>VLOOKUP(RawSalesTable[[#This Row],[Product_ID]],ProductsTable[],5,FALSE)</f>
        <v>154.72999999999999</v>
      </c>
      <c r="Y555" s="8">
        <f>RawSalesTable[[#This Row],[Quantity]]*RawSalesTable[[#This Row],[Unit_Price]]</f>
        <v>291.87</v>
      </c>
      <c r="Z555" s="8">
        <f>RawSalesTable[[#This Row],[Gross_Sales]]*RawSalesTable[[#This Row],[Discount_Pct]]</f>
        <v>14.593500000000001</v>
      </c>
      <c r="AA555" s="8">
        <f>RawSalesTable[[#This Row],[Gross_Sales]]-RawSalesTable[[#This Row],[Discount_Amount]]</f>
        <v>277.2765</v>
      </c>
      <c r="AB555" s="8">
        <f>RawSalesTable[[#This Row],[Unit_Cost]]*RawSalesTable[[#This Row],[Quantity]]</f>
        <v>154.72999999999999</v>
      </c>
      <c r="AC555" s="8">
        <f>RawSalesTable[[#This Row],[Net_Sales]]-RawSalesTable[[#This Row],[Total_Cost]]</f>
        <v>122.54650000000001</v>
      </c>
      <c r="AD555" s="9">
        <f>RawSalesTable[[#This Row],[Profit]]/RawSalesTable[[#This Row],[Net_Sales]]</f>
        <v>0.44196496998483464</v>
      </c>
      <c r="AE555" s="8">
        <f>IF(RawSalesTable[[#This Row],[Return_Status]]="Yes",1,0)</f>
        <v>0</v>
      </c>
      <c r="AF555" s="8">
        <f>YEAR(RawSalesTable[[#This Row],[Order_Date]])</f>
        <v>2025</v>
      </c>
      <c r="AG555" s="8">
        <f>MONTH(RawSalesTable[[#This Row],[Order_Date]])</f>
        <v>11</v>
      </c>
      <c r="AH555" s="8" t="str">
        <f>TEXT(RawSalesTable[[#This Row],[Order_Date]],"mmmm")</f>
        <v>novembre</v>
      </c>
      <c r="AI555" s="8" t="str">
        <f>IF(RawSalesTable[[#This Row],[Month_Number]]&lt;=3,"Q1",IF(RawSalesTable[[#This Row],[Month_Number]]&lt;=6,"Q2",IF(RawSalesTable[[#This Row],[Month_Number]]&lt;=9,"Q3","Q4")))</f>
        <v>Q4</v>
      </c>
      <c r="AJ555" s="13">
        <f>DATE(YEAR(RawSalesTable[[#This Row],[Order_Date]]),MONTH(RawSalesTable[[#This Row],[Order_Date]]),1)</f>
        <v>45962</v>
      </c>
      <c r="AK555" s="8" t="str">
        <f>VLOOKUP(RawSalesTable[[#This Row],[Customer_ID_clean]],CustomersTable[],4,FALSE)</f>
        <v>British Columbia</v>
      </c>
    </row>
    <row r="556" spans="1:37">
      <c r="A556" t="s">
        <v>989</v>
      </c>
      <c r="B556" s="3">
        <v>45706</v>
      </c>
      <c r="C556" t="s">
        <v>93</v>
      </c>
      <c r="D556" t="s">
        <v>738</v>
      </c>
      <c r="E556" t="s">
        <v>95</v>
      </c>
      <c r="F556" t="s">
        <v>87</v>
      </c>
      <c r="G556" t="s">
        <v>104</v>
      </c>
      <c r="H556" t="s">
        <v>89</v>
      </c>
      <c r="I556">
        <v>1</v>
      </c>
      <c r="J556" s="2">
        <v>314.67</v>
      </c>
      <c r="K556" s="4">
        <v>0</v>
      </c>
      <c r="L556" t="s">
        <v>106</v>
      </c>
      <c r="M556">
        <v>9</v>
      </c>
      <c r="N556" t="s">
        <v>91</v>
      </c>
      <c r="O556" t="str">
        <f>SUBSTITUTE(PROPER(TRIM(RawSalesTable[[#This Row],[Channel_Raw]])), "Market Place", "Marketplace")</f>
        <v>Online</v>
      </c>
      <c r="P556" t="str">
        <f>TRIM(RawSalesTable[[#This Row],[Store_Raw]])</f>
        <v>Online Fulfillment</v>
      </c>
      <c r="Q556" t="str">
        <f>IF(TRIM(RawSalesTable[[#This Row],[Payment_Method_Raw]])="","Non renseigné",SUBSTITUTE(TRIM(RawSalesTable[[#This Row],[Payment_Method_Raw]]),"CC","Credit Card"))</f>
        <v>Credit Card</v>
      </c>
      <c r="R556" s="8" t="str">
        <f>UPPER(PROPER(RawSalesTable[[#This Row],[Customer_ID]]))</f>
        <v>C0084</v>
      </c>
      <c r="S556" s="8" t="str">
        <f>TRIM(LEFT(RawSalesTable[[#This Row],[Customer_Info]],FIND(",",RawSalesTable[[#This Row],[Customer_Info]]) -1))</f>
        <v>Ryan Clark</v>
      </c>
      <c r="T556" s="8" t="str">
        <f>TRIM(MID(RawSalesTable[[#This Row],[Customer_Info]],FIND(",",RawSalesTable[[#This Row],[Customer_Info]])+1,FIND(",",RawSalesTable[[#This Row],[Customer_Info]],FIND(",",RawSalesTable[[#This Row],[Customer_Info]])+1)-FIND(",",RawSalesTable[[#This Row],[Customer_Info]])-1))</f>
        <v>Montreal</v>
      </c>
      <c r="U556" s="8" t="str">
        <f>TRIM(RIGHT(RawSalesTable[[#This Row],[Customer_Info]], LEN(RawSalesTable[[#This Row],[Customer_Info]])-FIND(",",RawSalesTable[[#This Row],[Customer_Info]],FIND(",",RawSalesTable[[#This Row],[Customer_Info]])+1)))</f>
        <v>Corporate</v>
      </c>
      <c r="V556" s="8" t="str">
        <f>VLOOKUP(RawSalesTable[[#This Row],[Product_ID]],ProductsTable[],2,FALSE)</f>
        <v>Printer</v>
      </c>
      <c r="W556" s="8" t="str">
        <f>VLOOKUP(RawSalesTable[[#This Row],[Product_ID]],ProductsTable[],3,FALSE)</f>
        <v>Office</v>
      </c>
      <c r="X556" s="8">
        <f>VLOOKUP(RawSalesTable[[#This Row],[Product_ID]],ProductsTable[],5,FALSE)</f>
        <v>156.75</v>
      </c>
      <c r="Y556" s="8">
        <f>RawSalesTable[[#This Row],[Quantity]]*RawSalesTable[[#This Row],[Unit_Price]]</f>
        <v>314.67</v>
      </c>
      <c r="Z556" s="8">
        <f>RawSalesTable[[#This Row],[Gross_Sales]]*RawSalesTable[[#This Row],[Discount_Pct]]</f>
        <v>0</v>
      </c>
      <c r="AA556" s="8">
        <f>RawSalesTable[[#This Row],[Gross_Sales]]-RawSalesTable[[#This Row],[Discount_Amount]]</f>
        <v>314.67</v>
      </c>
      <c r="AB556" s="8">
        <f>RawSalesTable[[#This Row],[Unit_Cost]]*RawSalesTable[[#This Row],[Quantity]]</f>
        <v>156.75</v>
      </c>
      <c r="AC556" s="8">
        <f>RawSalesTable[[#This Row],[Net_Sales]]-RawSalesTable[[#This Row],[Total_Cost]]</f>
        <v>157.92000000000002</v>
      </c>
      <c r="AD556" s="9">
        <f>RawSalesTable[[#This Row],[Profit]]/RawSalesTable[[#This Row],[Net_Sales]]</f>
        <v>0.50185909047573651</v>
      </c>
      <c r="AE556" s="8">
        <f>IF(RawSalesTable[[#This Row],[Return_Status]]="Yes",1,0)</f>
        <v>0</v>
      </c>
      <c r="AF556" s="8">
        <f>YEAR(RawSalesTable[[#This Row],[Order_Date]])</f>
        <v>2025</v>
      </c>
      <c r="AG556" s="8">
        <f>MONTH(RawSalesTable[[#This Row],[Order_Date]])</f>
        <v>2</v>
      </c>
      <c r="AH556" s="8" t="str">
        <f>TEXT(RawSalesTable[[#This Row],[Order_Date]],"mmmm")</f>
        <v>février</v>
      </c>
      <c r="AI556" s="8" t="str">
        <f>IF(RawSalesTable[[#This Row],[Month_Number]]&lt;=3,"Q1",IF(RawSalesTable[[#This Row],[Month_Number]]&lt;=6,"Q2",IF(RawSalesTable[[#This Row],[Month_Number]]&lt;=9,"Q3","Q4")))</f>
        <v>Q1</v>
      </c>
      <c r="AJ556" s="13">
        <f>DATE(YEAR(RawSalesTable[[#This Row],[Order_Date]]),MONTH(RawSalesTable[[#This Row],[Order_Date]]),1)</f>
        <v>45689</v>
      </c>
      <c r="AK556" s="8" t="str">
        <f>VLOOKUP(RawSalesTable[[#This Row],[Customer_ID_clean]],CustomersTable[],4,FALSE)</f>
        <v>Quebec</v>
      </c>
    </row>
    <row r="557" spans="1:37">
      <c r="A557" t="s">
        <v>991</v>
      </c>
      <c r="B557" s="3">
        <v>45891</v>
      </c>
      <c r="C557" t="s">
        <v>507</v>
      </c>
      <c r="D557" t="s">
        <v>94</v>
      </c>
      <c r="E557" t="s">
        <v>508</v>
      </c>
      <c r="F557" t="s">
        <v>116</v>
      </c>
      <c r="G557" t="s">
        <v>96</v>
      </c>
      <c r="H557" t="s">
        <v>97</v>
      </c>
      <c r="I557">
        <v>2</v>
      </c>
      <c r="J557" s="2">
        <v>318.20999999999998</v>
      </c>
      <c r="K557" s="4">
        <v>0</v>
      </c>
      <c r="L557" t="s">
        <v>98</v>
      </c>
      <c r="M557">
        <v>3</v>
      </c>
      <c r="N557" t="s">
        <v>91</v>
      </c>
      <c r="O557" t="str">
        <f>SUBSTITUTE(PROPER(TRIM(RawSalesTable[[#This Row],[Channel_Raw]])), "Market Place", "Marketplace")</f>
        <v>Retail Store</v>
      </c>
      <c r="P557" t="str">
        <f>TRIM(RawSalesTable[[#This Row],[Store_Raw]])</f>
        <v>Toronto Downtown</v>
      </c>
      <c r="Q557" t="str">
        <f>IF(TRIM(RawSalesTable[[#This Row],[Payment_Method_Raw]])="","Non renseigné",SUBSTITUTE(TRIM(RawSalesTable[[#This Row],[Payment_Method_Raw]]),"CC","Credit Card"))</f>
        <v>Debit Card</v>
      </c>
      <c r="R557" s="8" t="str">
        <f>UPPER(PROPER(RawSalesTable[[#This Row],[Customer_ID]]))</f>
        <v>C0078</v>
      </c>
      <c r="S557" s="8" t="str">
        <f>TRIM(LEFT(RawSalesTable[[#This Row],[Customer_Info]],FIND(",",RawSalesTable[[#This Row],[Customer_Info]]) -1))</f>
        <v>Sarah Smith</v>
      </c>
      <c r="T557" s="8" t="str">
        <f>TRIM(MID(RawSalesTable[[#This Row],[Customer_Info]],FIND(",",RawSalesTable[[#This Row],[Customer_Info]])+1,FIND(",",RawSalesTable[[#This Row],[Customer_Info]],FIND(",",RawSalesTable[[#This Row],[Customer_Info]])+1)-FIND(",",RawSalesTable[[#This Row],[Customer_Info]])-1))</f>
        <v>Edmonton</v>
      </c>
      <c r="U557" s="8" t="str">
        <f>TRIM(RIGHT(RawSalesTable[[#This Row],[Customer_Info]], LEN(RawSalesTable[[#This Row],[Customer_Info]])-FIND(",",RawSalesTable[[#This Row],[Customer_Info]],FIND(",",RawSalesTable[[#This Row],[Customer_Info]])+1)))</f>
        <v>Corporate</v>
      </c>
      <c r="V557" s="8" t="str">
        <f>VLOOKUP(RawSalesTable[[#This Row],[Product_ID]],ProductsTable[],2,FALSE)</f>
        <v>Backpack</v>
      </c>
      <c r="W557" s="8" t="str">
        <f>VLOOKUP(RawSalesTable[[#This Row],[Product_ID]],ProductsTable[],3,FALSE)</f>
        <v>Accessories</v>
      </c>
      <c r="X557" s="8">
        <f>VLOOKUP(RawSalesTable[[#This Row],[Product_ID]],ProductsTable[],5,FALSE)</f>
        <v>152.55000000000001</v>
      </c>
      <c r="Y557" s="8">
        <f>RawSalesTable[[#This Row],[Quantity]]*RawSalesTable[[#This Row],[Unit_Price]]</f>
        <v>636.41999999999996</v>
      </c>
      <c r="Z557" s="8">
        <f>RawSalesTable[[#This Row],[Gross_Sales]]*RawSalesTable[[#This Row],[Discount_Pct]]</f>
        <v>0</v>
      </c>
      <c r="AA557" s="8">
        <f>RawSalesTable[[#This Row],[Gross_Sales]]-RawSalesTable[[#This Row],[Discount_Amount]]</f>
        <v>636.41999999999996</v>
      </c>
      <c r="AB557" s="8">
        <f>RawSalesTable[[#This Row],[Unit_Cost]]*RawSalesTable[[#This Row],[Quantity]]</f>
        <v>305.10000000000002</v>
      </c>
      <c r="AC557" s="8">
        <f>RawSalesTable[[#This Row],[Net_Sales]]-RawSalesTable[[#This Row],[Total_Cost]]</f>
        <v>331.31999999999994</v>
      </c>
      <c r="AD557" s="9">
        <f>RawSalesTable[[#This Row],[Profit]]/RawSalesTable[[#This Row],[Net_Sales]]</f>
        <v>0.52059960403507111</v>
      </c>
      <c r="AE557" s="8">
        <f>IF(RawSalesTable[[#This Row],[Return_Status]]="Yes",1,0)</f>
        <v>0</v>
      </c>
      <c r="AF557" s="8">
        <f>YEAR(RawSalesTable[[#This Row],[Order_Date]])</f>
        <v>2025</v>
      </c>
      <c r="AG557" s="8">
        <f>MONTH(RawSalesTable[[#This Row],[Order_Date]])</f>
        <v>8</v>
      </c>
      <c r="AH557" s="8" t="str">
        <f>TEXT(RawSalesTable[[#This Row],[Order_Date]],"mmmm")</f>
        <v>août</v>
      </c>
      <c r="AI557" s="8" t="str">
        <f>IF(RawSalesTable[[#This Row],[Month_Number]]&lt;=3,"Q1",IF(RawSalesTable[[#This Row],[Month_Number]]&lt;=6,"Q2",IF(RawSalesTable[[#This Row],[Month_Number]]&lt;=9,"Q3","Q4")))</f>
        <v>Q3</v>
      </c>
      <c r="AJ557" s="13">
        <f>DATE(YEAR(RawSalesTable[[#This Row],[Order_Date]]),MONTH(RawSalesTable[[#This Row],[Order_Date]]),1)</f>
        <v>45870</v>
      </c>
      <c r="AK557" s="8" t="str">
        <f>VLOOKUP(RawSalesTable[[#This Row],[Customer_ID_clean]],CustomersTable[],4,FALSE)</f>
        <v>Alberta</v>
      </c>
    </row>
    <row r="558" spans="1:37">
      <c r="A558" t="s">
        <v>992</v>
      </c>
      <c r="B558" s="3">
        <v>45799</v>
      </c>
      <c r="C558" t="s">
        <v>108</v>
      </c>
      <c r="D558" t="s">
        <v>210</v>
      </c>
      <c r="E558" t="s">
        <v>110</v>
      </c>
      <c r="F558" t="s">
        <v>87</v>
      </c>
      <c r="G558" t="s">
        <v>183</v>
      </c>
      <c r="H558" t="s">
        <v>105</v>
      </c>
      <c r="I558">
        <v>5</v>
      </c>
      <c r="J558" s="2">
        <v>323.45</v>
      </c>
      <c r="K558" s="4">
        <v>0.05</v>
      </c>
      <c r="L558" t="s">
        <v>106</v>
      </c>
      <c r="M558">
        <v>2</v>
      </c>
      <c r="N558" t="s">
        <v>91</v>
      </c>
      <c r="O558" t="str">
        <f>SUBSTITUTE(PROPER(TRIM(RawSalesTable[[#This Row],[Channel_Raw]])), "Market Place", "Marketplace")</f>
        <v>Marketplace</v>
      </c>
      <c r="P558" t="str">
        <f>TRIM(RawSalesTable[[#This Row],[Store_Raw]])</f>
        <v>Online Fulfillment</v>
      </c>
      <c r="Q558" t="str">
        <f>IF(TRIM(RawSalesTable[[#This Row],[Payment_Method_Raw]])="","Non renseigné",SUBSTITUTE(TRIM(RawSalesTable[[#This Row],[Payment_Method_Raw]]),"CC","Credit Card"))</f>
        <v>Credit Card</v>
      </c>
      <c r="R558" s="8" t="str">
        <f>UPPER(PROPER(RawSalesTable[[#This Row],[Customer_ID]]))</f>
        <v>C0071</v>
      </c>
      <c r="S558" s="8" t="str">
        <f>TRIM(LEFT(RawSalesTable[[#This Row],[Customer_Info]],FIND(",",RawSalesTable[[#This Row],[Customer_Info]]) -1))</f>
        <v>Ethan Lee</v>
      </c>
      <c r="T558" s="8" t="str">
        <f>TRIM(MID(RawSalesTable[[#This Row],[Customer_Info]],FIND(",",RawSalesTable[[#This Row],[Customer_Info]])+1,FIND(",",RawSalesTable[[#This Row],[Customer_Info]],FIND(",",RawSalesTable[[#This Row],[Customer_Info]])+1)-FIND(",",RawSalesTable[[#This Row],[Customer_Info]])-1))</f>
        <v>Surrey</v>
      </c>
      <c r="U558" s="8" t="str">
        <f>TRIM(RIGHT(RawSalesTable[[#This Row],[Customer_Info]], LEN(RawSalesTable[[#This Row],[Customer_Info]])-FIND(",",RawSalesTable[[#This Row],[Customer_Info]],FIND(",",RawSalesTable[[#This Row],[Customer_Info]])+1)))</f>
        <v>Consumer</v>
      </c>
      <c r="V558" s="8" t="str">
        <f>VLOOKUP(RawSalesTable[[#This Row],[Product_ID]],ProductsTable[],2,FALSE)</f>
        <v>Desk Pad</v>
      </c>
      <c r="W558" s="8" t="str">
        <f>VLOOKUP(RawSalesTable[[#This Row],[Product_ID]],ProductsTable[],3,FALSE)</f>
        <v>Accessories</v>
      </c>
      <c r="X558" s="8">
        <f>VLOOKUP(RawSalesTable[[#This Row],[Product_ID]],ProductsTable[],5,FALSE)</f>
        <v>177.57</v>
      </c>
      <c r="Y558" s="8">
        <f>RawSalesTable[[#This Row],[Quantity]]*RawSalesTable[[#This Row],[Unit_Price]]</f>
        <v>1617.25</v>
      </c>
      <c r="Z558" s="8">
        <f>RawSalesTable[[#This Row],[Gross_Sales]]*RawSalesTable[[#This Row],[Discount_Pct]]</f>
        <v>80.862500000000011</v>
      </c>
      <c r="AA558" s="8">
        <f>RawSalesTable[[#This Row],[Gross_Sales]]-RawSalesTable[[#This Row],[Discount_Amount]]</f>
        <v>1536.3875</v>
      </c>
      <c r="AB558" s="8">
        <f>RawSalesTable[[#This Row],[Unit_Cost]]*RawSalesTable[[#This Row],[Quantity]]</f>
        <v>887.84999999999991</v>
      </c>
      <c r="AC558" s="8">
        <f>RawSalesTable[[#This Row],[Net_Sales]]-RawSalesTable[[#This Row],[Total_Cost]]</f>
        <v>648.53750000000014</v>
      </c>
      <c r="AD558" s="9">
        <f>RawSalesTable[[#This Row],[Profit]]/RawSalesTable[[#This Row],[Net_Sales]]</f>
        <v>0.42211844342654448</v>
      </c>
      <c r="AE558" s="8">
        <f>IF(RawSalesTable[[#This Row],[Return_Status]]="Yes",1,0)</f>
        <v>0</v>
      </c>
      <c r="AF558" s="8">
        <f>YEAR(RawSalesTable[[#This Row],[Order_Date]])</f>
        <v>2025</v>
      </c>
      <c r="AG558" s="8">
        <f>MONTH(RawSalesTable[[#This Row],[Order_Date]])</f>
        <v>5</v>
      </c>
      <c r="AH558" s="8" t="str">
        <f>TEXT(RawSalesTable[[#This Row],[Order_Date]],"mmmm")</f>
        <v>mai</v>
      </c>
      <c r="AI558" s="8" t="str">
        <f>IF(RawSalesTable[[#This Row],[Month_Number]]&lt;=3,"Q1",IF(RawSalesTable[[#This Row],[Month_Number]]&lt;=6,"Q2",IF(RawSalesTable[[#This Row],[Month_Number]]&lt;=9,"Q3","Q4")))</f>
        <v>Q2</v>
      </c>
      <c r="AJ558" s="13">
        <f>DATE(YEAR(RawSalesTable[[#This Row],[Order_Date]]),MONTH(RawSalesTable[[#This Row],[Order_Date]]),1)</f>
        <v>45778</v>
      </c>
      <c r="AK558" s="8" t="str">
        <f>VLOOKUP(RawSalesTable[[#This Row],[Customer_ID_clean]],CustomersTable[],4,FALSE)</f>
        <v>British Columbia</v>
      </c>
    </row>
    <row r="559" spans="1:37">
      <c r="A559" t="s">
        <v>993</v>
      </c>
      <c r="B559" s="3">
        <v>45882</v>
      </c>
      <c r="C559" t="s">
        <v>396</v>
      </c>
      <c r="D559" t="s">
        <v>520</v>
      </c>
      <c r="E559" t="s">
        <v>397</v>
      </c>
      <c r="F559" t="s">
        <v>87</v>
      </c>
      <c r="G559" t="s">
        <v>88</v>
      </c>
      <c r="H559" t="s">
        <v>89</v>
      </c>
      <c r="I559">
        <v>1</v>
      </c>
      <c r="J559" s="2">
        <v>368.38</v>
      </c>
      <c r="K559" s="4">
        <v>0.15</v>
      </c>
      <c r="L559" t="s">
        <v>146</v>
      </c>
      <c r="M559">
        <v>5</v>
      </c>
      <c r="N559" t="s">
        <v>91</v>
      </c>
      <c r="O559" t="str">
        <f>SUBSTITUTE(PROPER(TRIM(RawSalesTable[[#This Row],[Channel_Raw]])), "Market Place", "Marketplace")</f>
        <v>Online</v>
      </c>
      <c r="P559" t="str">
        <f>TRIM(RawSalesTable[[#This Row],[Store_Raw]])</f>
        <v>Online Fulfillment</v>
      </c>
      <c r="Q559" t="str">
        <f>IF(TRIM(RawSalesTable[[#This Row],[Payment_Method_Raw]])="","Non renseigné",SUBSTITUTE(TRIM(RawSalesTable[[#This Row],[Payment_Method_Raw]]),"CC","Credit Card"))</f>
        <v>Gift Card</v>
      </c>
      <c r="R559" s="8" t="str">
        <f>UPPER(PROPER(RawSalesTable[[#This Row],[Customer_ID]]))</f>
        <v>C0058</v>
      </c>
      <c r="S559" s="8" t="str">
        <f>TRIM(LEFT(RawSalesTable[[#This Row],[Customer_Info]],FIND(",",RawSalesTable[[#This Row],[Customer_Info]]) -1))</f>
        <v>Mia Singh</v>
      </c>
      <c r="T559" s="8" t="str">
        <f>TRIM(MID(RawSalesTable[[#This Row],[Customer_Info]],FIND(",",RawSalesTable[[#This Row],[Customer_Info]])+1,FIND(",",RawSalesTable[[#This Row],[Customer_Info]],FIND(",",RawSalesTable[[#This Row],[Customer_Info]])+1)-FIND(",",RawSalesTable[[#This Row],[Customer_Info]])-1))</f>
        <v>Laval</v>
      </c>
      <c r="U559" s="8" t="str">
        <f>TRIM(RIGHT(RawSalesTable[[#This Row],[Customer_Info]], LEN(RawSalesTable[[#This Row],[Customer_Info]])-FIND(",",RawSalesTable[[#This Row],[Customer_Info]],FIND(",",RawSalesTable[[#This Row],[Customer_Info]])+1)))</f>
        <v>Consumer</v>
      </c>
      <c r="V559" s="8" t="str">
        <f>VLOOKUP(RawSalesTable[[#This Row],[Product_ID]],ProductsTable[],2,FALSE)</f>
        <v>Coffee Maker</v>
      </c>
      <c r="W559" s="8" t="str">
        <f>VLOOKUP(RawSalesTable[[#This Row],[Product_ID]],ProductsTable[],3,FALSE)</f>
        <v>Home</v>
      </c>
      <c r="X559" s="8">
        <f>VLOOKUP(RawSalesTable[[#This Row],[Product_ID]],ProductsTable[],5,FALSE)</f>
        <v>241.16</v>
      </c>
      <c r="Y559" s="8">
        <f>RawSalesTable[[#This Row],[Quantity]]*RawSalesTable[[#This Row],[Unit_Price]]</f>
        <v>368.38</v>
      </c>
      <c r="Z559" s="8">
        <f>RawSalesTable[[#This Row],[Gross_Sales]]*RawSalesTable[[#This Row],[Discount_Pct]]</f>
        <v>55.256999999999998</v>
      </c>
      <c r="AA559" s="8">
        <f>RawSalesTable[[#This Row],[Gross_Sales]]-RawSalesTable[[#This Row],[Discount_Amount]]</f>
        <v>313.12299999999999</v>
      </c>
      <c r="AB559" s="8">
        <f>RawSalesTable[[#This Row],[Unit_Cost]]*RawSalesTable[[#This Row],[Quantity]]</f>
        <v>241.16</v>
      </c>
      <c r="AC559" s="8">
        <f>RawSalesTable[[#This Row],[Net_Sales]]-RawSalesTable[[#This Row],[Total_Cost]]</f>
        <v>71.962999999999994</v>
      </c>
      <c r="AD559" s="9">
        <f>RawSalesTable[[#This Row],[Profit]]/RawSalesTable[[#This Row],[Net_Sales]]</f>
        <v>0.22982342402186998</v>
      </c>
      <c r="AE559" s="8">
        <f>IF(RawSalesTable[[#This Row],[Return_Status]]="Yes",1,0)</f>
        <v>0</v>
      </c>
      <c r="AF559" s="8">
        <f>YEAR(RawSalesTable[[#This Row],[Order_Date]])</f>
        <v>2025</v>
      </c>
      <c r="AG559" s="8">
        <f>MONTH(RawSalesTable[[#This Row],[Order_Date]])</f>
        <v>8</v>
      </c>
      <c r="AH559" s="8" t="str">
        <f>TEXT(RawSalesTable[[#This Row],[Order_Date]],"mmmm")</f>
        <v>août</v>
      </c>
      <c r="AI559" s="8" t="str">
        <f>IF(RawSalesTable[[#This Row],[Month_Number]]&lt;=3,"Q1",IF(RawSalesTable[[#This Row],[Month_Number]]&lt;=6,"Q2",IF(RawSalesTable[[#This Row],[Month_Number]]&lt;=9,"Q3","Q4")))</f>
        <v>Q3</v>
      </c>
      <c r="AJ559" s="13">
        <f>DATE(YEAR(RawSalesTable[[#This Row],[Order_Date]]),MONTH(RawSalesTable[[#This Row],[Order_Date]]),1)</f>
        <v>45870</v>
      </c>
      <c r="AK559" s="8" t="str">
        <f>VLOOKUP(RawSalesTable[[#This Row],[Customer_ID_clean]],CustomersTable[],4,FALSE)</f>
        <v>Quebec</v>
      </c>
    </row>
    <row r="560" spans="1:37">
      <c r="A560" t="s">
        <v>994</v>
      </c>
      <c r="B560" s="3">
        <v>45996</v>
      </c>
      <c r="C560" t="s">
        <v>330</v>
      </c>
      <c r="D560" t="s">
        <v>738</v>
      </c>
      <c r="E560" t="s">
        <v>424</v>
      </c>
      <c r="F560" t="s">
        <v>116</v>
      </c>
      <c r="G560" t="s">
        <v>117</v>
      </c>
      <c r="H560" t="s">
        <v>89</v>
      </c>
      <c r="I560">
        <v>3</v>
      </c>
      <c r="J560" s="2">
        <v>316.8</v>
      </c>
      <c r="K560" s="4">
        <v>0.25</v>
      </c>
      <c r="L560" t="s">
        <v>106</v>
      </c>
      <c r="M560">
        <v>5</v>
      </c>
      <c r="N560" t="s">
        <v>91</v>
      </c>
      <c r="O560" t="str">
        <f>SUBSTITUTE(PROPER(TRIM(RawSalesTable[[#This Row],[Channel_Raw]])), "Market Place", "Marketplace")</f>
        <v>Online</v>
      </c>
      <c r="P560" t="str">
        <f>TRIM(RawSalesTable[[#This Row],[Store_Raw]])</f>
        <v>Toronto Downtown</v>
      </c>
      <c r="Q560" t="str">
        <f>IF(TRIM(RawSalesTable[[#This Row],[Payment_Method_Raw]])="","Non renseigné",SUBSTITUTE(TRIM(RawSalesTable[[#This Row],[Payment_Method_Raw]]),"CC","Credit Card"))</f>
        <v>Credit Card</v>
      </c>
      <c r="R560" s="8" t="str">
        <f>UPPER(PROPER(RawSalesTable[[#This Row],[Customer_ID]]))</f>
        <v>C0108</v>
      </c>
      <c r="S560" s="8" t="str">
        <f>TRIM(LEFT(RawSalesTable[[#This Row],[Customer_Info]],FIND(",",RawSalesTable[[#This Row],[Customer_Info]]) -1))</f>
        <v>Noah Lee</v>
      </c>
      <c r="T560" s="8" t="str">
        <f>TRIM(MID(RawSalesTable[[#This Row],[Customer_Info]],FIND(",",RawSalesTable[[#This Row],[Customer_Info]])+1,FIND(",",RawSalesTable[[#This Row],[Customer_Info]],FIND(",",RawSalesTable[[#This Row],[Customer_Info]])+1)-FIND(",",RawSalesTable[[#This Row],[Customer_Info]])-1))</f>
        <v>Surrey</v>
      </c>
      <c r="U560" s="8" t="str">
        <f>TRIM(RIGHT(RawSalesTable[[#This Row],[Customer_Info]], LEN(RawSalesTable[[#This Row],[Customer_Info]])-FIND(",",RawSalesTable[[#This Row],[Customer_Info]],FIND(",",RawSalesTable[[#This Row],[Customer_Info]])+1)))</f>
        <v>Consumer</v>
      </c>
      <c r="V560" s="8" t="str">
        <f>VLOOKUP(RawSalesTable[[#This Row],[Product_ID]],ProductsTable[],2,FALSE)</f>
        <v>Printer</v>
      </c>
      <c r="W560" s="8" t="str">
        <f>VLOOKUP(RawSalesTable[[#This Row],[Product_ID]],ProductsTable[],3,FALSE)</f>
        <v>Office</v>
      </c>
      <c r="X560" s="8">
        <f>VLOOKUP(RawSalesTable[[#This Row],[Product_ID]],ProductsTable[],5,FALSE)</f>
        <v>156.75</v>
      </c>
      <c r="Y560" s="8">
        <f>RawSalesTable[[#This Row],[Quantity]]*RawSalesTable[[#This Row],[Unit_Price]]</f>
        <v>950.40000000000009</v>
      </c>
      <c r="Z560" s="8">
        <f>RawSalesTable[[#This Row],[Gross_Sales]]*RawSalesTable[[#This Row],[Discount_Pct]]</f>
        <v>237.60000000000002</v>
      </c>
      <c r="AA560" s="8">
        <f>RawSalesTable[[#This Row],[Gross_Sales]]-RawSalesTable[[#This Row],[Discount_Amount]]</f>
        <v>712.80000000000007</v>
      </c>
      <c r="AB560" s="8">
        <f>RawSalesTable[[#This Row],[Unit_Cost]]*RawSalesTable[[#This Row],[Quantity]]</f>
        <v>470.25</v>
      </c>
      <c r="AC560" s="8">
        <f>RawSalesTable[[#This Row],[Net_Sales]]-RawSalesTable[[#This Row],[Total_Cost]]</f>
        <v>242.55000000000007</v>
      </c>
      <c r="AD560" s="9">
        <f>RawSalesTable[[#This Row],[Profit]]/RawSalesTable[[#This Row],[Net_Sales]]</f>
        <v>0.34027777777777785</v>
      </c>
      <c r="AE560" s="8">
        <f>IF(RawSalesTable[[#This Row],[Return_Status]]="Yes",1,0)</f>
        <v>0</v>
      </c>
      <c r="AF560" s="8">
        <f>YEAR(RawSalesTable[[#This Row],[Order_Date]])</f>
        <v>2025</v>
      </c>
      <c r="AG560" s="8">
        <f>MONTH(RawSalesTable[[#This Row],[Order_Date]])</f>
        <v>12</v>
      </c>
      <c r="AH560" s="8" t="str">
        <f>TEXT(RawSalesTable[[#This Row],[Order_Date]],"mmmm")</f>
        <v>décembre</v>
      </c>
      <c r="AI560" s="8" t="str">
        <f>IF(RawSalesTable[[#This Row],[Month_Number]]&lt;=3,"Q1",IF(RawSalesTable[[#This Row],[Month_Number]]&lt;=6,"Q2",IF(RawSalesTable[[#This Row],[Month_Number]]&lt;=9,"Q3","Q4")))</f>
        <v>Q4</v>
      </c>
      <c r="AJ560" s="13">
        <f>DATE(YEAR(RawSalesTable[[#This Row],[Order_Date]]),MONTH(RawSalesTable[[#This Row],[Order_Date]]),1)</f>
        <v>45992</v>
      </c>
      <c r="AK560" s="8" t="str">
        <f>VLOOKUP(RawSalesTable[[#This Row],[Customer_ID_clean]],CustomersTable[],4,FALSE)</f>
        <v>British Columbia</v>
      </c>
    </row>
    <row r="561" spans="1:37">
      <c r="A561" t="s">
        <v>995</v>
      </c>
      <c r="B561" s="3">
        <v>45769</v>
      </c>
      <c r="C561" t="s">
        <v>359</v>
      </c>
      <c r="D561" t="s">
        <v>85</v>
      </c>
      <c r="E561" t="s">
        <v>361</v>
      </c>
      <c r="F561" t="s">
        <v>116</v>
      </c>
      <c r="G561" t="s">
        <v>104</v>
      </c>
      <c r="H561" t="s">
        <v>105</v>
      </c>
      <c r="I561">
        <v>3</v>
      </c>
      <c r="J561" s="2">
        <v>308.24</v>
      </c>
      <c r="K561" s="4">
        <v>0.05</v>
      </c>
      <c r="L561" t="s">
        <v>98</v>
      </c>
      <c r="M561">
        <v>8</v>
      </c>
      <c r="N561" t="s">
        <v>91</v>
      </c>
      <c r="O561" t="str">
        <f>SUBSTITUTE(PROPER(TRIM(RawSalesTable[[#This Row],[Channel_Raw]])), "Market Place", "Marketplace")</f>
        <v>Marketplace</v>
      </c>
      <c r="P561" t="str">
        <f>TRIM(RawSalesTable[[#This Row],[Store_Raw]])</f>
        <v>Toronto Downtown</v>
      </c>
      <c r="Q561" t="str">
        <f>IF(TRIM(RawSalesTable[[#This Row],[Payment_Method_Raw]])="","Non renseigné",SUBSTITUTE(TRIM(RawSalesTable[[#This Row],[Payment_Method_Raw]]),"CC","Credit Card"))</f>
        <v>Debit Card</v>
      </c>
      <c r="R561" s="8" t="str">
        <f>UPPER(PROPER(RawSalesTable[[#This Row],[Customer_ID]]))</f>
        <v>C0044</v>
      </c>
      <c r="S561" s="8" t="str">
        <f>TRIM(LEFT(RawSalesTable[[#This Row],[Customer_Info]],FIND(",",RawSalesTable[[#This Row],[Customer_Info]]) -1))</f>
        <v>Nora Young</v>
      </c>
      <c r="T561" s="8" t="str">
        <f>TRIM(MID(RawSalesTable[[#This Row],[Customer_Info]],FIND(",",RawSalesTable[[#This Row],[Customer_Info]])+1,FIND(",",RawSalesTable[[#This Row],[Customer_Info]],FIND(",",RawSalesTable[[#This Row],[Customer_Info]])+1)-FIND(",",RawSalesTable[[#This Row],[Customer_Info]])-1))</f>
        <v>Vancouver</v>
      </c>
      <c r="U561" s="8" t="str">
        <f>TRIM(RIGHT(RawSalesTable[[#This Row],[Customer_Info]], LEN(RawSalesTable[[#This Row],[Customer_Info]])-FIND(",",RawSalesTable[[#This Row],[Customer_Info]],FIND(",",RawSalesTable[[#This Row],[Customer_Info]])+1)))</f>
        <v>Corporate</v>
      </c>
      <c r="V561" s="8" t="str">
        <f>VLOOKUP(RawSalesTable[[#This Row],[Product_ID]],ProductsTable[],2,FALSE)</f>
        <v>Yoga Mat</v>
      </c>
      <c r="W561" s="8" t="str">
        <f>VLOOKUP(RawSalesTable[[#This Row],[Product_ID]],ProductsTable[],3,FALSE)</f>
        <v>Fitness</v>
      </c>
      <c r="X561" s="8">
        <f>VLOOKUP(RawSalesTable[[#This Row],[Product_ID]],ProductsTable[],5,FALSE)</f>
        <v>197.33</v>
      </c>
      <c r="Y561" s="8">
        <f>RawSalesTable[[#This Row],[Quantity]]*RawSalesTable[[#This Row],[Unit_Price]]</f>
        <v>924.72</v>
      </c>
      <c r="Z561" s="8">
        <f>RawSalesTable[[#This Row],[Gross_Sales]]*RawSalesTable[[#This Row],[Discount_Pct]]</f>
        <v>46.236000000000004</v>
      </c>
      <c r="AA561" s="8">
        <f>RawSalesTable[[#This Row],[Gross_Sales]]-RawSalesTable[[#This Row],[Discount_Amount]]</f>
        <v>878.48400000000004</v>
      </c>
      <c r="AB561" s="8">
        <f>RawSalesTable[[#This Row],[Unit_Cost]]*RawSalesTable[[#This Row],[Quantity]]</f>
        <v>591.99</v>
      </c>
      <c r="AC561" s="8">
        <f>RawSalesTable[[#This Row],[Net_Sales]]-RawSalesTable[[#This Row],[Total_Cost]]</f>
        <v>286.49400000000003</v>
      </c>
      <c r="AD561" s="9">
        <f>RawSalesTable[[#This Row],[Profit]]/RawSalesTable[[#This Row],[Net_Sales]]</f>
        <v>0.32612318494133075</v>
      </c>
      <c r="AE561" s="8">
        <f>IF(RawSalesTable[[#This Row],[Return_Status]]="Yes",1,0)</f>
        <v>0</v>
      </c>
      <c r="AF561" s="8">
        <f>YEAR(RawSalesTable[[#This Row],[Order_Date]])</f>
        <v>2025</v>
      </c>
      <c r="AG561" s="8">
        <f>MONTH(RawSalesTable[[#This Row],[Order_Date]])</f>
        <v>4</v>
      </c>
      <c r="AH561" s="8" t="str">
        <f>TEXT(RawSalesTable[[#This Row],[Order_Date]],"mmmm")</f>
        <v>avril</v>
      </c>
      <c r="AI561" s="8" t="str">
        <f>IF(RawSalesTable[[#This Row],[Month_Number]]&lt;=3,"Q1",IF(RawSalesTable[[#This Row],[Month_Number]]&lt;=6,"Q2",IF(RawSalesTable[[#This Row],[Month_Number]]&lt;=9,"Q3","Q4")))</f>
        <v>Q2</v>
      </c>
      <c r="AJ561" s="13">
        <f>DATE(YEAR(RawSalesTable[[#This Row],[Order_Date]]),MONTH(RawSalesTable[[#This Row],[Order_Date]]),1)</f>
        <v>45748</v>
      </c>
      <c r="AK561" s="8" t="str">
        <f>VLOOKUP(RawSalesTable[[#This Row],[Customer_ID_clean]],CustomersTable[],4,FALSE)</f>
        <v>British Columbia</v>
      </c>
    </row>
    <row r="562" spans="1:37">
      <c r="A562" t="s">
        <v>996</v>
      </c>
      <c r="B562" s="3">
        <v>46005</v>
      </c>
      <c r="C562" t="s">
        <v>180</v>
      </c>
      <c r="D562" t="s">
        <v>249</v>
      </c>
      <c r="E562" t="s">
        <v>182</v>
      </c>
      <c r="F562" t="s">
        <v>116</v>
      </c>
      <c r="G562" t="s">
        <v>117</v>
      </c>
      <c r="H562" t="s">
        <v>89</v>
      </c>
      <c r="I562">
        <v>1</v>
      </c>
      <c r="J562" s="2">
        <v>428.94</v>
      </c>
      <c r="K562" s="4">
        <v>0</v>
      </c>
      <c r="L562" t="s">
        <v>106</v>
      </c>
      <c r="M562">
        <v>4</v>
      </c>
      <c r="N562" t="s">
        <v>91</v>
      </c>
      <c r="O562" t="str">
        <f>SUBSTITUTE(PROPER(TRIM(RawSalesTable[[#This Row],[Channel_Raw]])), "Market Place", "Marketplace")</f>
        <v>Online</v>
      </c>
      <c r="P562" t="str">
        <f>TRIM(RawSalesTable[[#This Row],[Store_Raw]])</f>
        <v>Toronto Downtown</v>
      </c>
      <c r="Q562" t="str">
        <f>IF(TRIM(RawSalesTable[[#This Row],[Payment_Method_Raw]])="","Non renseigné",SUBSTITUTE(TRIM(RawSalesTable[[#This Row],[Payment_Method_Raw]]),"CC","Credit Card"))</f>
        <v>Credit Card</v>
      </c>
      <c r="R562" s="8" t="str">
        <f>UPPER(PROPER(RawSalesTable[[#This Row],[Customer_ID]]))</f>
        <v>C0085</v>
      </c>
      <c r="S562" s="8" t="str">
        <f>TRIM(LEFT(RawSalesTable[[#This Row],[Customer_Info]],FIND(",",RawSalesTable[[#This Row],[Customer_Info]]) -1))</f>
        <v>Yasmine Clark</v>
      </c>
      <c r="T562" s="8" t="str">
        <f>TRIM(MID(RawSalesTable[[#This Row],[Customer_Info]],FIND(",",RawSalesTable[[#This Row],[Customer_Info]])+1,FIND(",",RawSalesTable[[#This Row],[Customer_Info]],FIND(",",RawSalesTable[[#This Row],[Customer_Info]])+1)-FIND(",",RawSalesTable[[#This Row],[Customer_Info]])-1))</f>
        <v>Calgary</v>
      </c>
      <c r="U562" s="8" t="str">
        <f>TRIM(RIGHT(RawSalesTable[[#This Row],[Customer_Info]], LEN(RawSalesTable[[#This Row],[Customer_Info]])-FIND(",",RawSalesTable[[#This Row],[Customer_Info]],FIND(",",RawSalesTable[[#This Row],[Customer_Info]])+1)))</f>
        <v>Consumer</v>
      </c>
      <c r="V562" s="8" t="str">
        <f>VLOOKUP(RawSalesTable[[#This Row],[Product_ID]],ProductsTable[],2,FALSE)</f>
        <v>Humidifier</v>
      </c>
      <c r="W562" s="8" t="str">
        <f>VLOOKUP(RawSalesTable[[#This Row],[Product_ID]],ProductsTable[],3,FALSE)</f>
        <v>Home</v>
      </c>
      <c r="X562" s="8">
        <f>VLOOKUP(RawSalesTable[[#This Row],[Product_ID]],ProductsTable[],5,FALSE)</f>
        <v>239.67</v>
      </c>
      <c r="Y562" s="8">
        <f>RawSalesTable[[#This Row],[Quantity]]*RawSalesTable[[#This Row],[Unit_Price]]</f>
        <v>428.94</v>
      </c>
      <c r="Z562" s="8">
        <f>RawSalesTable[[#This Row],[Gross_Sales]]*RawSalesTable[[#This Row],[Discount_Pct]]</f>
        <v>0</v>
      </c>
      <c r="AA562" s="8">
        <f>RawSalesTable[[#This Row],[Gross_Sales]]-RawSalesTable[[#This Row],[Discount_Amount]]</f>
        <v>428.94</v>
      </c>
      <c r="AB562" s="8">
        <f>RawSalesTable[[#This Row],[Unit_Cost]]*RawSalesTable[[#This Row],[Quantity]]</f>
        <v>239.67</v>
      </c>
      <c r="AC562" s="8">
        <f>RawSalesTable[[#This Row],[Net_Sales]]-RawSalesTable[[#This Row],[Total_Cost]]</f>
        <v>189.27</v>
      </c>
      <c r="AD562" s="9">
        <f>RawSalesTable[[#This Row],[Profit]]/RawSalesTable[[#This Row],[Net_Sales]]</f>
        <v>0.44125052454888797</v>
      </c>
      <c r="AE562" s="8">
        <f>IF(RawSalesTable[[#This Row],[Return_Status]]="Yes",1,0)</f>
        <v>0</v>
      </c>
      <c r="AF562" s="8">
        <f>YEAR(RawSalesTable[[#This Row],[Order_Date]])</f>
        <v>2025</v>
      </c>
      <c r="AG562" s="8">
        <f>MONTH(RawSalesTable[[#This Row],[Order_Date]])</f>
        <v>12</v>
      </c>
      <c r="AH562" s="8" t="str">
        <f>TEXT(RawSalesTable[[#This Row],[Order_Date]],"mmmm")</f>
        <v>décembre</v>
      </c>
      <c r="AI562" s="8" t="str">
        <f>IF(RawSalesTable[[#This Row],[Month_Number]]&lt;=3,"Q1",IF(RawSalesTable[[#This Row],[Month_Number]]&lt;=6,"Q2",IF(RawSalesTable[[#This Row],[Month_Number]]&lt;=9,"Q3","Q4")))</f>
        <v>Q4</v>
      </c>
      <c r="AJ562" s="13">
        <f>DATE(YEAR(RawSalesTable[[#This Row],[Order_Date]]),MONTH(RawSalesTable[[#This Row],[Order_Date]]),1)</f>
        <v>45992</v>
      </c>
      <c r="AK562" s="8" t="str">
        <f>VLOOKUP(RawSalesTable[[#This Row],[Customer_ID_clean]],CustomersTable[],4,FALSE)</f>
        <v>Alberta</v>
      </c>
    </row>
    <row r="563" spans="1:37">
      <c r="A563" t="s">
        <v>997</v>
      </c>
      <c r="B563" s="3">
        <v>45727</v>
      </c>
      <c r="C563" t="s">
        <v>200</v>
      </c>
      <c r="D563" t="s">
        <v>139</v>
      </c>
      <c r="E563" t="s">
        <v>201</v>
      </c>
      <c r="F563" t="s">
        <v>116</v>
      </c>
      <c r="G563" t="s">
        <v>183</v>
      </c>
      <c r="H563" t="s">
        <v>105</v>
      </c>
      <c r="I563">
        <v>1</v>
      </c>
      <c r="J563" s="2">
        <v>83.97</v>
      </c>
      <c r="K563" s="4">
        <v>0.1</v>
      </c>
      <c r="L563" t="s">
        <v>106</v>
      </c>
      <c r="M563">
        <v>5</v>
      </c>
      <c r="N563" t="s">
        <v>91</v>
      </c>
      <c r="O563" t="str">
        <f>SUBSTITUTE(PROPER(TRIM(RawSalesTable[[#This Row],[Channel_Raw]])), "Market Place", "Marketplace")</f>
        <v>Marketplace</v>
      </c>
      <c r="P563" t="str">
        <f>TRIM(RawSalesTable[[#This Row],[Store_Raw]])</f>
        <v>Toronto Downtown</v>
      </c>
      <c r="Q563" t="str">
        <f>IF(TRIM(RawSalesTable[[#This Row],[Payment_Method_Raw]])="","Non renseigné",SUBSTITUTE(TRIM(RawSalesTable[[#This Row],[Payment_Method_Raw]]),"CC","Credit Card"))</f>
        <v>Credit Card</v>
      </c>
      <c r="R563" s="8" t="str">
        <f>UPPER(PROPER(RawSalesTable[[#This Row],[Customer_ID]]))</f>
        <v>C0118</v>
      </c>
      <c r="S563" s="8" t="str">
        <f>TRIM(LEFT(RawSalesTable[[#This Row],[Customer_Info]],FIND(",",RawSalesTable[[#This Row],[Customer_Info]]) -1))</f>
        <v>Ryan Smith</v>
      </c>
      <c r="T563" s="8" t="str">
        <f>TRIM(MID(RawSalesTable[[#This Row],[Customer_Info]],FIND(",",RawSalesTable[[#This Row],[Customer_Info]])+1,FIND(",",RawSalesTable[[#This Row],[Customer_Info]],FIND(",",RawSalesTable[[#This Row],[Customer_Info]])+1)-FIND(",",RawSalesTable[[#This Row],[Customer_Info]])-1))</f>
        <v>Victoria</v>
      </c>
      <c r="U563" s="8" t="str">
        <f>TRIM(RIGHT(RawSalesTable[[#This Row],[Customer_Info]], LEN(RawSalesTable[[#This Row],[Customer_Info]])-FIND(",",RawSalesTable[[#This Row],[Customer_Info]],FIND(",",RawSalesTable[[#This Row],[Customer_Info]])+1)))</f>
        <v>Small Business</v>
      </c>
      <c r="V563" s="8" t="str">
        <f>VLOOKUP(RawSalesTable[[#This Row],[Product_ID]],ProductsTable[],2,FALSE)</f>
        <v>Standing Desk</v>
      </c>
      <c r="W563" s="8" t="str">
        <f>VLOOKUP(RawSalesTable[[#This Row],[Product_ID]],ProductsTable[],3,FALSE)</f>
        <v>Office</v>
      </c>
      <c r="X563" s="8">
        <f>VLOOKUP(RawSalesTable[[#This Row],[Product_ID]],ProductsTable[],5,FALSE)</f>
        <v>45.17</v>
      </c>
      <c r="Y563" s="8">
        <f>RawSalesTable[[#This Row],[Quantity]]*RawSalesTable[[#This Row],[Unit_Price]]</f>
        <v>83.97</v>
      </c>
      <c r="Z563" s="8">
        <f>RawSalesTable[[#This Row],[Gross_Sales]]*RawSalesTable[[#This Row],[Discount_Pct]]</f>
        <v>8.3970000000000002</v>
      </c>
      <c r="AA563" s="8">
        <f>RawSalesTable[[#This Row],[Gross_Sales]]-RawSalesTable[[#This Row],[Discount_Amount]]</f>
        <v>75.572999999999993</v>
      </c>
      <c r="AB563" s="8">
        <f>RawSalesTable[[#This Row],[Unit_Cost]]*RawSalesTable[[#This Row],[Quantity]]</f>
        <v>45.17</v>
      </c>
      <c r="AC563" s="8">
        <f>RawSalesTable[[#This Row],[Net_Sales]]-RawSalesTable[[#This Row],[Total_Cost]]</f>
        <v>30.402999999999992</v>
      </c>
      <c r="AD563" s="9">
        <f>RawSalesTable[[#This Row],[Profit]]/RawSalesTable[[#This Row],[Net_Sales]]</f>
        <v>0.40229976314292132</v>
      </c>
      <c r="AE563" s="8">
        <f>IF(RawSalesTable[[#This Row],[Return_Status]]="Yes",1,0)</f>
        <v>0</v>
      </c>
      <c r="AF563" s="8">
        <f>YEAR(RawSalesTable[[#This Row],[Order_Date]])</f>
        <v>2025</v>
      </c>
      <c r="AG563" s="8">
        <f>MONTH(RawSalesTable[[#This Row],[Order_Date]])</f>
        <v>3</v>
      </c>
      <c r="AH563" s="8" t="str">
        <f>TEXT(RawSalesTable[[#This Row],[Order_Date]],"mmmm")</f>
        <v>mars</v>
      </c>
      <c r="AI563" s="8" t="str">
        <f>IF(RawSalesTable[[#This Row],[Month_Number]]&lt;=3,"Q1",IF(RawSalesTable[[#This Row],[Month_Number]]&lt;=6,"Q2",IF(RawSalesTable[[#This Row],[Month_Number]]&lt;=9,"Q3","Q4")))</f>
        <v>Q1</v>
      </c>
      <c r="AJ563" s="13">
        <f>DATE(YEAR(RawSalesTable[[#This Row],[Order_Date]]),MONTH(RawSalesTable[[#This Row],[Order_Date]]),1)</f>
        <v>45717</v>
      </c>
      <c r="AK563" s="8" t="str">
        <f>VLOOKUP(RawSalesTable[[#This Row],[Customer_ID_clean]],CustomersTable[],4,FALSE)</f>
        <v>British Columbia</v>
      </c>
    </row>
    <row r="564" spans="1:37">
      <c r="A564" t="s">
        <v>998</v>
      </c>
      <c r="B564" s="3">
        <v>45909</v>
      </c>
      <c r="C564" t="s">
        <v>349</v>
      </c>
      <c r="D564" t="s">
        <v>143</v>
      </c>
      <c r="E564" t="s">
        <v>350</v>
      </c>
      <c r="F564" t="s">
        <v>103</v>
      </c>
      <c r="G564" t="s">
        <v>117</v>
      </c>
      <c r="H564" t="s">
        <v>97</v>
      </c>
      <c r="I564">
        <v>2</v>
      </c>
      <c r="J564" s="2">
        <v>260.72000000000003</v>
      </c>
      <c r="K564" s="4">
        <v>0.05</v>
      </c>
      <c r="L564" t="s">
        <v>441</v>
      </c>
      <c r="M564">
        <v>4</v>
      </c>
      <c r="N564" t="s">
        <v>147</v>
      </c>
      <c r="O564" t="str">
        <f>SUBSTITUTE(PROPER(TRIM(RawSalesTable[[#This Row],[Channel_Raw]])), "Market Place", "Marketplace")</f>
        <v>Retail Store</v>
      </c>
      <c r="P564" t="str">
        <f>TRIM(RawSalesTable[[#This Row],[Store_Raw]])</f>
        <v>Vancouver West</v>
      </c>
      <c r="Q564" t="str">
        <f>IF(TRIM(RawSalesTable[[#This Row],[Payment_Method_Raw]])="","Non renseigné",SUBSTITUTE(TRIM(RawSalesTable[[#This Row],[Payment_Method_Raw]]),"CC","Credit Card"))</f>
        <v>credit card</v>
      </c>
      <c r="R564" s="8" t="str">
        <f>UPPER(PROPER(RawSalesTable[[#This Row],[Customer_ID]]))</f>
        <v>C0088</v>
      </c>
      <c r="S564" s="8" t="str">
        <f>TRIM(LEFT(RawSalesTable[[#This Row],[Customer_Info]],FIND(",",RawSalesTable[[#This Row],[Customer_Info]]) -1))</f>
        <v>Olivia Bennett</v>
      </c>
      <c r="T564" s="8" t="str">
        <f>TRIM(MID(RawSalesTable[[#This Row],[Customer_Info]],FIND(",",RawSalesTable[[#This Row],[Customer_Info]])+1,FIND(",",RawSalesTable[[#This Row],[Customer_Info]],FIND(",",RawSalesTable[[#This Row],[Customer_Info]])+1)-FIND(",",RawSalesTable[[#This Row],[Customer_Info]])-1))</f>
        <v>Vancouver</v>
      </c>
      <c r="U564" s="8" t="str">
        <f>TRIM(RIGHT(RawSalesTable[[#This Row],[Customer_Info]], LEN(RawSalesTable[[#This Row],[Customer_Info]])-FIND(",",RawSalesTable[[#This Row],[Customer_Info]],FIND(",",RawSalesTable[[#This Row],[Customer_Info]])+1)))</f>
        <v>Small Business</v>
      </c>
      <c r="V564" s="8" t="str">
        <f>VLOOKUP(RawSalesTable[[#This Row],[Product_ID]],ProductsTable[],2,FALSE)</f>
        <v>Water Bottle</v>
      </c>
      <c r="W564" s="8" t="str">
        <f>VLOOKUP(RawSalesTable[[#This Row],[Product_ID]],ProductsTable[],3,FALSE)</f>
        <v>Accessories</v>
      </c>
      <c r="X564" s="8">
        <f>VLOOKUP(RawSalesTable[[#This Row],[Product_ID]],ProductsTable[],5,FALSE)</f>
        <v>119.16</v>
      </c>
      <c r="Y564" s="8">
        <f>RawSalesTable[[#This Row],[Quantity]]*RawSalesTable[[#This Row],[Unit_Price]]</f>
        <v>521.44000000000005</v>
      </c>
      <c r="Z564" s="8">
        <f>RawSalesTable[[#This Row],[Gross_Sales]]*RawSalesTable[[#This Row],[Discount_Pct]]</f>
        <v>26.072000000000003</v>
      </c>
      <c r="AA564" s="8">
        <f>RawSalesTable[[#This Row],[Gross_Sales]]-RawSalesTable[[#This Row],[Discount_Amount]]</f>
        <v>495.36800000000005</v>
      </c>
      <c r="AB564" s="8">
        <f>RawSalesTable[[#This Row],[Unit_Cost]]*RawSalesTable[[#This Row],[Quantity]]</f>
        <v>238.32</v>
      </c>
      <c r="AC564" s="8">
        <f>RawSalesTable[[#This Row],[Net_Sales]]-RawSalesTable[[#This Row],[Total_Cost]]</f>
        <v>257.04800000000006</v>
      </c>
      <c r="AD564" s="9">
        <f>RawSalesTable[[#This Row],[Profit]]/RawSalesTable[[#This Row],[Net_Sales]]</f>
        <v>0.51890311848968851</v>
      </c>
      <c r="AE564" s="8">
        <f>IF(RawSalesTable[[#This Row],[Return_Status]]="Yes",1,0)</f>
        <v>1</v>
      </c>
      <c r="AF564" s="8">
        <f>YEAR(RawSalesTable[[#This Row],[Order_Date]])</f>
        <v>2025</v>
      </c>
      <c r="AG564" s="8">
        <f>MONTH(RawSalesTable[[#This Row],[Order_Date]])</f>
        <v>9</v>
      </c>
      <c r="AH564" s="8" t="str">
        <f>TEXT(RawSalesTable[[#This Row],[Order_Date]],"mmmm")</f>
        <v>septembre</v>
      </c>
      <c r="AI564" s="8" t="str">
        <f>IF(RawSalesTable[[#This Row],[Month_Number]]&lt;=3,"Q1",IF(RawSalesTable[[#This Row],[Month_Number]]&lt;=6,"Q2",IF(RawSalesTable[[#This Row],[Month_Number]]&lt;=9,"Q3","Q4")))</f>
        <v>Q3</v>
      </c>
      <c r="AJ564" s="13">
        <f>DATE(YEAR(RawSalesTable[[#This Row],[Order_Date]]),MONTH(RawSalesTable[[#This Row],[Order_Date]]),1)</f>
        <v>45901</v>
      </c>
      <c r="AK564" s="8" t="str">
        <f>VLOOKUP(RawSalesTable[[#This Row],[Customer_ID_clean]],CustomersTable[],4,FALSE)</f>
        <v>British Columbia</v>
      </c>
    </row>
    <row r="565" spans="1:37">
      <c r="A565" t="s">
        <v>999</v>
      </c>
      <c r="B565" s="3">
        <v>46004</v>
      </c>
      <c r="C565" t="s">
        <v>290</v>
      </c>
      <c r="D565" t="s">
        <v>139</v>
      </c>
      <c r="E565" t="s">
        <v>291</v>
      </c>
      <c r="F565" t="s">
        <v>116</v>
      </c>
      <c r="G565" t="s">
        <v>117</v>
      </c>
      <c r="H565" t="s">
        <v>105</v>
      </c>
      <c r="I565">
        <v>3</v>
      </c>
      <c r="J565" s="2">
        <v>81.14</v>
      </c>
      <c r="K565" s="4">
        <v>0</v>
      </c>
      <c r="L565" t="s">
        <v>90</v>
      </c>
      <c r="M565">
        <v>6</v>
      </c>
      <c r="N565" t="s">
        <v>91</v>
      </c>
      <c r="O565" t="str">
        <f>SUBSTITUTE(PROPER(TRIM(RawSalesTable[[#This Row],[Channel_Raw]])), "Market Place", "Marketplace")</f>
        <v>Marketplace</v>
      </c>
      <c r="P565" t="str">
        <f>TRIM(RawSalesTable[[#This Row],[Store_Raw]])</f>
        <v>Toronto Downtown</v>
      </c>
      <c r="Q565" t="str">
        <f>IF(TRIM(RawSalesTable[[#This Row],[Payment_Method_Raw]])="","Non renseigné",SUBSTITUTE(TRIM(RawSalesTable[[#This Row],[Payment_Method_Raw]]),"CC","Credit Card"))</f>
        <v>PayPal</v>
      </c>
      <c r="R565" s="8" t="str">
        <f>UPPER(PROPER(RawSalesTable[[#This Row],[Customer_ID]]))</f>
        <v>C0116</v>
      </c>
      <c r="S565" s="8" t="str">
        <f>TRIM(LEFT(RawSalesTable[[#This Row],[Customer_Info]],FIND(",",RawSalesTable[[#This Row],[Customer_Info]]) -1))</f>
        <v>Lucas Brown</v>
      </c>
      <c r="T565" s="8" t="str">
        <f>TRIM(MID(RawSalesTable[[#This Row],[Customer_Info]],FIND(",",RawSalesTable[[#This Row],[Customer_Info]])+1,FIND(",",RawSalesTable[[#This Row],[Customer_Info]],FIND(",",RawSalesTable[[#This Row],[Customer_Info]])+1)-FIND(",",RawSalesTable[[#This Row],[Customer_Info]])-1))</f>
        <v>Mississauga</v>
      </c>
      <c r="U565" s="8" t="str">
        <f>TRIM(RIGHT(RawSalesTable[[#This Row],[Customer_Info]], LEN(RawSalesTable[[#This Row],[Customer_Info]])-FIND(",",RawSalesTable[[#This Row],[Customer_Info]],FIND(",",RawSalesTable[[#This Row],[Customer_Info]])+1)))</f>
        <v>Corporate</v>
      </c>
      <c r="V565" s="8" t="str">
        <f>VLOOKUP(RawSalesTable[[#This Row],[Product_ID]],ProductsTable[],2,FALSE)</f>
        <v>Standing Desk</v>
      </c>
      <c r="W565" s="8" t="str">
        <f>VLOOKUP(RawSalesTable[[#This Row],[Product_ID]],ProductsTable[],3,FALSE)</f>
        <v>Office</v>
      </c>
      <c r="X565" s="8">
        <f>VLOOKUP(RawSalesTable[[#This Row],[Product_ID]],ProductsTable[],5,FALSE)</f>
        <v>45.17</v>
      </c>
      <c r="Y565" s="8">
        <f>RawSalesTable[[#This Row],[Quantity]]*RawSalesTable[[#This Row],[Unit_Price]]</f>
        <v>243.42000000000002</v>
      </c>
      <c r="Z565" s="8">
        <f>RawSalesTable[[#This Row],[Gross_Sales]]*RawSalesTable[[#This Row],[Discount_Pct]]</f>
        <v>0</v>
      </c>
      <c r="AA565" s="8">
        <f>RawSalesTable[[#This Row],[Gross_Sales]]-RawSalesTable[[#This Row],[Discount_Amount]]</f>
        <v>243.42000000000002</v>
      </c>
      <c r="AB565" s="8">
        <f>RawSalesTable[[#This Row],[Unit_Cost]]*RawSalesTable[[#This Row],[Quantity]]</f>
        <v>135.51</v>
      </c>
      <c r="AC565" s="8">
        <f>RawSalesTable[[#This Row],[Net_Sales]]-RawSalesTable[[#This Row],[Total_Cost]]</f>
        <v>107.91000000000003</v>
      </c>
      <c r="AD565" s="9">
        <f>RawSalesTable[[#This Row],[Profit]]/RawSalesTable[[#This Row],[Net_Sales]]</f>
        <v>0.44330786295292096</v>
      </c>
      <c r="AE565" s="8">
        <f>IF(RawSalesTable[[#This Row],[Return_Status]]="Yes",1,0)</f>
        <v>0</v>
      </c>
      <c r="AF565" s="8">
        <f>YEAR(RawSalesTable[[#This Row],[Order_Date]])</f>
        <v>2025</v>
      </c>
      <c r="AG565" s="8">
        <f>MONTH(RawSalesTable[[#This Row],[Order_Date]])</f>
        <v>12</v>
      </c>
      <c r="AH565" s="8" t="str">
        <f>TEXT(RawSalesTable[[#This Row],[Order_Date]],"mmmm")</f>
        <v>décembre</v>
      </c>
      <c r="AI565" s="8" t="str">
        <f>IF(RawSalesTable[[#This Row],[Month_Number]]&lt;=3,"Q1",IF(RawSalesTable[[#This Row],[Month_Number]]&lt;=6,"Q2",IF(RawSalesTable[[#This Row],[Month_Number]]&lt;=9,"Q3","Q4")))</f>
        <v>Q4</v>
      </c>
      <c r="AJ565" s="13">
        <f>DATE(YEAR(RawSalesTable[[#This Row],[Order_Date]]),MONTH(RawSalesTable[[#This Row],[Order_Date]]),1)</f>
        <v>45992</v>
      </c>
      <c r="AK565" s="8" t="str">
        <f>VLOOKUP(RawSalesTable[[#This Row],[Customer_ID_clean]],CustomersTable[],4,FALSE)</f>
        <v>Ontario</v>
      </c>
    </row>
    <row r="566" spans="1:37">
      <c r="A566" t="s">
        <v>1000</v>
      </c>
      <c r="B566" s="3">
        <v>45697</v>
      </c>
      <c r="C566" t="s">
        <v>695</v>
      </c>
      <c r="D566" t="s">
        <v>181</v>
      </c>
      <c r="E566" t="s">
        <v>696</v>
      </c>
      <c r="F566" t="s">
        <v>87</v>
      </c>
      <c r="G566" t="s">
        <v>183</v>
      </c>
      <c r="H566" t="s">
        <v>89</v>
      </c>
      <c r="I566">
        <v>2</v>
      </c>
      <c r="J566" s="2">
        <v>367.23</v>
      </c>
      <c r="K566" s="4">
        <v>0.05</v>
      </c>
      <c r="L566" t="s">
        <v>90</v>
      </c>
      <c r="M566">
        <v>6</v>
      </c>
      <c r="N566" t="s">
        <v>91</v>
      </c>
      <c r="O566" t="str">
        <f>SUBSTITUTE(PROPER(TRIM(RawSalesTable[[#This Row],[Channel_Raw]])), "Market Place", "Marketplace")</f>
        <v>Online</v>
      </c>
      <c r="P566" t="str">
        <f>TRIM(RawSalesTable[[#This Row],[Store_Raw]])</f>
        <v>Online Fulfillment</v>
      </c>
      <c r="Q566" t="str">
        <f>IF(TRIM(RawSalesTable[[#This Row],[Payment_Method_Raw]])="","Non renseigné",SUBSTITUTE(TRIM(RawSalesTable[[#This Row],[Payment_Method_Raw]]),"CC","Credit Card"))</f>
        <v>PayPal</v>
      </c>
      <c r="R566" s="8" t="str">
        <f>UPPER(PROPER(RawSalesTable[[#This Row],[Customer_ID]]))</f>
        <v>C0019</v>
      </c>
      <c r="S566" s="8" t="str">
        <f>TRIM(LEFT(RawSalesTable[[#This Row],[Customer_Info]],FIND(",",RawSalesTable[[#This Row],[Customer_Info]]) -1))</f>
        <v>Lucas Taylor</v>
      </c>
      <c r="T566" s="8" t="str">
        <f>TRIM(MID(RawSalesTable[[#This Row],[Customer_Info]],FIND(",",RawSalesTable[[#This Row],[Customer_Info]])+1,FIND(",",RawSalesTable[[#This Row],[Customer_Info]],FIND(",",RawSalesTable[[#This Row],[Customer_Info]])+1)-FIND(",",RawSalesTable[[#This Row],[Customer_Info]])-1))</f>
        <v>Montreal</v>
      </c>
      <c r="U566" s="8" t="str">
        <f>TRIM(RIGHT(RawSalesTable[[#This Row],[Customer_Info]], LEN(RawSalesTable[[#This Row],[Customer_Info]])-FIND(",",RawSalesTable[[#This Row],[Customer_Info]],FIND(",",RawSalesTable[[#This Row],[Customer_Info]])+1)))</f>
        <v>Small Business</v>
      </c>
      <c r="V566" s="8" t="str">
        <f>VLOOKUP(RawSalesTable[[#This Row],[Product_ID]],ProductsTable[],2,FALSE)</f>
        <v>Monitor</v>
      </c>
      <c r="W566" s="8" t="str">
        <f>VLOOKUP(RawSalesTable[[#This Row],[Product_ID]],ProductsTable[],3,FALSE)</f>
        <v>Electronics</v>
      </c>
      <c r="X566" s="8">
        <f>VLOOKUP(RawSalesTable[[#This Row],[Product_ID]],ProductsTable[],5,FALSE)</f>
        <v>224.47</v>
      </c>
      <c r="Y566" s="8">
        <f>RawSalesTable[[#This Row],[Quantity]]*RawSalesTable[[#This Row],[Unit_Price]]</f>
        <v>734.46</v>
      </c>
      <c r="Z566" s="8">
        <f>RawSalesTable[[#This Row],[Gross_Sales]]*RawSalesTable[[#This Row],[Discount_Pct]]</f>
        <v>36.723000000000006</v>
      </c>
      <c r="AA566" s="8">
        <f>RawSalesTable[[#This Row],[Gross_Sales]]-RawSalesTable[[#This Row],[Discount_Amount]]</f>
        <v>697.73700000000008</v>
      </c>
      <c r="AB566" s="8">
        <f>RawSalesTable[[#This Row],[Unit_Cost]]*RawSalesTable[[#This Row],[Quantity]]</f>
        <v>448.94</v>
      </c>
      <c r="AC566" s="8">
        <f>RawSalesTable[[#This Row],[Net_Sales]]-RawSalesTable[[#This Row],[Total_Cost]]</f>
        <v>248.79700000000008</v>
      </c>
      <c r="AD566" s="9">
        <f>RawSalesTable[[#This Row],[Profit]]/RawSalesTable[[#This Row],[Net_Sales]]</f>
        <v>0.35657704837209442</v>
      </c>
      <c r="AE566" s="8">
        <f>IF(RawSalesTable[[#This Row],[Return_Status]]="Yes",1,0)</f>
        <v>0</v>
      </c>
      <c r="AF566" s="8">
        <f>YEAR(RawSalesTable[[#This Row],[Order_Date]])</f>
        <v>2025</v>
      </c>
      <c r="AG566" s="8">
        <f>MONTH(RawSalesTable[[#This Row],[Order_Date]])</f>
        <v>2</v>
      </c>
      <c r="AH566" s="8" t="str">
        <f>TEXT(RawSalesTable[[#This Row],[Order_Date]],"mmmm")</f>
        <v>février</v>
      </c>
      <c r="AI566" s="8" t="str">
        <f>IF(RawSalesTable[[#This Row],[Month_Number]]&lt;=3,"Q1",IF(RawSalesTable[[#This Row],[Month_Number]]&lt;=6,"Q2",IF(RawSalesTable[[#This Row],[Month_Number]]&lt;=9,"Q3","Q4")))</f>
        <v>Q1</v>
      </c>
      <c r="AJ566" s="13">
        <f>DATE(YEAR(RawSalesTable[[#This Row],[Order_Date]]),MONTH(RawSalesTable[[#This Row],[Order_Date]]),1)</f>
        <v>45689</v>
      </c>
      <c r="AK566" s="8" t="str">
        <f>VLOOKUP(RawSalesTable[[#This Row],[Customer_ID_clean]],CustomersTable[],4,FALSE)</f>
        <v>Quebec</v>
      </c>
    </row>
    <row r="567" spans="1:37">
      <c r="A567" t="s">
        <v>1001</v>
      </c>
      <c r="B567" s="3">
        <v>46000</v>
      </c>
      <c r="C567" t="s">
        <v>670</v>
      </c>
      <c r="D567" t="s">
        <v>469</v>
      </c>
      <c r="E567" t="s">
        <v>671</v>
      </c>
      <c r="F567" t="s">
        <v>116</v>
      </c>
      <c r="G567" t="s">
        <v>96</v>
      </c>
      <c r="H567" t="s">
        <v>89</v>
      </c>
      <c r="I567">
        <v>1</v>
      </c>
      <c r="J567" s="2">
        <v>80.66</v>
      </c>
      <c r="K567" s="4">
        <v>0.1</v>
      </c>
      <c r="L567" t="s">
        <v>106</v>
      </c>
      <c r="M567">
        <v>1</v>
      </c>
      <c r="N567" t="s">
        <v>91</v>
      </c>
      <c r="O567" t="str">
        <f>SUBSTITUTE(PROPER(TRIM(RawSalesTable[[#This Row],[Channel_Raw]])), "Market Place", "Marketplace")</f>
        <v>Online</v>
      </c>
      <c r="P567" t="str">
        <f>TRIM(RawSalesTable[[#This Row],[Store_Raw]])</f>
        <v>Toronto Downtown</v>
      </c>
      <c r="Q567" t="str">
        <f>IF(TRIM(RawSalesTable[[#This Row],[Payment_Method_Raw]])="","Non renseigné",SUBSTITUTE(TRIM(RawSalesTable[[#This Row],[Payment_Method_Raw]]),"CC","Credit Card"))</f>
        <v>Credit Card</v>
      </c>
      <c r="R567" s="8" t="str">
        <f>UPPER(PROPER(RawSalesTable[[#This Row],[Customer_ID]]))</f>
        <v>C0107</v>
      </c>
      <c r="S567" s="8" t="str">
        <f>TRIM(LEFT(RawSalesTable[[#This Row],[Customer_Info]],FIND(",",RawSalesTable[[#This Row],[Customer_Info]]) -1))</f>
        <v>Ava Lee</v>
      </c>
      <c r="T567" s="8" t="str">
        <f>TRIM(MID(RawSalesTable[[#This Row],[Customer_Info]],FIND(",",RawSalesTable[[#This Row],[Customer_Info]])+1,FIND(",",RawSalesTable[[#This Row],[Customer_Info]],FIND(",",RawSalesTable[[#This Row],[Customer_Info]])+1)-FIND(",",RawSalesTable[[#This Row],[Customer_Info]])-1))</f>
        <v>Calgary</v>
      </c>
      <c r="U567" s="8" t="str">
        <f>TRIM(RIGHT(RawSalesTable[[#This Row],[Customer_Info]], LEN(RawSalesTable[[#This Row],[Customer_Info]])-FIND(",",RawSalesTable[[#This Row],[Customer_Info]],FIND(",",RawSalesTable[[#This Row],[Customer_Info]])+1)))</f>
        <v>Small Business</v>
      </c>
      <c r="V567" s="8" t="str">
        <f>VLOOKUP(RawSalesTable[[#This Row],[Product_ID]],ProductsTable[],2,FALSE)</f>
        <v>Phone Stand</v>
      </c>
      <c r="W567" s="8" t="str">
        <f>VLOOKUP(RawSalesTable[[#This Row],[Product_ID]],ProductsTable[],3,FALSE)</f>
        <v>Accessories</v>
      </c>
      <c r="X567" s="8">
        <f>VLOOKUP(RawSalesTable[[#This Row],[Product_ID]],ProductsTable[],5,FALSE)</f>
        <v>59.85</v>
      </c>
      <c r="Y567" s="8">
        <f>RawSalesTable[[#This Row],[Quantity]]*RawSalesTable[[#This Row],[Unit_Price]]</f>
        <v>80.66</v>
      </c>
      <c r="Z567" s="8">
        <f>RawSalesTable[[#This Row],[Gross_Sales]]*RawSalesTable[[#This Row],[Discount_Pct]]</f>
        <v>8.0660000000000007</v>
      </c>
      <c r="AA567" s="8">
        <f>RawSalesTable[[#This Row],[Gross_Sales]]-RawSalesTable[[#This Row],[Discount_Amount]]</f>
        <v>72.593999999999994</v>
      </c>
      <c r="AB567" s="8">
        <f>RawSalesTable[[#This Row],[Unit_Cost]]*RawSalesTable[[#This Row],[Quantity]]</f>
        <v>59.85</v>
      </c>
      <c r="AC567" s="8">
        <f>RawSalesTable[[#This Row],[Net_Sales]]-RawSalesTable[[#This Row],[Total_Cost]]</f>
        <v>12.743999999999993</v>
      </c>
      <c r="AD567" s="9">
        <f>RawSalesTable[[#This Row],[Profit]]/RawSalesTable[[#This Row],[Net_Sales]]</f>
        <v>0.17555169848747823</v>
      </c>
      <c r="AE567" s="8">
        <f>IF(RawSalesTable[[#This Row],[Return_Status]]="Yes",1,0)</f>
        <v>0</v>
      </c>
      <c r="AF567" s="8">
        <f>YEAR(RawSalesTable[[#This Row],[Order_Date]])</f>
        <v>2025</v>
      </c>
      <c r="AG567" s="8">
        <f>MONTH(RawSalesTable[[#This Row],[Order_Date]])</f>
        <v>12</v>
      </c>
      <c r="AH567" s="8" t="str">
        <f>TEXT(RawSalesTable[[#This Row],[Order_Date]],"mmmm")</f>
        <v>décembre</v>
      </c>
      <c r="AI567" s="8" t="str">
        <f>IF(RawSalesTable[[#This Row],[Month_Number]]&lt;=3,"Q1",IF(RawSalesTable[[#This Row],[Month_Number]]&lt;=6,"Q2",IF(RawSalesTable[[#This Row],[Month_Number]]&lt;=9,"Q3","Q4")))</f>
        <v>Q4</v>
      </c>
      <c r="AJ567" s="13">
        <f>DATE(YEAR(RawSalesTable[[#This Row],[Order_Date]]),MONTH(RawSalesTable[[#This Row],[Order_Date]]),1)</f>
        <v>45992</v>
      </c>
      <c r="AK567" s="8" t="str">
        <f>VLOOKUP(RawSalesTable[[#This Row],[Customer_ID_clean]],CustomersTable[],4,FALSE)</f>
        <v>Alberta</v>
      </c>
    </row>
    <row r="568" spans="1:37">
      <c r="A568" t="s">
        <v>1002</v>
      </c>
      <c r="B568" s="3">
        <v>45858</v>
      </c>
      <c r="C568" t="s">
        <v>406</v>
      </c>
      <c r="D568" t="s">
        <v>85</v>
      </c>
      <c r="E568" t="s">
        <v>407</v>
      </c>
      <c r="F568" t="s">
        <v>111</v>
      </c>
      <c r="G568" t="s">
        <v>96</v>
      </c>
      <c r="H568" t="s">
        <v>89</v>
      </c>
      <c r="I568">
        <v>1</v>
      </c>
      <c r="J568" s="2">
        <v>301.2</v>
      </c>
      <c r="K568" s="4">
        <v>0</v>
      </c>
      <c r="L568" t="s">
        <v>90</v>
      </c>
      <c r="M568">
        <v>1</v>
      </c>
      <c r="N568" t="s">
        <v>91</v>
      </c>
      <c r="O568" t="str">
        <f>SUBSTITUTE(PROPER(TRIM(RawSalesTable[[#This Row],[Channel_Raw]])), "Market Place", "Marketplace")</f>
        <v>Online</v>
      </c>
      <c r="P568" t="str">
        <f>TRIM(RawSalesTable[[#This Row],[Store_Raw]])</f>
        <v>Montreal Central</v>
      </c>
      <c r="Q568" t="str">
        <f>IF(TRIM(RawSalesTable[[#This Row],[Payment_Method_Raw]])="","Non renseigné",SUBSTITUTE(TRIM(RawSalesTable[[#This Row],[Payment_Method_Raw]]),"CC","Credit Card"))</f>
        <v>PayPal</v>
      </c>
      <c r="R568" s="8" t="str">
        <f>UPPER(PROPER(RawSalesTable[[#This Row],[Customer_ID]]))</f>
        <v>C0038</v>
      </c>
      <c r="S568" s="8" t="str">
        <f>TRIM(LEFT(RawSalesTable[[#This Row],[Customer_Info]],FIND(",",RawSalesTable[[#This Row],[Customer_Info]]) -1))</f>
        <v>Noah Brown</v>
      </c>
      <c r="T568" s="8" t="str">
        <f>TRIM(MID(RawSalesTable[[#This Row],[Customer_Info]],FIND(",",RawSalesTable[[#This Row],[Customer_Info]])+1,FIND(",",RawSalesTable[[#This Row],[Customer_Info]],FIND(",",RawSalesTable[[#This Row],[Customer_Info]])+1)-FIND(",",RawSalesTable[[#This Row],[Customer_Info]])-1))</f>
        <v>Montreal</v>
      </c>
      <c r="U568" s="8" t="str">
        <f>TRIM(RIGHT(RawSalesTable[[#This Row],[Customer_Info]], LEN(RawSalesTable[[#This Row],[Customer_Info]])-FIND(",",RawSalesTable[[#This Row],[Customer_Info]],FIND(",",RawSalesTable[[#This Row],[Customer_Info]])+1)))</f>
        <v>Consumer</v>
      </c>
      <c r="V568" s="8" t="str">
        <f>VLOOKUP(RawSalesTable[[#This Row],[Product_ID]],ProductsTable[],2,FALSE)</f>
        <v>Yoga Mat</v>
      </c>
      <c r="W568" s="8" t="str">
        <f>VLOOKUP(RawSalesTable[[#This Row],[Product_ID]],ProductsTable[],3,FALSE)</f>
        <v>Fitness</v>
      </c>
      <c r="X568" s="8">
        <f>VLOOKUP(RawSalesTable[[#This Row],[Product_ID]],ProductsTable[],5,FALSE)</f>
        <v>197.33</v>
      </c>
      <c r="Y568" s="8">
        <f>RawSalesTable[[#This Row],[Quantity]]*RawSalesTable[[#This Row],[Unit_Price]]</f>
        <v>301.2</v>
      </c>
      <c r="Z568" s="8">
        <f>RawSalesTable[[#This Row],[Gross_Sales]]*RawSalesTable[[#This Row],[Discount_Pct]]</f>
        <v>0</v>
      </c>
      <c r="AA568" s="8">
        <f>RawSalesTable[[#This Row],[Gross_Sales]]-RawSalesTable[[#This Row],[Discount_Amount]]</f>
        <v>301.2</v>
      </c>
      <c r="AB568" s="8">
        <f>RawSalesTable[[#This Row],[Unit_Cost]]*RawSalesTable[[#This Row],[Quantity]]</f>
        <v>197.33</v>
      </c>
      <c r="AC568" s="8">
        <f>RawSalesTable[[#This Row],[Net_Sales]]-RawSalesTable[[#This Row],[Total_Cost]]</f>
        <v>103.86999999999998</v>
      </c>
      <c r="AD568" s="9">
        <f>RawSalesTable[[#This Row],[Profit]]/RawSalesTable[[#This Row],[Net_Sales]]</f>
        <v>0.34485391766268253</v>
      </c>
      <c r="AE568" s="8">
        <f>IF(RawSalesTable[[#This Row],[Return_Status]]="Yes",1,0)</f>
        <v>0</v>
      </c>
      <c r="AF568" s="8">
        <f>YEAR(RawSalesTable[[#This Row],[Order_Date]])</f>
        <v>2025</v>
      </c>
      <c r="AG568" s="8">
        <f>MONTH(RawSalesTable[[#This Row],[Order_Date]])</f>
        <v>7</v>
      </c>
      <c r="AH568" s="8" t="str">
        <f>TEXT(RawSalesTable[[#This Row],[Order_Date]],"mmmm")</f>
        <v>juillet</v>
      </c>
      <c r="AI568" s="8" t="str">
        <f>IF(RawSalesTable[[#This Row],[Month_Number]]&lt;=3,"Q1",IF(RawSalesTable[[#This Row],[Month_Number]]&lt;=6,"Q2",IF(RawSalesTable[[#This Row],[Month_Number]]&lt;=9,"Q3","Q4")))</f>
        <v>Q3</v>
      </c>
      <c r="AJ568" s="13">
        <f>DATE(YEAR(RawSalesTable[[#This Row],[Order_Date]]),MONTH(RawSalesTable[[#This Row],[Order_Date]]),1)</f>
        <v>45839</v>
      </c>
      <c r="AK568" s="8" t="str">
        <f>VLOOKUP(RawSalesTable[[#This Row],[Customer_ID_clean]],CustomersTable[],4,FALSE)</f>
        <v>Quebec</v>
      </c>
    </row>
    <row r="569" spans="1:37">
      <c r="A569" t="s">
        <v>1003</v>
      </c>
      <c r="B569" s="3">
        <v>45722</v>
      </c>
      <c r="C569" t="s">
        <v>427</v>
      </c>
      <c r="D569" t="s">
        <v>231</v>
      </c>
      <c r="E569" t="s">
        <v>428</v>
      </c>
      <c r="F569" t="s">
        <v>849</v>
      </c>
      <c r="G569" t="s">
        <v>130</v>
      </c>
      <c r="H569" t="s">
        <v>89</v>
      </c>
      <c r="I569">
        <v>1</v>
      </c>
      <c r="J569" s="2">
        <v>348.97</v>
      </c>
      <c r="K569" s="4">
        <v>0</v>
      </c>
      <c r="L569" t="s">
        <v>106</v>
      </c>
      <c r="M569">
        <v>5</v>
      </c>
      <c r="N569" t="s">
        <v>91</v>
      </c>
      <c r="O569" t="str">
        <f>SUBSTITUTE(PROPER(TRIM(RawSalesTable[[#This Row],[Channel_Raw]])), "Market Place", "Marketplace")</f>
        <v>Online</v>
      </c>
      <c r="P569" t="str">
        <f>TRIM(RawSalesTable[[#This Row],[Store_Raw]])</f>
        <v>Calgary North</v>
      </c>
      <c r="Q569" t="str">
        <f>IF(TRIM(RawSalesTable[[#This Row],[Payment_Method_Raw]])="","Non renseigné",SUBSTITUTE(TRIM(RawSalesTable[[#This Row],[Payment_Method_Raw]]),"CC","Credit Card"))</f>
        <v>Credit Card</v>
      </c>
      <c r="R569" s="8" t="str">
        <f>UPPER(PROPER(RawSalesTable[[#This Row],[Customer_ID]]))</f>
        <v>C0062</v>
      </c>
      <c r="S569" s="8" t="str">
        <f>TRIM(LEFT(RawSalesTable[[#This Row],[Customer_Info]],FIND(",",RawSalesTable[[#This Row],[Customer_Info]]) -1))</f>
        <v>Yasmine Scott</v>
      </c>
      <c r="T569" s="8" t="str">
        <f>TRIM(MID(RawSalesTable[[#This Row],[Customer_Info]],FIND(",",RawSalesTable[[#This Row],[Customer_Info]])+1,FIND(",",RawSalesTable[[#This Row],[Customer_Info]],FIND(",",RawSalesTable[[#This Row],[Customer_Info]])+1)-FIND(",",RawSalesTable[[#This Row],[Customer_Info]])-1))</f>
        <v>Toronto</v>
      </c>
      <c r="U569" s="8" t="str">
        <f>TRIM(RIGHT(RawSalesTable[[#This Row],[Customer_Info]], LEN(RawSalesTable[[#This Row],[Customer_Info]])-FIND(",",RawSalesTable[[#This Row],[Customer_Info]],FIND(",",RawSalesTable[[#This Row],[Customer_Info]])+1)))</f>
        <v>Consumer</v>
      </c>
      <c r="V569" s="8" t="str">
        <f>VLOOKUP(RawSalesTable[[#This Row],[Product_ID]],ProductsTable[],2,FALSE)</f>
        <v>Cable Set</v>
      </c>
      <c r="W569" s="8" t="str">
        <f>VLOOKUP(RawSalesTable[[#This Row],[Product_ID]],ProductsTable[],3,FALSE)</f>
        <v>Accessories</v>
      </c>
      <c r="X569" s="8">
        <f>VLOOKUP(RawSalesTable[[#This Row],[Product_ID]],ProductsTable[],5,FALSE)</f>
        <v>200.16</v>
      </c>
      <c r="Y569" s="8">
        <f>RawSalesTable[[#This Row],[Quantity]]*RawSalesTable[[#This Row],[Unit_Price]]</f>
        <v>348.97</v>
      </c>
      <c r="Z569" s="8">
        <f>RawSalesTable[[#This Row],[Gross_Sales]]*RawSalesTable[[#This Row],[Discount_Pct]]</f>
        <v>0</v>
      </c>
      <c r="AA569" s="8">
        <f>RawSalesTable[[#This Row],[Gross_Sales]]-RawSalesTable[[#This Row],[Discount_Amount]]</f>
        <v>348.97</v>
      </c>
      <c r="AB569" s="8">
        <f>RawSalesTable[[#This Row],[Unit_Cost]]*RawSalesTable[[#This Row],[Quantity]]</f>
        <v>200.16</v>
      </c>
      <c r="AC569" s="8">
        <f>RawSalesTable[[#This Row],[Net_Sales]]-RawSalesTable[[#This Row],[Total_Cost]]</f>
        <v>148.81000000000003</v>
      </c>
      <c r="AD569" s="9">
        <f>RawSalesTable[[#This Row],[Profit]]/RawSalesTable[[#This Row],[Net_Sales]]</f>
        <v>0.42642634037309801</v>
      </c>
      <c r="AE569" s="8">
        <f>IF(RawSalesTable[[#This Row],[Return_Status]]="Yes",1,0)</f>
        <v>0</v>
      </c>
      <c r="AF569" s="8">
        <f>YEAR(RawSalesTable[[#This Row],[Order_Date]])</f>
        <v>2025</v>
      </c>
      <c r="AG569" s="8">
        <f>MONTH(RawSalesTable[[#This Row],[Order_Date]])</f>
        <v>3</v>
      </c>
      <c r="AH569" s="8" t="str">
        <f>TEXT(RawSalesTable[[#This Row],[Order_Date]],"mmmm")</f>
        <v>mars</v>
      </c>
      <c r="AI569" s="8" t="str">
        <f>IF(RawSalesTable[[#This Row],[Month_Number]]&lt;=3,"Q1",IF(RawSalesTable[[#This Row],[Month_Number]]&lt;=6,"Q2",IF(RawSalesTable[[#This Row],[Month_Number]]&lt;=9,"Q3","Q4")))</f>
        <v>Q1</v>
      </c>
      <c r="AJ569" s="13">
        <f>DATE(YEAR(RawSalesTable[[#This Row],[Order_Date]]),MONTH(RawSalesTable[[#This Row],[Order_Date]]),1)</f>
        <v>45717</v>
      </c>
      <c r="AK569" s="8" t="str">
        <f>VLOOKUP(RawSalesTable[[#This Row],[Customer_ID_clean]],CustomersTable[],4,FALSE)</f>
        <v>Ontario</v>
      </c>
    </row>
    <row r="570" spans="1:37">
      <c r="A570" t="s">
        <v>1004</v>
      </c>
      <c r="B570" s="3">
        <v>46009</v>
      </c>
      <c r="C570" t="s">
        <v>500</v>
      </c>
      <c r="D570" t="s">
        <v>149</v>
      </c>
      <c r="E570" t="s">
        <v>501</v>
      </c>
      <c r="F570" t="s">
        <v>103</v>
      </c>
      <c r="G570" t="s">
        <v>104</v>
      </c>
      <c r="H570" t="s">
        <v>105</v>
      </c>
      <c r="I570">
        <v>1</v>
      </c>
      <c r="J570" s="2">
        <v>83.93</v>
      </c>
      <c r="K570" s="4">
        <v>0.15</v>
      </c>
      <c r="L570" t="s">
        <v>441</v>
      </c>
      <c r="M570">
        <v>1</v>
      </c>
      <c r="N570" t="s">
        <v>91</v>
      </c>
      <c r="O570" t="str">
        <f>SUBSTITUTE(PROPER(TRIM(RawSalesTable[[#This Row],[Channel_Raw]])), "Market Place", "Marketplace")</f>
        <v>Marketplace</v>
      </c>
      <c r="P570" t="str">
        <f>TRIM(RawSalesTable[[#This Row],[Store_Raw]])</f>
        <v>Vancouver West</v>
      </c>
      <c r="Q570" t="str">
        <f>IF(TRIM(RawSalesTable[[#This Row],[Payment_Method_Raw]])="","Non renseigné",SUBSTITUTE(TRIM(RawSalesTable[[#This Row],[Payment_Method_Raw]]),"CC","Credit Card"))</f>
        <v>credit card</v>
      </c>
      <c r="R570" s="8" t="str">
        <f>UPPER(PROPER(RawSalesTable[[#This Row],[Customer_ID]]))</f>
        <v>C0059</v>
      </c>
      <c r="S570" s="8" t="str">
        <f>TRIM(LEFT(RawSalesTable[[#This Row],[Customer_Info]],FIND(",",RawSalesTable[[#This Row],[Customer_Info]]) -1))</f>
        <v>Lucas Chen</v>
      </c>
      <c r="T570" s="8" t="str">
        <f>TRIM(MID(RawSalesTable[[#This Row],[Customer_Info]],FIND(",",RawSalesTable[[#This Row],[Customer_Info]])+1,FIND(",",RawSalesTable[[#This Row],[Customer_Info]],FIND(",",RawSalesTable[[#This Row],[Customer_Info]])+1)-FIND(",",RawSalesTable[[#This Row],[Customer_Info]])-1))</f>
        <v>Vancouver</v>
      </c>
      <c r="U570" s="8" t="str">
        <f>TRIM(RIGHT(RawSalesTable[[#This Row],[Customer_Info]], LEN(RawSalesTable[[#This Row],[Customer_Info]])-FIND(",",RawSalesTable[[#This Row],[Customer_Info]],FIND(",",RawSalesTable[[#This Row],[Customer_Info]])+1)))</f>
        <v>Corporate</v>
      </c>
      <c r="V570" s="8" t="str">
        <f>VLOOKUP(RawSalesTable[[#This Row],[Product_ID]],ProductsTable[],2,FALSE)</f>
        <v>Office Chair</v>
      </c>
      <c r="W570" s="8" t="str">
        <f>VLOOKUP(RawSalesTable[[#This Row],[Product_ID]],ProductsTable[],3,FALSE)</f>
        <v>Office</v>
      </c>
      <c r="X570" s="8">
        <f>VLOOKUP(RawSalesTable[[#This Row],[Product_ID]],ProductsTable[],5,FALSE)</f>
        <v>39.26</v>
      </c>
      <c r="Y570" s="8">
        <f>RawSalesTable[[#This Row],[Quantity]]*RawSalesTable[[#This Row],[Unit_Price]]</f>
        <v>83.93</v>
      </c>
      <c r="Z570" s="8">
        <f>RawSalesTable[[#This Row],[Gross_Sales]]*RawSalesTable[[#This Row],[Discount_Pct]]</f>
        <v>12.589500000000001</v>
      </c>
      <c r="AA570" s="8">
        <f>RawSalesTable[[#This Row],[Gross_Sales]]-RawSalesTable[[#This Row],[Discount_Amount]]</f>
        <v>71.340500000000006</v>
      </c>
      <c r="AB570" s="8">
        <f>RawSalesTable[[#This Row],[Unit_Cost]]*RawSalesTable[[#This Row],[Quantity]]</f>
        <v>39.26</v>
      </c>
      <c r="AC570" s="8">
        <f>RawSalesTable[[#This Row],[Net_Sales]]-RawSalesTable[[#This Row],[Total_Cost]]</f>
        <v>32.080500000000008</v>
      </c>
      <c r="AD570" s="9">
        <f>RawSalesTable[[#This Row],[Profit]]/RawSalesTable[[#This Row],[Net_Sales]]</f>
        <v>0.449681457236773</v>
      </c>
      <c r="AE570" s="8">
        <f>IF(RawSalesTable[[#This Row],[Return_Status]]="Yes",1,0)</f>
        <v>0</v>
      </c>
      <c r="AF570" s="8">
        <f>YEAR(RawSalesTable[[#This Row],[Order_Date]])</f>
        <v>2025</v>
      </c>
      <c r="AG570" s="8">
        <f>MONTH(RawSalesTable[[#This Row],[Order_Date]])</f>
        <v>12</v>
      </c>
      <c r="AH570" s="8" t="str">
        <f>TEXT(RawSalesTable[[#This Row],[Order_Date]],"mmmm")</f>
        <v>décembre</v>
      </c>
      <c r="AI570" s="8" t="str">
        <f>IF(RawSalesTable[[#This Row],[Month_Number]]&lt;=3,"Q1",IF(RawSalesTable[[#This Row],[Month_Number]]&lt;=6,"Q2",IF(RawSalesTable[[#This Row],[Month_Number]]&lt;=9,"Q3","Q4")))</f>
        <v>Q4</v>
      </c>
      <c r="AJ570" s="13">
        <f>DATE(YEAR(RawSalesTable[[#This Row],[Order_Date]]),MONTH(RawSalesTable[[#This Row],[Order_Date]]),1)</f>
        <v>45992</v>
      </c>
      <c r="AK570" s="8" t="str">
        <f>VLOOKUP(RawSalesTable[[#This Row],[Customer_ID_clean]],CustomersTable[],4,FALSE)</f>
        <v>British Columbia</v>
      </c>
    </row>
    <row r="571" spans="1:37">
      <c r="A571" t="s">
        <v>1005</v>
      </c>
      <c r="B571" s="3">
        <v>45801</v>
      </c>
      <c r="C571" t="s">
        <v>402</v>
      </c>
      <c r="D571" t="s">
        <v>520</v>
      </c>
      <c r="E571" t="s">
        <v>1006</v>
      </c>
      <c r="F571" t="s">
        <v>116</v>
      </c>
      <c r="G571" t="s">
        <v>88</v>
      </c>
      <c r="H571" t="s">
        <v>89</v>
      </c>
      <c r="I571">
        <v>2</v>
      </c>
      <c r="J571" s="2">
        <v>384</v>
      </c>
      <c r="K571" s="4">
        <v>0</v>
      </c>
      <c r="L571" t="s">
        <v>98</v>
      </c>
      <c r="M571">
        <v>4</v>
      </c>
      <c r="N571" t="s">
        <v>91</v>
      </c>
      <c r="O571" t="str">
        <f>SUBSTITUTE(PROPER(TRIM(RawSalesTable[[#This Row],[Channel_Raw]])), "Market Place", "Marketplace")</f>
        <v>Online</v>
      </c>
      <c r="P571" t="str">
        <f>TRIM(RawSalesTable[[#This Row],[Store_Raw]])</f>
        <v>Toronto Downtown</v>
      </c>
      <c r="Q571" t="str">
        <f>IF(TRIM(RawSalesTable[[#This Row],[Payment_Method_Raw]])="","Non renseigné",SUBSTITUTE(TRIM(RawSalesTable[[#This Row],[Payment_Method_Raw]]),"CC","Credit Card"))</f>
        <v>Debit Card</v>
      </c>
      <c r="R571" s="8" t="str">
        <f>UPPER(PROPER(RawSalesTable[[#This Row],[Customer_ID]]))</f>
        <v>C0010</v>
      </c>
      <c r="S571" s="8" t="str">
        <f>TRIM(LEFT(RawSalesTable[[#This Row],[Customer_Info]],FIND(",",RawSalesTable[[#This Row],[Customer_Info]]) -1))</f>
        <v>Ethan Martin</v>
      </c>
      <c r="T571" s="8" t="str">
        <f>TRIM(MID(RawSalesTable[[#This Row],[Customer_Info]],FIND(",",RawSalesTable[[#This Row],[Customer_Info]])+1,FIND(",",RawSalesTable[[#This Row],[Customer_Info]],FIND(",",RawSalesTable[[#This Row],[Customer_Info]])+1)-FIND(",",RawSalesTable[[#This Row],[Customer_Info]])-1))</f>
        <v>Victoria</v>
      </c>
      <c r="U571" s="8" t="str">
        <f>TRIM(RIGHT(RawSalesTable[[#This Row],[Customer_Info]], LEN(RawSalesTable[[#This Row],[Customer_Info]])-FIND(",",RawSalesTable[[#This Row],[Customer_Info]],FIND(",",RawSalesTable[[#This Row],[Customer_Info]])+1)))</f>
        <v>Corporate</v>
      </c>
      <c r="V571" s="8" t="str">
        <f>VLOOKUP(RawSalesTable[[#This Row],[Product_ID]],ProductsTable[],2,FALSE)</f>
        <v>Coffee Maker</v>
      </c>
      <c r="W571" s="8" t="str">
        <f>VLOOKUP(RawSalesTable[[#This Row],[Product_ID]],ProductsTable[],3,FALSE)</f>
        <v>Home</v>
      </c>
      <c r="X571" s="8">
        <f>VLOOKUP(RawSalesTable[[#This Row],[Product_ID]],ProductsTable[],5,FALSE)</f>
        <v>241.16</v>
      </c>
      <c r="Y571" s="8">
        <f>RawSalesTable[[#This Row],[Quantity]]*RawSalesTable[[#This Row],[Unit_Price]]</f>
        <v>768</v>
      </c>
      <c r="Z571" s="8">
        <f>RawSalesTable[[#This Row],[Gross_Sales]]*RawSalesTable[[#This Row],[Discount_Pct]]</f>
        <v>0</v>
      </c>
      <c r="AA571" s="8">
        <f>RawSalesTable[[#This Row],[Gross_Sales]]-RawSalesTable[[#This Row],[Discount_Amount]]</f>
        <v>768</v>
      </c>
      <c r="AB571" s="8">
        <f>RawSalesTable[[#This Row],[Unit_Cost]]*RawSalesTable[[#This Row],[Quantity]]</f>
        <v>482.32</v>
      </c>
      <c r="AC571" s="8">
        <f>RawSalesTable[[#This Row],[Net_Sales]]-RawSalesTable[[#This Row],[Total_Cost]]</f>
        <v>285.68</v>
      </c>
      <c r="AD571" s="9">
        <f>RawSalesTable[[#This Row],[Profit]]/RawSalesTable[[#This Row],[Net_Sales]]</f>
        <v>0.37197916666666669</v>
      </c>
      <c r="AE571" s="8">
        <f>IF(RawSalesTable[[#This Row],[Return_Status]]="Yes",1,0)</f>
        <v>0</v>
      </c>
      <c r="AF571" s="8">
        <f>YEAR(RawSalesTable[[#This Row],[Order_Date]])</f>
        <v>2025</v>
      </c>
      <c r="AG571" s="8">
        <f>MONTH(RawSalesTable[[#This Row],[Order_Date]])</f>
        <v>5</v>
      </c>
      <c r="AH571" s="8" t="str">
        <f>TEXT(RawSalesTable[[#This Row],[Order_Date]],"mmmm")</f>
        <v>mai</v>
      </c>
      <c r="AI571" s="8" t="str">
        <f>IF(RawSalesTable[[#This Row],[Month_Number]]&lt;=3,"Q1",IF(RawSalesTable[[#This Row],[Month_Number]]&lt;=6,"Q2",IF(RawSalesTable[[#This Row],[Month_Number]]&lt;=9,"Q3","Q4")))</f>
        <v>Q2</v>
      </c>
      <c r="AJ571" s="13">
        <f>DATE(YEAR(RawSalesTable[[#This Row],[Order_Date]]),MONTH(RawSalesTable[[#This Row],[Order_Date]]),1)</f>
        <v>45778</v>
      </c>
      <c r="AK571" s="8" t="str">
        <f>VLOOKUP(RawSalesTable[[#This Row],[Customer_ID_clean]],CustomersTable[],4,FALSE)</f>
        <v>British Columbia</v>
      </c>
    </row>
    <row r="572" spans="1:37">
      <c r="A572" t="s">
        <v>1007</v>
      </c>
      <c r="B572" s="3">
        <v>45662</v>
      </c>
      <c r="C572" t="s">
        <v>374</v>
      </c>
      <c r="D572" t="s">
        <v>249</v>
      </c>
      <c r="E572" t="s">
        <v>375</v>
      </c>
      <c r="F572" t="s">
        <v>111</v>
      </c>
      <c r="G572" t="s">
        <v>96</v>
      </c>
      <c r="H572" t="s">
        <v>167</v>
      </c>
      <c r="I572">
        <v>2</v>
      </c>
      <c r="J572" s="2">
        <v>414.63</v>
      </c>
      <c r="K572" s="4">
        <v>0.15</v>
      </c>
      <c r="L572" t="s">
        <v>106</v>
      </c>
      <c r="M572">
        <v>5</v>
      </c>
      <c r="N572" t="s">
        <v>91</v>
      </c>
      <c r="O572" t="str">
        <f>SUBSTITUTE(PROPER(TRIM(RawSalesTable[[#This Row],[Channel_Raw]])), "Market Place", "Marketplace")</f>
        <v>Marketplace</v>
      </c>
      <c r="P572" t="str">
        <f>TRIM(RawSalesTable[[#This Row],[Store_Raw]])</f>
        <v>Montreal Central</v>
      </c>
      <c r="Q572" t="str">
        <f>IF(TRIM(RawSalesTable[[#This Row],[Payment_Method_Raw]])="","Non renseigné",SUBSTITUTE(TRIM(RawSalesTable[[#This Row],[Payment_Method_Raw]]),"CC","Credit Card"))</f>
        <v>Credit Card</v>
      </c>
      <c r="R572" s="8" t="str">
        <f>UPPER(PROPER(RawSalesTable[[#This Row],[Customer_ID]]))</f>
        <v>C0035</v>
      </c>
      <c r="S572" s="8" t="str">
        <f>TRIM(LEFT(RawSalesTable[[#This Row],[Customer_Info]],FIND(",",RawSalesTable[[#This Row],[Customer_Info]]) -1))</f>
        <v>Amelia Scott</v>
      </c>
      <c r="T572" s="8" t="str">
        <f>TRIM(MID(RawSalesTable[[#This Row],[Customer_Info]],FIND(",",RawSalesTable[[#This Row],[Customer_Info]])+1,FIND(",",RawSalesTable[[#This Row],[Customer_Info]],FIND(",",RawSalesTable[[#This Row],[Customer_Info]])+1)-FIND(",",RawSalesTable[[#This Row],[Customer_Info]])-1))</f>
        <v>Edmonton</v>
      </c>
      <c r="U572" s="8" t="str">
        <f>TRIM(RIGHT(RawSalesTable[[#This Row],[Customer_Info]], LEN(RawSalesTable[[#This Row],[Customer_Info]])-FIND(",",RawSalesTable[[#This Row],[Customer_Info]],FIND(",",RawSalesTable[[#This Row],[Customer_Info]])+1)))</f>
        <v>Small Business</v>
      </c>
      <c r="V572" s="8" t="str">
        <f>VLOOKUP(RawSalesTable[[#This Row],[Product_ID]],ProductsTable[],2,FALSE)</f>
        <v>Humidifier</v>
      </c>
      <c r="W572" s="8" t="str">
        <f>VLOOKUP(RawSalesTable[[#This Row],[Product_ID]],ProductsTable[],3,FALSE)</f>
        <v>Home</v>
      </c>
      <c r="X572" s="8">
        <f>VLOOKUP(RawSalesTable[[#This Row],[Product_ID]],ProductsTable[],5,FALSE)</f>
        <v>239.67</v>
      </c>
      <c r="Y572" s="8">
        <f>RawSalesTable[[#This Row],[Quantity]]*RawSalesTable[[#This Row],[Unit_Price]]</f>
        <v>829.26</v>
      </c>
      <c r="Z572" s="8">
        <f>RawSalesTable[[#This Row],[Gross_Sales]]*RawSalesTable[[#This Row],[Discount_Pct]]</f>
        <v>124.389</v>
      </c>
      <c r="AA572" s="8">
        <f>RawSalesTable[[#This Row],[Gross_Sales]]-RawSalesTable[[#This Row],[Discount_Amount]]</f>
        <v>704.87099999999998</v>
      </c>
      <c r="AB572" s="8">
        <f>RawSalesTable[[#This Row],[Unit_Cost]]*RawSalesTable[[#This Row],[Quantity]]</f>
        <v>479.34</v>
      </c>
      <c r="AC572" s="8">
        <f>RawSalesTable[[#This Row],[Net_Sales]]-RawSalesTable[[#This Row],[Total_Cost]]</f>
        <v>225.53100000000001</v>
      </c>
      <c r="AD572" s="9">
        <f>RawSalesTable[[#This Row],[Profit]]/RawSalesTable[[#This Row],[Net_Sales]]</f>
        <v>0.31996067365517949</v>
      </c>
      <c r="AE572" s="8">
        <f>IF(RawSalesTable[[#This Row],[Return_Status]]="Yes",1,0)</f>
        <v>0</v>
      </c>
      <c r="AF572" s="8">
        <f>YEAR(RawSalesTable[[#This Row],[Order_Date]])</f>
        <v>2025</v>
      </c>
      <c r="AG572" s="8">
        <f>MONTH(RawSalesTable[[#This Row],[Order_Date]])</f>
        <v>1</v>
      </c>
      <c r="AH572" s="8" t="str">
        <f>TEXT(RawSalesTable[[#This Row],[Order_Date]],"mmmm")</f>
        <v>janvier</v>
      </c>
      <c r="AI572" s="8" t="str">
        <f>IF(RawSalesTable[[#This Row],[Month_Number]]&lt;=3,"Q1",IF(RawSalesTable[[#This Row],[Month_Number]]&lt;=6,"Q2",IF(RawSalesTable[[#This Row],[Month_Number]]&lt;=9,"Q3","Q4")))</f>
        <v>Q1</v>
      </c>
      <c r="AJ572" s="13">
        <f>DATE(YEAR(RawSalesTable[[#This Row],[Order_Date]]),MONTH(RawSalesTable[[#This Row],[Order_Date]]),1)</f>
        <v>45658</v>
      </c>
      <c r="AK572" s="8" t="str">
        <f>VLOOKUP(RawSalesTable[[#This Row],[Customer_ID_clean]],CustomersTable[],4,FALSE)</f>
        <v>Alberta</v>
      </c>
    </row>
    <row r="573" spans="1:37">
      <c r="A573" t="s">
        <v>1008</v>
      </c>
      <c r="B573" s="3">
        <v>45817</v>
      </c>
      <c r="C573" t="s">
        <v>594</v>
      </c>
      <c r="D573" t="s">
        <v>174</v>
      </c>
      <c r="E573" t="s">
        <v>595</v>
      </c>
      <c r="F573" t="s">
        <v>87</v>
      </c>
      <c r="G573" t="s">
        <v>117</v>
      </c>
      <c r="H573" t="s">
        <v>89</v>
      </c>
      <c r="I573">
        <v>3</v>
      </c>
      <c r="J573" s="2">
        <v>39.950000000000003</v>
      </c>
      <c r="K573" s="4">
        <v>0</v>
      </c>
      <c r="L573" t="s">
        <v>422</v>
      </c>
      <c r="M573">
        <v>8</v>
      </c>
      <c r="N573" t="s">
        <v>91</v>
      </c>
      <c r="O573" t="str">
        <f>SUBSTITUTE(PROPER(TRIM(RawSalesTable[[#This Row],[Channel_Raw]])), "Market Place", "Marketplace")</f>
        <v>Online</v>
      </c>
      <c r="P573" t="str">
        <f>TRIM(RawSalesTable[[#This Row],[Store_Raw]])</f>
        <v>Online Fulfillment</v>
      </c>
      <c r="Q573" t="str">
        <f>IF(TRIM(RawSalesTable[[#This Row],[Payment_Method_Raw]])="","Non renseigné",SUBSTITUTE(TRIM(RawSalesTable[[#This Row],[Payment_Method_Raw]]),"CC","Credit Card"))</f>
        <v>gift card</v>
      </c>
      <c r="R573" s="8" t="str">
        <f>UPPER(PROPER(RawSalesTable[[#This Row],[Customer_ID]]))</f>
        <v>C0027</v>
      </c>
      <c r="S573" s="8" t="str">
        <f>TRIM(LEFT(RawSalesTable[[#This Row],[Customer_Info]],FIND(",",RawSalesTable[[#This Row],[Customer_Info]]) -1))</f>
        <v>Nora Wilson</v>
      </c>
      <c r="T573" s="8" t="str">
        <f>TRIM(MID(RawSalesTable[[#This Row],[Customer_Info]],FIND(",",RawSalesTable[[#This Row],[Customer_Info]])+1,FIND(",",RawSalesTable[[#This Row],[Customer_Info]],FIND(",",RawSalesTable[[#This Row],[Customer_Info]])+1)-FIND(",",RawSalesTable[[#This Row],[Customer_Info]])-1))</f>
        <v>Toronto</v>
      </c>
      <c r="U573" s="8" t="str">
        <f>TRIM(RIGHT(RawSalesTable[[#This Row],[Customer_Info]], LEN(RawSalesTable[[#This Row],[Customer_Info]])-FIND(",",RawSalesTable[[#This Row],[Customer_Info]],FIND(",",RawSalesTable[[#This Row],[Customer_Info]])+1)))</f>
        <v>Small Business</v>
      </c>
      <c r="V573" s="8" t="str">
        <f>VLOOKUP(RawSalesTable[[#This Row],[Product_ID]],ProductsTable[],2,FALSE)</f>
        <v>Keyboard</v>
      </c>
      <c r="W573" s="8" t="str">
        <f>VLOOKUP(RawSalesTable[[#This Row],[Product_ID]],ProductsTable[],3,FALSE)</f>
        <v>Electronics</v>
      </c>
      <c r="X573" s="8">
        <f>VLOOKUP(RawSalesTable[[#This Row],[Product_ID]],ProductsTable[],5,FALSE)</f>
        <v>23.5</v>
      </c>
      <c r="Y573" s="8">
        <f>RawSalesTable[[#This Row],[Quantity]]*RawSalesTable[[#This Row],[Unit_Price]]</f>
        <v>119.85000000000001</v>
      </c>
      <c r="Z573" s="8">
        <f>RawSalesTable[[#This Row],[Gross_Sales]]*RawSalesTable[[#This Row],[Discount_Pct]]</f>
        <v>0</v>
      </c>
      <c r="AA573" s="8">
        <f>RawSalesTable[[#This Row],[Gross_Sales]]-RawSalesTable[[#This Row],[Discount_Amount]]</f>
        <v>119.85000000000001</v>
      </c>
      <c r="AB573" s="8">
        <f>RawSalesTable[[#This Row],[Unit_Cost]]*RawSalesTable[[#This Row],[Quantity]]</f>
        <v>70.5</v>
      </c>
      <c r="AC573" s="8">
        <f>RawSalesTable[[#This Row],[Net_Sales]]-RawSalesTable[[#This Row],[Total_Cost]]</f>
        <v>49.350000000000009</v>
      </c>
      <c r="AD573" s="9">
        <f>RawSalesTable[[#This Row],[Profit]]/RawSalesTable[[#This Row],[Net_Sales]]</f>
        <v>0.41176470588235298</v>
      </c>
      <c r="AE573" s="8">
        <f>IF(RawSalesTable[[#This Row],[Return_Status]]="Yes",1,0)</f>
        <v>0</v>
      </c>
      <c r="AF573" s="8">
        <f>YEAR(RawSalesTable[[#This Row],[Order_Date]])</f>
        <v>2025</v>
      </c>
      <c r="AG573" s="8">
        <f>MONTH(RawSalesTable[[#This Row],[Order_Date]])</f>
        <v>6</v>
      </c>
      <c r="AH573" s="8" t="str">
        <f>TEXT(RawSalesTable[[#This Row],[Order_Date]],"mmmm")</f>
        <v>juin</v>
      </c>
      <c r="AI573" s="8" t="str">
        <f>IF(RawSalesTable[[#This Row],[Month_Number]]&lt;=3,"Q1",IF(RawSalesTable[[#This Row],[Month_Number]]&lt;=6,"Q2",IF(RawSalesTable[[#This Row],[Month_Number]]&lt;=9,"Q3","Q4")))</f>
        <v>Q2</v>
      </c>
      <c r="AJ573" s="13">
        <f>DATE(YEAR(RawSalesTable[[#This Row],[Order_Date]]),MONTH(RawSalesTable[[#This Row],[Order_Date]]),1)</f>
        <v>45809</v>
      </c>
      <c r="AK573" s="8" t="str">
        <f>VLOOKUP(RawSalesTable[[#This Row],[Customer_ID_clean]],CustomersTable[],4,FALSE)</f>
        <v>Ontario</v>
      </c>
    </row>
    <row r="574" spans="1:37">
      <c r="A574" t="s">
        <v>1009</v>
      </c>
      <c r="B574" s="3">
        <v>45796</v>
      </c>
      <c r="C574" t="s">
        <v>647</v>
      </c>
      <c r="D574" t="s">
        <v>109</v>
      </c>
      <c r="E574" t="s">
        <v>648</v>
      </c>
      <c r="F574" t="s">
        <v>103</v>
      </c>
      <c r="G574" t="s">
        <v>183</v>
      </c>
      <c r="H574" t="s">
        <v>97</v>
      </c>
      <c r="I574">
        <v>1</v>
      </c>
      <c r="J574" s="2">
        <v>189.83</v>
      </c>
      <c r="K574" s="4">
        <v>0.2</v>
      </c>
      <c r="L574" t="s">
        <v>90</v>
      </c>
      <c r="M574">
        <v>3</v>
      </c>
      <c r="N574" t="s">
        <v>91</v>
      </c>
      <c r="O574" t="str">
        <f>SUBSTITUTE(PROPER(TRIM(RawSalesTable[[#This Row],[Channel_Raw]])), "Market Place", "Marketplace")</f>
        <v>Retail Store</v>
      </c>
      <c r="P574" t="str">
        <f>TRIM(RawSalesTable[[#This Row],[Store_Raw]])</f>
        <v>Vancouver West</v>
      </c>
      <c r="Q574" t="str">
        <f>IF(TRIM(RawSalesTable[[#This Row],[Payment_Method_Raw]])="","Non renseigné",SUBSTITUTE(TRIM(RawSalesTable[[#This Row],[Payment_Method_Raw]]),"CC","Credit Card"))</f>
        <v>PayPal</v>
      </c>
      <c r="R574" s="8" t="str">
        <f>UPPER(PROPER(RawSalesTable[[#This Row],[Customer_ID]]))</f>
        <v>C0050</v>
      </c>
      <c r="S574" s="8" t="str">
        <f>TRIM(LEFT(RawSalesTable[[#This Row],[Customer_Info]],FIND(",",RawSalesTable[[#This Row],[Customer_Info]]) -1))</f>
        <v>Sarah Singh</v>
      </c>
      <c r="T574" s="8" t="str">
        <f>TRIM(MID(RawSalesTable[[#This Row],[Customer_Info]],FIND(",",RawSalesTable[[#This Row],[Customer_Info]])+1,FIND(",",RawSalesTable[[#This Row],[Customer_Info]],FIND(",",RawSalesTable[[#This Row],[Customer_Info]])+1)-FIND(",",RawSalesTable[[#This Row],[Customer_Info]])-1))</f>
        <v>Mississauga</v>
      </c>
      <c r="U574" s="8" t="str">
        <f>TRIM(RIGHT(RawSalesTable[[#This Row],[Customer_Info]], LEN(RawSalesTable[[#This Row],[Customer_Info]])-FIND(",",RawSalesTable[[#This Row],[Customer_Info]],FIND(",",RawSalesTable[[#This Row],[Customer_Info]])+1)))</f>
        <v>Consumer</v>
      </c>
      <c r="V574" s="8" t="str">
        <f>VLOOKUP(RawSalesTable[[#This Row],[Product_ID]],ProductsTable[],2,FALSE)</f>
        <v>Gym Bag</v>
      </c>
      <c r="W574" s="8" t="str">
        <f>VLOOKUP(RawSalesTable[[#This Row],[Product_ID]],ProductsTable[],3,FALSE)</f>
        <v>Fitness</v>
      </c>
      <c r="X574" s="8">
        <f>VLOOKUP(RawSalesTable[[#This Row],[Product_ID]],ProductsTable[],5,FALSE)</f>
        <v>132.72</v>
      </c>
      <c r="Y574" s="8">
        <f>RawSalesTable[[#This Row],[Quantity]]*RawSalesTable[[#This Row],[Unit_Price]]</f>
        <v>189.83</v>
      </c>
      <c r="Z574" s="8">
        <f>RawSalesTable[[#This Row],[Gross_Sales]]*RawSalesTable[[#This Row],[Discount_Pct]]</f>
        <v>37.966000000000001</v>
      </c>
      <c r="AA574" s="8">
        <f>RawSalesTable[[#This Row],[Gross_Sales]]-RawSalesTable[[#This Row],[Discount_Amount]]</f>
        <v>151.864</v>
      </c>
      <c r="AB574" s="8">
        <f>RawSalesTable[[#This Row],[Unit_Cost]]*RawSalesTable[[#This Row],[Quantity]]</f>
        <v>132.72</v>
      </c>
      <c r="AC574" s="8">
        <f>RawSalesTable[[#This Row],[Net_Sales]]-RawSalesTable[[#This Row],[Total_Cost]]</f>
        <v>19.144000000000005</v>
      </c>
      <c r="AD574" s="9">
        <f>RawSalesTable[[#This Row],[Profit]]/RawSalesTable[[#This Row],[Net_Sales]]</f>
        <v>0.12606015908971188</v>
      </c>
      <c r="AE574" s="8">
        <f>IF(RawSalesTable[[#This Row],[Return_Status]]="Yes",1,0)</f>
        <v>0</v>
      </c>
      <c r="AF574" s="8">
        <f>YEAR(RawSalesTable[[#This Row],[Order_Date]])</f>
        <v>2025</v>
      </c>
      <c r="AG574" s="8">
        <f>MONTH(RawSalesTable[[#This Row],[Order_Date]])</f>
        <v>5</v>
      </c>
      <c r="AH574" s="8" t="str">
        <f>TEXT(RawSalesTable[[#This Row],[Order_Date]],"mmmm")</f>
        <v>mai</v>
      </c>
      <c r="AI574" s="8" t="str">
        <f>IF(RawSalesTable[[#This Row],[Month_Number]]&lt;=3,"Q1",IF(RawSalesTable[[#This Row],[Month_Number]]&lt;=6,"Q2",IF(RawSalesTable[[#This Row],[Month_Number]]&lt;=9,"Q3","Q4")))</f>
        <v>Q2</v>
      </c>
      <c r="AJ574" s="13">
        <f>DATE(YEAR(RawSalesTable[[#This Row],[Order_Date]]),MONTH(RawSalesTable[[#This Row],[Order_Date]]),1)</f>
        <v>45778</v>
      </c>
      <c r="AK574" s="8" t="str">
        <f>VLOOKUP(RawSalesTable[[#This Row],[Customer_ID_clean]],CustomersTable[],4,FALSE)</f>
        <v>Ontario</v>
      </c>
    </row>
    <row r="575" spans="1:37">
      <c r="A575" t="s">
        <v>1010</v>
      </c>
      <c r="B575" s="3">
        <v>45719</v>
      </c>
      <c r="C575" t="s">
        <v>438</v>
      </c>
      <c r="D575" t="s">
        <v>503</v>
      </c>
      <c r="E575" t="s">
        <v>439</v>
      </c>
      <c r="F575" t="s">
        <v>116</v>
      </c>
      <c r="G575" t="s">
        <v>96</v>
      </c>
      <c r="H575" t="s">
        <v>89</v>
      </c>
      <c r="I575">
        <v>3</v>
      </c>
      <c r="J575" s="2">
        <v>119.26</v>
      </c>
      <c r="K575" s="4">
        <v>0</v>
      </c>
      <c r="L575" t="s">
        <v>106</v>
      </c>
      <c r="M575">
        <v>2</v>
      </c>
      <c r="N575" t="s">
        <v>91</v>
      </c>
      <c r="O575" t="str">
        <f>SUBSTITUTE(PROPER(TRIM(RawSalesTable[[#This Row],[Channel_Raw]])), "Market Place", "Marketplace")</f>
        <v>Online</v>
      </c>
      <c r="P575" t="str">
        <f>TRIM(RawSalesTable[[#This Row],[Store_Raw]])</f>
        <v>Toronto Downtown</v>
      </c>
      <c r="Q575" t="str">
        <f>IF(TRIM(RawSalesTable[[#This Row],[Payment_Method_Raw]])="","Non renseigné",SUBSTITUTE(TRIM(RawSalesTable[[#This Row],[Payment_Method_Raw]]),"CC","Credit Card"))</f>
        <v>Credit Card</v>
      </c>
      <c r="R575" s="8" t="str">
        <f>UPPER(PROPER(RawSalesTable[[#This Row],[Customer_ID]]))</f>
        <v>C0028</v>
      </c>
      <c r="S575" s="8" t="str">
        <f>TRIM(LEFT(RawSalesTable[[#This Row],[Customer_Info]],FIND(",",RawSalesTable[[#This Row],[Customer_Info]]) -1))</f>
        <v>Mia Clark</v>
      </c>
      <c r="T575" s="8" t="str">
        <f>TRIM(MID(RawSalesTable[[#This Row],[Customer_Info]],FIND(",",RawSalesTable[[#This Row],[Customer_Info]])+1,FIND(",",RawSalesTable[[#This Row],[Customer_Info]],FIND(",",RawSalesTable[[#This Row],[Customer_Info]])+1)-FIND(",",RawSalesTable[[#This Row],[Customer_Info]])-1))</f>
        <v>Victoria</v>
      </c>
      <c r="U575" s="8" t="str">
        <f>TRIM(RIGHT(RawSalesTable[[#This Row],[Customer_Info]], LEN(RawSalesTable[[#This Row],[Customer_Info]])-FIND(",",RawSalesTable[[#This Row],[Customer_Info]],FIND(",",RawSalesTable[[#This Row],[Customer_Info]])+1)))</f>
        <v>Consumer</v>
      </c>
      <c r="V575" s="8" t="str">
        <f>VLOOKUP(RawSalesTable[[#This Row],[Product_ID]],ProductsTable[],2,FALSE)</f>
        <v>Whiteboard</v>
      </c>
      <c r="W575" s="8" t="str">
        <f>VLOOKUP(RawSalesTable[[#This Row],[Product_ID]],ProductsTable[],3,FALSE)</f>
        <v>Office</v>
      </c>
      <c r="X575" s="8">
        <f>VLOOKUP(RawSalesTable[[#This Row],[Product_ID]],ProductsTable[],5,FALSE)</f>
        <v>85.73</v>
      </c>
      <c r="Y575" s="8">
        <f>RawSalesTable[[#This Row],[Quantity]]*RawSalesTable[[#This Row],[Unit_Price]]</f>
        <v>357.78000000000003</v>
      </c>
      <c r="Z575" s="8">
        <f>RawSalesTable[[#This Row],[Gross_Sales]]*RawSalesTable[[#This Row],[Discount_Pct]]</f>
        <v>0</v>
      </c>
      <c r="AA575" s="8">
        <f>RawSalesTable[[#This Row],[Gross_Sales]]-RawSalesTable[[#This Row],[Discount_Amount]]</f>
        <v>357.78000000000003</v>
      </c>
      <c r="AB575" s="8">
        <f>RawSalesTable[[#This Row],[Unit_Cost]]*RawSalesTable[[#This Row],[Quantity]]</f>
        <v>257.19</v>
      </c>
      <c r="AC575" s="8">
        <f>RawSalesTable[[#This Row],[Net_Sales]]-RawSalesTable[[#This Row],[Total_Cost]]</f>
        <v>100.59000000000003</v>
      </c>
      <c r="AD575" s="9">
        <f>RawSalesTable[[#This Row],[Profit]]/RawSalesTable[[#This Row],[Net_Sales]]</f>
        <v>0.28115042763709547</v>
      </c>
      <c r="AE575" s="8">
        <f>IF(RawSalesTable[[#This Row],[Return_Status]]="Yes",1,0)</f>
        <v>0</v>
      </c>
      <c r="AF575" s="8">
        <f>YEAR(RawSalesTable[[#This Row],[Order_Date]])</f>
        <v>2025</v>
      </c>
      <c r="AG575" s="8">
        <f>MONTH(RawSalesTable[[#This Row],[Order_Date]])</f>
        <v>3</v>
      </c>
      <c r="AH575" s="8" t="str">
        <f>TEXT(RawSalesTable[[#This Row],[Order_Date]],"mmmm")</f>
        <v>mars</v>
      </c>
      <c r="AI575" s="8" t="str">
        <f>IF(RawSalesTable[[#This Row],[Month_Number]]&lt;=3,"Q1",IF(RawSalesTable[[#This Row],[Month_Number]]&lt;=6,"Q2",IF(RawSalesTable[[#This Row],[Month_Number]]&lt;=9,"Q3","Q4")))</f>
        <v>Q1</v>
      </c>
      <c r="AJ575" s="13">
        <f>DATE(YEAR(RawSalesTable[[#This Row],[Order_Date]]),MONTH(RawSalesTable[[#This Row],[Order_Date]]),1)</f>
        <v>45717</v>
      </c>
      <c r="AK575" s="8" t="str">
        <f>VLOOKUP(RawSalesTable[[#This Row],[Customer_ID_clean]],CustomersTable[],4,FALSE)</f>
        <v>British Columbia</v>
      </c>
    </row>
    <row r="576" spans="1:37">
      <c r="A576" t="s">
        <v>1012</v>
      </c>
      <c r="B576" s="3">
        <v>45706</v>
      </c>
      <c r="C576" t="s">
        <v>335</v>
      </c>
      <c r="D576" t="s">
        <v>323</v>
      </c>
      <c r="E576" t="s">
        <v>336</v>
      </c>
      <c r="F576" t="s">
        <v>145</v>
      </c>
      <c r="G576" t="s">
        <v>122</v>
      </c>
      <c r="H576" t="s">
        <v>89</v>
      </c>
      <c r="I576">
        <v>2</v>
      </c>
      <c r="J576" s="2">
        <v>317.93</v>
      </c>
      <c r="K576" s="4">
        <v>0.2</v>
      </c>
      <c r="L576" t="s">
        <v>90</v>
      </c>
      <c r="M576">
        <v>1</v>
      </c>
      <c r="N576" t="s">
        <v>91</v>
      </c>
      <c r="O576" t="str">
        <f>SUBSTITUTE(PROPER(TRIM(RawSalesTable[[#This Row],[Channel_Raw]])), "Market Place", "Marketplace")</f>
        <v>Online</v>
      </c>
      <c r="P576" t="str">
        <f>TRIM(RawSalesTable[[#This Row],[Store_Raw]])</f>
        <v>Calgary North</v>
      </c>
      <c r="Q576" t="str">
        <f>IF(TRIM(RawSalesTable[[#This Row],[Payment_Method_Raw]])="","Non renseigné",SUBSTITUTE(TRIM(RawSalesTable[[#This Row],[Payment_Method_Raw]]),"CC","Credit Card"))</f>
        <v>PayPal</v>
      </c>
      <c r="R576" s="8" t="str">
        <f>UPPER(PROPER(RawSalesTable[[#This Row],[Customer_ID]]))</f>
        <v>C0037</v>
      </c>
      <c r="S576" s="8" t="str">
        <f>TRIM(LEFT(RawSalesTable[[#This Row],[Customer_Info]],FIND(",",RawSalesTable[[#This Row],[Customer_Info]]) -1))</f>
        <v>Lucas Scott</v>
      </c>
      <c r="T576" s="8" t="str">
        <f>TRIM(MID(RawSalesTable[[#This Row],[Customer_Info]],FIND(",",RawSalesTable[[#This Row],[Customer_Info]])+1,FIND(",",RawSalesTable[[#This Row],[Customer_Info]],FIND(",",RawSalesTable[[#This Row],[Customer_Info]])+1)-FIND(",",RawSalesTable[[#This Row],[Customer_Info]])-1))</f>
        <v>Victoria</v>
      </c>
      <c r="U576" s="8" t="str">
        <f>TRIM(RIGHT(RawSalesTable[[#This Row],[Customer_Info]], LEN(RawSalesTable[[#This Row],[Customer_Info]])-FIND(",",RawSalesTable[[#This Row],[Customer_Info]],FIND(",",RawSalesTable[[#This Row],[Customer_Info]])+1)))</f>
        <v>Small Business</v>
      </c>
      <c r="V576" s="8" t="str">
        <f>VLOOKUP(RawSalesTable[[#This Row],[Product_ID]],ProductsTable[],2,FALSE)</f>
        <v>Toaster</v>
      </c>
      <c r="W576" s="8" t="str">
        <f>VLOOKUP(RawSalesTable[[#This Row],[Product_ID]],ProductsTable[],3,FALSE)</f>
        <v>Home</v>
      </c>
      <c r="X576" s="8">
        <f>VLOOKUP(RawSalesTable[[#This Row],[Product_ID]],ProductsTable[],5,FALSE)</f>
        <v>152.88</v>
      </c>
      <c r="Y576" s="8">
        <f>RawSalesTable[[#This Row],[Quantity]]*RawSalesTable[[#This Row],[Unit_Price]]</f>
        <v>635.86</v>
      </c>
      <c r="Z576" s="8">
        <f>RawSalesTable[[#This Row],[Gross_Sales]]*RawSalesTable[[#This Row],[Discount_Pct]]</f>
        <v>127.17200000000001</v>
      </c>
      <c r="AA576" s="8">
        <f>RawSalesTable[[#This Row],[Gross_Sales]]-RawSalesTable[[#This Row],[Discount_Amount]]</f>
        <v>508.68799999999999</v>
      </c>
      <c r="AB576" s="8">
        <f>RawSalesTable[[#This Row],[Unit_Cost]]*RawSalesTable[[#This Row],[Quantity]]</f>
        <v>305.76</v>
      </c>
      <c r="AC576" s="8">
        <f>RawSalesTable[[#This Row],[Net_Sales]]-RawSalesTable[[#This Row],[Total_Cost]]</f>
        <v>202.928</v>
      </c>
      <c r="AD576" s="9">
        <f>RawSalesTable[[#This Row],[Profit]]/RawSalesTable[[#This Row],[Net_Sales]]</f>
        <v>0.39892429151070991</v>
      </c>
      <c r="AE576" s="8">
        <f>IF(RawSalesTable[[#This Row],[Return_Status]]="Yes",1,0)</f>
        <v>0</v>
      </c>
      <c r="AF576" s="8">
        <f>YEAR(RawSalesTable[[#This Row],[Order_Date]])</f>
        <v>2025</v>
      </c>
      <c r="AG576" s="8">
        <f>MONTH(RawSalesTable[[#This Row],[Order_Date]])</f>
        <v>2</v>
      </c>
      <c r="AH576" s="8" t="str">
        <f>TEXT(RawSalesTable[[#This Row],[Order_Date]],"mmmm")</f>
        <v>février</v>
      </c>
      <c r="AI576" s="8" t="str">
        <f>IF(RawSalesTable[[#This Row],[Month_Number]]&lt;=3,"Q1",IF(RawSalesTable[[#This Row],[Month_Number]]&lt;=6,"Q2",IF(RawSalesTable[[#This Row],[Month_Number]]&lt;=9,"Q3","Q4")))</f>
        <v>Q1</v>
      </c>
      <c r="AJ576" s="13">
        <f>DATE(YEAR(RawSalesTable[[#This Row],[Order_Date]]),MONTH(RawSalesTable[[#This Row],[Order_Date]]),1)</f>
        <v>45689</v>
      </c>
      <c r="AK576" s="8" t="str">
        <f>VLOOKUP(RawSalesTable[[#This Row],[Customer_ID_clean]],CustomersTable[],4,FALSE)</f>
        <v>British Columbia</v>
      </c>
    </row>
    <row r="577" spans="1:37">
      <c r="A577" t="s">
        <v>1013</v>
      </c>
      <c r="B577" s="3">
        <v>45664</v>
      </c>
      <c r="C577" t="s">
        <v>600</v>
      </c>
      <c r="D577" t="s">
        <v>323</v>
      </c>
      <c r="E577" t="s">
        <v>601</v>
      </c>
      <c r="F577" t="s">
        <v>111</v>
      </c>
      <c r="G577" t="s">
        <v>117</v>
      </c>
      <c r="H577" t="s">
        <v>89</v>
      </c>
      <c r="I577">
        <v>4</v>
      </c>
      <c r="J577" s="2">
        <v>330.62</v>
      </c>
      <c r="K577" s="4">
        <v>0</v>
      </c>
      <c r="L577" t="s">
        <v>90</v>
      </c>
      <c r="M577">
        <v>1</v>
      </c>
      <c r="N577" t="s">
        <v>91</v>
      </c>
      <c r="O577" t="str">
        <f>SUBSTITUTE(PROPER(TRIM(RawSalesTable[[#This Row],[Channel_Raw]])), "Market Place", "Marketplace")</f>
        <v>Online</v>
      </c>
      <c r="P577" t="str">
        <f>TRIM(RawSalesTable[[#This Row],[Store_Raw]])</f>
        <v>Montreal Central</v>
      </c>
      <c r="Q577" t="str">
        <f>IF(TRIM(RawSalesTable[[#This Row],[Payment_Method_Raw]])="","Non renseigné",SUBSTITUTE(TRIM(RawSalesTable[[#This Row],[Payment_Method_Raw]]),"CC","Credit Card"))</f>
        <v>PayPal</v>
      </c>
      <c r="R577" s="8" t="str">
        <f>UPPER(PROPER(RawSalesTable[[#This Row],[Customer_ID]]))</f>
        <v>C0109</v>
      </c>
      <c r="S577" s="8" t="str">
        <f>TRIM(LEFT(RawSalesTable[[#This Row],[Customer_Info]],FIND(",",RawSalesTable[[#This Row],[Customer_Info]]) -1))</f>
        <v>Emma Wilson</v>
      </c>
      <c r="T577" s="8" t="str">
        <f>TRIM(MID(RawSalesTable[[#This Row],[Customer_Info]],FIND(",",RawSalesTable[[#This Row],[Customer_Info]])+1,FIND(",",RawSalesTable[[#This Row],[Customer_Info]],FIND(",",RawSalesTable[[#This Row],[Customer_Info]])+1)-FIND(",",RawSalesTable[[#This Row],[Customer_Info]])-1))</f>
        <v>Victoria</v>
      </c>
      <c r="U577" s="8" t="str">
        <f>TRIM(RIGHT(RawSalesTable[[#This Row],[Customer_Info]], LEN(RawSalesTable[[#This Row],[Customer_Info]])-FIND(",",RawSalesTable[[#This Row],[Customer_Info]],FIND(",",RawSalesTable[[#This Row],[Customer_Info]])+1)))</f>
        <v>Consumer</v>
      </c>
      <c r="V577" s="8" t="str">
        <f>VLOOKUP(RawSalesTable[[#This Row],[Product_ID]],ProductsTable[],2,FALSE)</f>
        <v>Toaster</v>
      </c>
      <c r="W577" s="8" t="str">
        <f>VLOOKUP(RawSalesTable[[#This Row],[Product_ID]],ProductsTable[],3,FALSE)</f>
        <v>Home</v>
      </c>
      <c r="X577" s="8">
        <f>VLOOKUP(RawSalesTable[[#This Row],[Product_ID]],ProductsTable[],5,FALSE)</f>
        <v>152.88</v>
      </c>
      <c r="Y577" s="8">
        <f>RawSalesTable[[#This Row],[Quantity]]*RawSalesTable[[#This Row],[Unit_Price]]</f>
        <v>1322.48</v>
      </c>
      <c r="Z577" s="8">
        <f>RawSalesTable[[#This Row],[Gross_Sales]]*RawSalesTable[[#This Row],[Discount_Pct]]</f>
        <v>0</v>
      </c>
      <c r="AA577" s="8">
        <f>RawSalesTable[[#This Row],[Gross_Sales]]-RawSalesTable[[#This Row],[Discount_Amount]]</f>
        <v>1322.48</v>
      </c>
      <c r="AB577" s="8">
        <f>RawSalesTable[[#This Row],[Unit_Cost]]*RawSalesTable[[#This Row],[Quantity]]</f>
        <v>611.52</v>
      </c>
      <c r="AC577" s="8">
        <f>RawSalesTable[[#This Row],[Net_Sales]]-RawSalesTable[[#This Row],[Total_Cost]]</f>
        <v>710.96</v>
      </c>
      <c r="AD577" s="9">
        <f>RawSalesTable[[#This Row],[Profit]]/RawSalesTable[[#This Row],[Net_Sales]]</f>
        <v>0.53759603169802195</v>
      </c>
      <c r="AE577" s="8">
        <f>IF(RawSalesTable[[#This Row],[Return_Status]]="Yes",1,0)</f>
        <v>0</v>
      </c>
      <c r="AF577" s="8">
        <f>YEAR(RawSalesTable[[#This Row],[Order_Date]])</f>
        <v>2025</v>
      </c>
      <c r="AG577" s="8">
        <f>MONTH(RawSalesTable[[#This Row],[Order_Date]])</f>
        <v>1</v>
      </c>
      <c r="AH577" s="8" t="str">
        <f>TEXT(RawSalesTable[[#This Row],[Order_Date]],"mmmm")</f>
        <v>janvier</v>
      </c>
      <c r="AI577" s="8" t="str">
        <f>IF(RawSalesTable[[#This Row],[Month_Number]]&lt;=3,"Q1",IF(RawSalesTable[[#This Row],[Month_Number]]&lt;=6,"Q2",IF(RawSalesTable[[#This Row],[Month_Number]]&lt;=9,"Q3","Q4")))</f>
        <v>Q1</v>
      </c>
      <c r="AJ577" s="13">
        <f>DATE(YEAR(RawSalesTable[[#This Row],[Order_Date]]),MONTH(RawSalesTable[[#This Row],[Order_Date]]),1)</f>
        <v>45658</v>
      </c>
      <c r="AK577" s="8" t="str">
        <f>VLOOKUP(RawSalesTable[[#This Row],[Customer_ID_clean]],CustomersTable[],4,FALSE)</f>
        <v>British Columbia</v>
      </c>
    </row>
    <row r="578" spans="1:37">
      <c r="A578" t="s">
        <v>1014</v>
      </c>
      <c r="B578" s="3">
        <v>45704</v>
      </c>
      <c r="C578" t="s">
        <v>406</v>
      </c>
      <c r="D578" t="s">
        <v>244</v>
      </c>
      <c r="E578" t="s">
        <v>407</v>
      </c>
      <c r="F578" t="s">
        <v>145</v>
      </c>
      <c r="G578" t="s">
        <v>130</v>
      </c>
      <c r="H578" t="s">
        <v>246</v>
      </c>
      <c r="I578">
        <v>3</v>
      </c>
      <c r="J578" s="2">
        <v>248.18</v>
      </c>
      <c r="K578" s="4">
        <v>0.05</v>
      </c>
      <c r="L578" t="s">
        <v>106</v>
      </c>
      <c r="M578">
        <v>2</v>
      </c>
      <c r="N578" t="s">
        <v>91</v>
      </c>
      <c r="O578" t="str">
        <f>SUBSTITUTE(PROPER(TRIM(RawSalesTable[[#This Row],[Channel_Raw]])), "Market Place", "Marketplace")</f>
        <v>Retail Store</v>
      </c>
      <c r="P578" t="str">
        <f>TRIM(RawSalesTable[[#This Row],[Store_Raw]])</f>
        <v>Calgary North</v>
      </c>
      <c r="Q578" t="str">
        <f>IF(TRIM(RawSalesTable[[#This Row],[Payment_Method_Raw]])="","Non renseigné",SUBSTITUTE(TRIM(RawSalesTable[[#This Row],[Payment_Method_Raw]]),"CC","Credit Card"))</f>
        <v>Credit Card</v>
      </c>
      <c r="R578" s="8" t="str">
        <f>UPPER(PROPER(RawSalesTable[[#This Row],[Customer_ID]]))</f>
        <v>C0038</v>
      </c>
      <c r="S578" s="8" t="str">
        <f>TRIM(LEFT(RawSalesTable[[#This Row],[Customer_Info]],FIND(",",RawSalesTable[[#This Row],[Customer_Info]]) -1))</f>
        <v>Noah Brown</v>
      </c>
      <c r="T578" s="8" t="str">
        <f>TRIM(MID(RawSalesTable[[#This Row],[Customer_Info]],FIND(",",RawSalesTable[[#This Row],[Customer_Info]])+1,FIND(",",RawSalesTable[[#This Row],[Customer_Info]],FIND(",",RawSalesTable[[#This Row],[Customer_Info]])+1)-FIND(",",RawSalesTable[[#This Row],[Customer_Info]])-1))</f>
        <v>Montreal</v>
      </c>
      <c r="U578" s="8" t="str">
        <f>TRIM(RIGHT(RawSalesTable[[#This Row],[Customer_Info]], LEN(RawSalesTable[[#This Row],[Customer_Info]])-FIND(",",RawSalesTable[[#This Row],[Customer_Info]],FIND(",",RawSalesTable[[#This Row],[Customer_Info]])+1)))</f>
        <v>Consumer</v>
      </c>
      <c r="V578" s="8" t="str">
        <f>VLOOKUP(RawSalesTable[[#This Row],[Product_ID]],ProductsTable[],2,FALSE)</f>
        <v>Portable SSD</v>
      </c>
      <c r="W578" s="8" t="str">
        <f>VLOOKUP(RawSalesTable[[#This Row],[Product_ID]],ProductsTable[],3,FALSE)</f>
        <v>Electronics</v>
      </c>
      <c r="X578" s="8">
        <f>VLOOKUP(RawSalesTable[[#This Row],[Product_ID]],ProductsTable[],5,FALSE)</f>
        <v>131.19</v>
      </c>
      <c r="Y578" s="8">
        <f>RawSalesTable[[#This Row],[Quantity]]*RawSalesTable[[#This Row],[Unit_Price]]</f>
        <v>744.54</v>
      </c>
      <c r="Z578" s="8">
        <f>RawSalesTable[[#This Row],[Gross_Sales]]*RawSalesTable[[#This Row],[Discount_Pct]]</f>
        <v>37.226999999999997</v>
      </c>
      <c r="AA578" s="8">
        <f>RawSalesTable[[#This Row],[Gross_Sales]]-RawSalesTable[[#This Row],[Discount_Amount]]</f>
        <v>707.31299999999999</v>
      </c>
      <c r="AB578" s="8">
        <f>RawSalesTable[[#This Row],[Unit_Cost]]*RawSalesTable[[#This Row],[Quantity]]</f>
        <v>393.57</v>
      </c>
      <c r="AC578" s="8">
        <f>RawSalesTable[[#This Row],[Net_Sales]]-RawSalesTable[[#This Row],[Total_Cost]]</f>
        <v>313.74299999999999</v>
      </c>
      <c r="AD578" s="9">
        <f>RawSalesTable[[#This Row],[Profit]]/RawSalesTable[[#This Row],[Net_Sales]]</f>
        <v>0.44357024400795686</v>
      </c>
      <c r="AE578" s="8">
        <f>IF(RawSalesTable[[#This Row],[Return_Status]]="Yes",1,0)</f>
        <v>0</v>
      </c>
      <c r="AF578" s="8">
        <f>YEAR(RawSalesTable[[#This Row],[Order_Date]])</f>
        <v>2025</v>
      </c>
      <c r="AG578" s="8">
        <f>MONTH(RawSalesTable[[#This Row],[Order_Date]])</f>
        <v>2</v>
      </c>
      <c r="AH578" s="8" t="str">
        <f>TEXT(RawSalesTable[[#This Row],[Order_Date]],"mmmm")</f>
        <v>février</v>
      </c>
      <c r="AI578" s="8" t="str">
        <f>IF(RawSalesTable[[#This Row],[Month_Number]]&lt;=3,"Q1",IF(RawSalesTable[[#This Row],[Month_Number]]&lt;=6,"Q2",IF(RawSalesTable[[#This Row],[Month_Number]]&lt;=9,"Q3","Q4")))</f>
        <v>Q1</v>
      </c>
      <c r="AJ578" s="13">
        <f>DATE(YEAR(RawSalesTable[[#This Row],[Order_Date]]),MONTH(RawSalesTable[[#This Row],[Order_Date]]),1)</f>
        <v>45689</v>
      </c>
      <c r="AK578" s="8" t="str">
        <f>VLOOKUP(RawSalesTable[[#This Row],[Customer_ID_clean]],CustomersTable[],4,FALSE)</f>
        <v>Quebec</v>
      </c>
    </row>
    <row r="579" spans="1:37">
      <c r="A579" t="s">
        <v>1015</v>
      </c>
      <c r="B579" s="3">
        <v>45690</v>
      </c>
      <c r="C579" t="s">
        <v>644</v>
      </c>
      <c r="D579" t="s">
        <v>114</v>
      </c>
      <c r="E579" t="s">
        <v>645</v>
      </c>
      <c r="F579" t="s">
        <v>103</v>
      </c>
      <c r="G579" t="s">
        <v>104</v>
      </c>
      <c r="H579" t="s">
        <v>105</v>
      </c>
      <c r="I579">
        <v>1</v>
      </c>
      <c r="J579" s="2">
        <v>152.36000000000001</v>
      </c>
      <c r="K579" s="4">
        <v>0.05</v>
      </c>
      <c r="L579" t="s">
        <v>106</v>
      </c>
      <c r="M579">
        <v>2</v>
      </c>
      <c r="N579" t="s">
        <v>91</v>
      </c>
      <c r="O579" t="str">
        <f>SUBSTITUTE(PROPER(TRIM(RawSalesTable[[#This Row],[Channel_Raw]])), "Market Place", "Marketplace")</f>
        <v>Marketplace</v>
      </c>
      <c r="P579" t="str">
        <f>TRIM(RawSalesTable[[#This Row],[Store_Raw]])</f>
        <v>Vancouver West</v>
      </c>
      <c r="Q579" t="str">
        <f>IF(TRIM(RawSalesTable[[#This Row],[Payment_Method_Raw]])="","Non renseigné",SUBSTITUTE(TRIM(RawSalesTable[[#This Row],[Payment_Method_Raw]]),"CC","Credit Card"))</f>
        <v>Credit Card</v>
      </c>
      <c r="R579" s="8" t="str">
        <f>UPPER(PROPER(RawSalesTable[[#This Row],[Customer_ID]]))</f>
        <v>C0011</v>
      </c>
      <c r="S579" s="8" t="str">
        <f>TRIM(LEFT(RawSalesTable[[#This Row],[Customer_Info]],FIND(",",RawSalesTable[[#This Row],[Customer_Info]]) -1))</f>
        <v>Ethan Hall</v>
      </c>
      <c r="T579" s="8" t="str">
        <f>TRIM(MID(RawSalesTable[[#This Row],[Customer_Info]],FIND(",",RawSalesTable[[#This Row],[Customer_Info]])+1,FIND(",",RawSalesTable[[#This Row],[Customer_Info]],FIND(",",RawSalesTable[[#This Row],[Customer_Info]])+1)-FIND(",",RawSalesTable[[#This Row],[Customer_Info]])-1))</f>
        <v>Quebec City</v>
      </c>
      <c r="U579" s="8" t="str">
        <f>TRIM(RIGHT(RawSalesTable[[#This Row],[Customer_Info]], LEN(RawSalesTable[[#This Row],[Customer_Info]])-FIND(",",RawSalesTable[[#This Row],[Customer_Info]],FIND(",",RawSalesTable[[#This Row],[Customer_Info]])+1)))</f>
        <v>Consumer</v>
      </c>
      <c r="V579" s="8" t="str">
        <f>VLOOKUP(RawSalesTable[[#This Row],[Product_ID]],ProductsTable[],2,FALSE)</f>
        <v>Laptop Sleeve</v>
      </c>
      <c r="W579" s="8" t="str">
        <f>VLOOKUP(RawSalesTable[[#This Row],[Product_ID]],ProductsTable[],3,FALSE)</f>
        <v>Accessories</v>
      </c>
      <c r="X579" s="8">
        <f>VLOOKUP(RawSalesTable[[#This Row],[Product_ID]],ProductsTable[],5,FALSE)</f>
        <v>78.95</v>
      </c>
      <c r="Y579" s="8">
        <f>RawSalesTable[[#This Row],[Quantity]]*RawSalesTable[[#This Row],[Unit_Price]]</f>
        <v>152.36000000000001</v>
      </c>
      <c r="Z579" s="8">
        <f>RawSalesTable[[#This Row],[Gross_Sales]]*RawSalesTable[[#This Row],[Discount_Pct]]</f>
        <v>7.6180000000000012</v>
      </c>
      <c r="AA579" s="8">
        <f>RawSalesTable[[#This Row],[Gross_Sales]]-RawSalesTable[[#This Row],[Discount_Amount]]</f>
        <v>144.74200000000002</v>
      </c>
      <c r="AB579" s="8">
        <f>RawSalesTable[[#This Row],[Unit_Cost]]*RawSalesTable[[#This Row],[Quantity]]</f>
        <v>78.95</v>
      </c>
      <c r="AC579" s="8">
        <f>RawSalesTable[[#This Row],[Net_Sales]]-RawSalesTable[[#This Row],[Total_Cost]]</f>
        <v>65.792000000000016</v>
      </c>
      <c r="AD579" s="9">
        <f>RawSalesTable[[#This Row],[Profit]]/RawSalesTable[[#This Row],[Net_Sales]]</f>
        <v>0.45454671069903696</v>
      </c>
      <c r="AE579" s="8">
        <f>IF(RawSalesTable[[#This Row],[Return_Status]]="Yes",1,0)</f>
        <v>0</v>
      </c>
      <c r="AF579" s="8">
        <f>YEAR(RawSalesTable[[#This Row],[Order_Date]])</f>
        <v>2025</v>
      </c>
      <c r="AG579" s="8">
        <f>MONTH(RawSalesTable[[#This Row],[Order_Date]])</f>
        <v>2</v>
      </c>
      <c r="AH579" s="8" t="str">
        <f>TEXT(RawSalesTable[[#This Row],[Order_Date]],"mmmm")</f>
        <v>février</v>
      </c>
      <c r="AI579" s="8" t="str">
        <f>IF(RawSalesTable[[#This Row],[Month_Number]]&lt;=3,"Q1",IF(RawSalesTable[[#This Row],[Month_Number]]&lt;=6,"Q2",IF(RawSalesTable[[#This Row],[Month_Number]]&lt;=9,"Q3","Q4")))</f>
        <v>Q1</v>
      </c>
      <c r="AJ579" s="13">
        <f>DATE(YEAR(RawSalesTable[[#This Row],[Order_Date]]),MONTH(RawSalesTable[[#This Row],[Order_Date]]),1)</f>
        <v>45689</v>
      </c>
      <c r="AK579" s="8" t="str">
        <f>VLOOKUP(RawSalesTable[[#This Row],[Customer_ID_clean]],CustomersTable[],4,FALSE)</f>
        <v>Quebec</v>
      </c>
    </row>
    <row r="580" spans="1:37">
      <c r="A580" t="s">
        <v>1016</v>
      </c>
      <c r="B580" s="3">
        <v>45911</v>
      </c>
      <c r="C580" t="s">
        <v>371</v>
      </c>
      <c r="D580" t="s">
        <v>136</v>
      </c>
      <c r="E580" t="s">
        <v>372</v>
      </c>
      <c r="F580" t="s">
        <v>187</v>
      </c>
      <c r="G580" t="s">
        <v>88</v>
      </c>
      <c r="H580" t="s">
        <v>97</v>
      </c>
      <c r="I580">
        <v>4</v>
      </c>
      <c r="J580" s="2">
        <v>158.27000000000001</v>
      </c>
      <c r="K580" s="4">
        <v>0.15</v>
      </c>
      <c r="L580" t="s">
        <v>98</v>
      </c>
      <c r="M580">
        <v>2</v>
      </c>
      <c r="N580" t="s">
        <v>91</v>
      </c>
      <c r="O580" t="str">
        <f>SUBSTITUTE(PROPER(TRIM(RawSalesTable[[#This Row],[Channel_Raw]])), "Market Place", "Marketplace")</f>
        <v>Retail Store</v>
      </c>
      <c r="P580" t="str">
        <f>TRIM(RawSalesTable[[#This Row],[Store_Raw]])</f>
        <v>Vancouver West</v>
      </c>
      <c r="Q580" t="str">
        <f>IF(TRIM(RawSalesTable[[#This Row],[Payment_Method_Raw]])="","Non renseigné",SUBSTITUTE(TRIM(RawSalesTable[[#This Row],[Payment_Method_Raw]]),"CC","Credit Card"))</f>
        <v>Debit Card</v>
      </c>
      <c r="R580" s="8" t="str">
        <f>UPPER(PROPER(RawSalesTable[[#This Row],[Customer_ID]]))</f>
        <v>C0049</v>
      </c>
      <c r="S580" s="8" t="str">
        <f>TRIM(LEFT(RawSalesTable[[#This Row],[Customer_Info]],FIND(",",RawSalesTable[[#This Row],[Customer_Info]]) -1))</f>
        <v>Olivia Scott</v>
      </c>
      <c r="T580" s="8" t="str">
        <f>TRIM(MID(RawSalesTable[[#This Row],[Customer_Info]],FIND(",",RawSalesTable[[#This Row],[Customer_Info]])+1,FIND(",",RawSalesTable[[#This Row],[Customer_Info]],FIND(",",RawSalesTable[[#This Row],[Customer_Info]])+1)-FIND(",",RawSalesTable[[#This Row],[Customer_Info]])-1))</f>
        <v>Quebec City</v>
      </c>
      <c r="U580" s="8" t="str">
        <f>TRIM(RIGHT(RawSalesTable[[#This Row],[Customer_Info]], LEN(RawSalesTable[[#This Row],[Customer_Info]])-FIND(",",RawSalesTable[[#This Row],[Customer_Info]],FIND(",",RawSalesTable[[#This Row],[Customer_Info]])+1)))</f>
        <v>Consumer</v>
      </c>
      <c r="V580" s="8" t="str">
        <f>VLOOKUP(RawSalesTable[[#This Row],[Product_ID]],ProductsTable[],2,FALSE)</f>
        <v>Mouse</v>
      </c>
      <c r="W580" s="8" t="str">
        <f>VLOOKUP(RawSalesTable[[#This Row],[Product_ID]],ProductsTable[],3,FALSE)</f>
        <v>Electronics</v>
      </c>
      <c r="X580" s="8">
        <f>VLOOKUP(RawSalesTable[[#This Row],[Product_ID]],ProductsTable[],5,FALSE)</f>
        <v>106.4</v>
      </c>
      <c r="Y580" s="8">
        <f>RawSalesTable[[#This Row],[Quantity]]*RawSalesTable[[#This Row],[Unit_Price]]</f>
        <v>633.08000000000004</v>
      </c>
      <c r="Z580" s="8">
        <f>RawSalesTable[[#This Row],[Gross_Sales]]*RawSalesTable[[#This Row],[Discount_Pct]]</f>
        <v>94.962000000000003</v>
      </c>
      <c r="AA580" s="8">
        <f>RawSalesTable[[#This Row],[Gross_Sales]]-RawSalesTable[[#This Row],[Discount_Amount]]</f>
        <v>538.11800000000005</v>
      </c>
      <c r="AB580" s="8">
        <f>RawSalesTable[[#This Row],[Unit_Cost]]*RawSalesTable[[#This Row],[Quantity]]</f>
        <v>425.6</v>
      </c>
      <c r="AC580" s="8">
        <f>RawSalesTable[[#This Row],[Net_Sales]]-RawSalesTable[[#This Row],[Total_Cost]]</f>
        <v>112.51800000000003</v>
      </c>
      <c r="AD580" s="9">
        <f>RawSalesTable[[#This Row],[Profit]]/RawSalesTable[[#This Row],[Net_Sales]]</f>
        <v>0.20909540286702921</v>
      </c>
      <c r="AE580" s="8">
        <f>IF(RawSalesTable[[#This Row],[Return_Status]]="Yes",1,0)</f>
        <v>0</v>
      </c>
      <c r="AF580" s="8">
        <f>YEAR(RawSalesTable[[#This Row],[Order_Date]])</f>
        <v>2025</v>
      </c>
      <c r="AG580" s="8">
        <f>MONTH(RawSalesTable[[#This Row],[Order_Date]])</f>
        <v>9</v>
      </c>
      <c r="AH580" s="8" t="str">
        <f>TEXT(RawSalesTable[[#This Row],[Order_Date]],"mmmm")</f>
        <v>septembre</v>
      </c>
      <c r="AI580" s="8" t="str">
        <f>IF(RawSalesTable[[#This Row],[Month_Number]]&lt;=3,"Q1",IF(RawSalesTable[[#This Row],[Month_Number]]&lt;=6,"Q2",IF(RawSalesTable[[#This Row],[Month_Number]]&lt;=9,"Q3","Q4")))</f>
        <v>Q3</v>
      </c>
      <c r="AJ580" s="13">
        <f>DATE(YEAR(RawSalesTable[[#This Row],[Order_Date]]),MONTH(RawSalesTable[[#This Row],[Order_Date]]),1)</f>
        <v>45901</v>
      </c>
      <c r="AK580" s="8" t="str">
        <f>VLOOKUP(RawSalesTable[[#This Row],[Customer_ID_clean]],CustomersTable[],4,FALSE)</f>
        <v>Quebec</v>
      </c>
    </row>
    <row r="581" spans="1:37">
      <c r="A581" t="s">
        <v>1017</v>
      </c>
      <c r="B581" s="3">
        <v>45943</v>
      </c>
      <c r="C581" t="s">
        <v>248</v>
      </c>
      <c r="D581" t="s">
        <v>244</v>
      </c>
      <c r="E581" t="s">
        <v>250</v>
      </c>
      <c r="F581" t="s">
        <v>116</v>
      </c>
      <c r="G581" t="s">
        <v>88</v>
      </c>
      <c r="H581" t="s">
        <v>89</v>
      </c>
      <c r="I581">
        <v>1</v>
      </c>
      <c r="J581" s="2">
        <v>237.69</v>
      </c>
      <c r="K581" s="4">
        <v>0.2</v>
      </c>
      <c r="L581" t="s">
        <v>106</v>
      </c>
      <c r="M581">
        <v>7</v>
      </c>
      <c r="N581" t="s">
        <v>147</v>
      </c>
      <c r="O581" t="str">
        <f>SUBSTITUTE(PROPER(TRIM(RawSalesTable[[#This Row],[Channel_Raw]])), "Market Place", "Marketplace")</f>
        <v>Online</v>
      </c>
      <c r="P581" t="str">
        <f>TRIM(RawSalesTable[[#This Row],[Store_Raw]])</f>
        <v>Toronto Downtown</v>
      </c>
      <c r="Q581" t="str">
        <f>IF(TRIM(RawSalesTable[[#This Row],[Payment_Method_Raw]])="","Non renseigné",SUBSTITUTE(TRIM(RawSalesTable[[#This Row],[Payment_Method_Raw]]),"CC","Credit Card"))</f>
        <v>Credit Card</v>
      </c>
      <c r="R581" s="8" t="str">
        <f>UPPER(PROPER(RawSalesTable[[#This Row],[Customer_ID]]))</f>
        <v>C0012</v>
      </c>
      <c r="S581" s="8" t="str">
        <f>TRIM(LEFT(RawSalesTable[[#This Row],[Customer_Info]],FIND(",",RawSalesTable[[#This Row],[Customer_Info]]) -1))</f>
        <v>Daniel Taylor</v>
      </c>
      <c r="T581" s="8" t="str">
        <f>TRIM(MID(RawSalesTable[[#This Row],[Customer_Info]],FIND(",",RawSalesTable[[#This Row],[Customer_Info]])+1,FIND(",",RawSalesTable[[#This Row],[Customer_Info]],FIND(",",RawSalesTable[[#This Row],[Customer_Info]])+1)-FIND(",",RawSalesTable[[#This Row],[Customer_Info]])-1))</f>
        <v>Victoria</v>
      </c>
      <c r="U581" s="8" t="str">
        <f>TRIM(RIGHT(RawSalesTable[[#This Row],[Customer_Info]], LEN(RawSalesTable[[#This Row],[Customer_Info]])-FIND(",",RawSalesTable[[#This Row],[Customer_Info]],FIND(",",RawSalesTable[[#This Row],[Customer_Info]])+1)))</f>
        <v>Corporate</v>
      </c>
      <c r="V581" s="8" t="str">
        <f>VLOOKUP(RawSalesTable[[#This Row],[Product_ID]],ProductsTable[],2,FALSE)</f>
        <v>Portable SSD</v>
      </c>
      <c r="W581" s="8" t="str">
        <f>VLOOKUP(RawSalesTable[[#This Row],[Product_ID]],ProductsTable[],3,FALSE)</f>
        <v>Electronics</v>
      </c>
      <c r="X581" s="8">
        <f>VLOOKUP(RawSalesTable[[#This Row],[Product_ID]],ProductsTable[],5,FALSE)</f>
        <v>131.19</v>
      </c>
      <c r="Y581" s="8">
        <f>RawSalesTable[[#This Row],[Quantity]]*RawSalesTable[[#This Row],[Unit_Price]]</f>
        <v>237.69</v>
      </c>
      <c r="Z581" s="8">
        <f>RawSalesTable[[#This Row],[Gross_Sales]]*RawSalesTable[[#This Row],[Discount_Pct]]</f>
        <v>47.538000000000004</v>
      </c>
      <c r="AA581" s="8">
        <f>RawSalesTable[[#This Row],[Gross_Sales]]-RawSalesTable[[#This Row],[Discount_Amount]]</f>
        <v>190.15199999999999</v>
      </c>
      <c r="AB581" s="8">
        <f>RawSalesTable[[#This Row],[Unit_Cost]]*RawSalesTable[[#This Row],[Quantity]]</f>
        <v>131.19</v>
      </c>
      <c r="AC581" s="8">
        <f>RawSalesTable[[#This Row],[Net_Sales]]-RawSalesTable[[#This Row],[Total_Cost]]</f>
        <v>58.961999999999989</v>
      </c>
      <c r="AD581" s="9">
        <f>RawSalesTable[[#This Row],[Profit]]/RawSalesTable[[#This Row],[Net_Sales]]</f>
        <v>0.31007825318692411</v>
      </c>
      <c r="AE581" s="8">
        <f>IF(RawSalesTable[[#This Row],[Return_Status]]="Yes",1,0)</f>
        <v>1</v>
      </c>
      <c r="AF581" s="8">
        <f>YEAR(RawSalesTable[[#This Row],[Order_Date]])</f>
        <v>2025</v>
      </c>
      <c r="AG581" s="8">
        <f>MONTH(RawSalesTable[[#This Row],[Order_Date]])</f>
        <v>10</v>
      </c>
      <c r="AH581" s="8" t="str">
        <f>TEXT(RawSalesTable[[#This Row],[Order_Date]],"mmmm")</f>
        <v>octobre</v>
      </c>
      <c r="AI581" s="8" t="str">
        <f>IF(RawSalesTable[[#This Row],[Month_Number]]&lt;=3,"Q1",IF(RawSalesTable[[#This Row],[Month_Number]]&lt;=6,"Q2",IF(RawSalesTable[[#This Row],[Month_Number]]&lt;=9,"Q3","Q4")))</f>
        <v>Q4</v>
      </c>
      <c r="AJ581" s="13">
        <f>DATE(YEAR(RawSalesTable[[#This Row],[Order_Date]]),MONTH(RawSalesTable[[#This Row],[Order_Date]]),1)</f>
        <v>45931</v>
      </c>
      <c r="AK581" s="8" t="str">
        <f>VLOOKUP(RawSalesTable[[#This Row],[Customer_ID_clean]],CustomersTable[],4,FALSE)</f>
        <v>British Columbia</v>
      </c>
    </row>
    <row r="582" spans="1:37">
      <c r="A582" t="s">
        <v>1018</v>
      </c>
      <c r="B582" s="3">
        <v>46001</v>
      </c>
      <c r="C582" t="s">
        <v>410</v>
      </c>
      <c r="D582" t="s">
        <v>190</v>
      </c>
      <c r="E582" t="s">
        <v>411</v>
      </c>
      <c r="F582" t="s">
        <v>116</v>
      </c>
      <c r="G582" t="s">
        <v>183</v>
      </c>
      <c r="H582" t="s">
        <v>89</v>
      </c>
      <c r="I582">
        <v>1</v>
      </c>
      <c r="J582" s="2">
        <v>270.91000000000003</v>
      </c>
      <c r="K582" s="4">
        <v>0.2</v>
      </c>
      <c r="L582" t="s">
        <v>106</v>
      </c>
      <c r="M582">
        <v>3</v>
      </c>
      <c r="N582" t="s">
        <v>91</v>
      </c>
      <c r="O582" t="str">
        <f>SUBSTITUTE(PROPER(TRIM(RawSalesTable[[#This Row],[Channel_Raw]])), "Market Place", "Marketplace")</f>
        <v>Online</v>
      </c>
      <c r="P582" t="str">
        <f>TRIM(RawSalesTable[[#This Row],[Store_Raw]])</f>
        <v>Toronto Downtown</v>
      </c>
      <c r="Q582" t="str">
        <f>IF(TRIM(RawSalesTable[[#This Row],[Payment_Method_Raw]])="","Non renseigné",SUBSTITUTE(TRIM(RawSalesTable[[#This Row],[Payment_Method_Raw]]),"CC","Credit Card"))</f>
        <v>Credit Card</v>
      </c>
      <c r="R582" s="8" t="str">
        <f>UPPER(PROPER(RawSalesTable[[#This Row],[Customer_ID]]))</f>
        <v>C0093</v>
      </c>
      <c r="S582" s="8" t="str">
        <f>TRIM(LEFT(RawSalesTable[[#This Row],[Customer_Info]],FIND(",",RawSalesTable[[#This Row],[Customer_Info]]) -1))</f>
        <v>Ethan Roy</v>
      </c>
      <c r="T582" s="8" t="str">
        <f>TRIM(MID(RawSalesTable[[#This Row],[Customer_Info]],FIND(",",RawSalesTable[[#This Row],[Customer_Info]])+1,FIND(",",RawSalesTable[[#This Row],[Customer_Info]],FIND(",",RawSalesTable[[#This Row],[Customer_Info]])+1)-FIND(",",RawSalesTable[[#This Row],[Customer_Info]])-1))</f>
        <v>Winnipeg</v>
      </c>
      <c r="U582" s="8" t="str">
        <f>TRIM(RIGHT(RawSalesTable[[#This Row],[Customer_Info]], LEN(RawSalesTable[[#This Row],[Customer_Info]])-FIND(",",RawSalesTable[[#This Row],[Customer_Info]],FIND(",",RawSalesTable[[#This Row],[Customer_Info]])+1)))</f>
        <v>Consumer</v>
      </c>
      <c r="V582" s="8" t="str">
        <f>VLOOKUP(RawSalesTable[[#This Row],[Product_ID]],ProductsTable[],2,FALSE)</f>
        <v>Webcam</v>
      </c>
      <c r="W582" s="8" t="str">
        <f>VLOOKUP(RawSalesTable[[#This Row],[Product_ID]],ProductsTable[],3,FALSE)</f>
        <v>Electronics</v>
      </c>
      <c r="X582" s="8">
        <f>VLOOKUP(RawSalesTable[[#This Row],[Product_ID]],ProductsTable[],5,FALSE)</f>
        <v>154.72999999999999</v>
      </c>
      <c r="Y582" s="8">
        <f>RawSalesTable[[#This Row],[Quantity]]*RawSalesTable[[#This Row],[Unit_Price]]</f>
        <v>270.91000000000003</v>
      </c>
      <c r="Z582" s="8">
        <f>RawSalesTable[[#This Row],[Gross_Sales]]*RawSalesTable[[#This Row],[Discount_Pct]]</f>
        <v>54.182000000000009</v>
      </c>
      <c r="AA582" s="8">
        <f>RawSalesTable[[#This Row],[Gross_Sales]]-RawSalesTable[[#This Row],[Discount_Amount]]</f>
        <v>216.72800000000001</v>
      </c>
      <c r="AB582" s="8">
        <f>RawSalesTable[[#This Row],[Unit_Cost]]*RawSalesTable[[#This Row],[Quantity]]</f>
        <v>154.72999999999999</v>
      </c>
      <c r="AC582" s="8">
        <f>RawSalesTable[[#This Row],[Net_Sales]]-RawSalesTable[[#This Row],[Total_Cost]]</f>
        <v>61.998000000000019</v>
      </c>
      <c r="AD582" s="9">
        <f>RawSalesTable[[#This Row],[Profit]]/RawSalesTable[[#This Row],[Net_Sales]]</f>
        <v>0.28606363737034446</v>
      </c>
      <c r="AE582" s="8">
        <f>IF(RawSalesTable[[#This Row],[Return_Status]]="Yes",1,0)</f>
        <v>0</v>
      </c>
      <c r="AF582" s="8">
        <f>YEAR(RawSalesTable[[#This Row],[Order_Date]])</f>
        <v>2025</v>
      </c>
      <c r="AG582" s="8">
        <f>MONTH(RawSalesTable[[#This Row],[Order_Date]])</f>
        <v>12</v>
      </c>
      <c r="AH582" s="8" t="str">
        <f>TEXT(RawSalesTable[[#This Row],[Order_Date]],"mmmm")</f>
        <v>décembre</v>
      </c>
      <c r="AI582" s="8" t="str">
        <f>IF(RawSalesTable[[#This Row],[Month_Number]]&lt;=3,"Q1",IF(RawSalesTable[[#This Row],[Month_Number]]&lt;=6,"Q2",IF(RawSalesTable[[#This Row],[Month_Number]]&lt;=9,"Q3","Q4")))</f>
        <v>Q4</v>
      </c>
      <c r="AJ582" s="13">
        <f>DATE(YEAR(RawSalesTable[[#This Row],[Order_Date]]),MONTH(RawSalesTable[[#This Row],[Order_Date]]),1)</f>
        <v>45992</v>
      </c>
      <c r="AK582" s="8" t="str">
        <f>VLOOKUP(RawSalesTable[[#This Row],[Customer_ID_clean]],CustomersTable[],4,FALSE)</f>
        <v>Manitoba</v>
      </c>
    </row>
    <row r="583" spans="1:37">
      <c r="A583" t="s">
        <v>1019</v>
      </c>
      <c r="B583" s="3">
        <v>45771</v>
      </c>
      <c r="C583" t="s">
        <v>851</v>
      </c>
      <c r="D583" t="s">
        <v>255</v>
      </c>
      <c r="E583" t="s">
        <v>852</v>
      </c>
      <c r="F583" t="s">
        <v>103</v>
      </c>
      <c r="G583" t="s">
        <v>183</v>
      </c>
      <c r="H583" t="s">
        <v>89</v>
      </c>
      <c r="I583">
        <v>3</v>
      </c>
      <c r="J583" s="2">
        <v>236.49</v>
      </c>
      <c r="K583" s="4">
        <v>0.1</v>
      </c>
      <c r="L583" t="s">
        <v>106</v>
      </c>
      <c r="M583">
        <v>8</v>
      </c>
      <c r="N583" t="s">
        <v>147</v>
      </c>
      <c r="O583" t="str">
        <f>SUBSTITUTE(PROPER(TRIM(RawSalesTable[[#This Row],[Channel_Raw]])), "Market Place", "Marketplace")</f>
        <v>Online</v>
      </c>
      <c r="P583" t="str">
        <f>TRIM(RawSalesTable[[#This Row],[Store_Raw]])</f>
        <v>Vancouver West</v>
      </c>
      <c r="Q583" t="str">
        <f>IF(TRIM(RawSalesTable[[#This Row],[Payment_Method_Raw]])="","Non renseigné",SUBSTITUTE(TRIM(RawSalesTable[[#This Row],[Payment_Method_Raw]]),"CC","Credit Card"))</f>
        <v>Credit Card</v>
      </c>
      <c r="R583" s="8" t="str">
        <f>UPPER(PROPER(RawSalesTable[[#This Row],[Customer_ID]]))</f>
        <v>C0026</v>
      </c>
      <c r="S583" s="8" t="str">
        <f>TRIM(LEFT(RawSalesTable[[#This Row],[Customer_Info]],FIND(",",RawSalesTable[[#This Row],[Customer_Info]]) -1))</f>
        <v>Adam Hall</v>
      </c>
      <c r="T583" s="8" t="str">
        <f>TRIM(MID(RawSalesTable[[#This Row],[Customer_Info]],FIND(",",RawSalesTable[[#This Row],[Customer_Info]])+1,FIND(",",RawSalesTable[[#This Row],[Customer_Info]],FIND(",",RawSalesTable[[#This Row],[Customer_Info]])+1)-FIND(",",RawSalesTable[[#This Row],[Customer_Info]])-1))</f>
        <v>Surrey</v>
      </c>
      <c r="U583" s="8" t="str">
        <f>TRIM(RIGHT(RawSalesTable[[#This Row],[Customer_Info]], LEN(RawSalesTable[[#This Row],[Customer_Info]])-FIND(",",RawSalesTable[[#This Row],[Customer_Info]],FIND(",",RawSalesTable[[#This Row],[Customer_Info]])+1)))</f>
        <v>Corporate</v>
      </c>
      <c r="V583" s="8" t="str">
        <f>VLOOKUP(RawSalesTable[[#This Row],[Product_ID]],ProductsTable[],2,FALSE)</f>
        <v>Document Shredder</v>
      </c>
      <c r="W583" s="8" t="str">
        <f>VLOOKUP(RawSalesTable[[#This Row],[Product_ID]],ProductsTable[],3,FALSE)</f>
        <v>Office</v>
      </c>
      <c r="X583" s="8">
        <f>VLOOKUP(RawSalesTable[[#This Row],[Product_ID]],ProductsTable[],5,FALSE)</f>
        <v>117.65</v>
      </c>
      <c r="Y583" s="8">
        <f>RawSalesTable[[#This Row],[Quantity]]*RawSalesTable[[#This Row],[Unit_Price]]</f>
        <v>709.47</v>
      </c>
      <c r="Z583" s="8">
        <f>RawSalesTable[[#This Row],[Gross_Sales]]*RawSalesTable[[#This Row],[Discount_Pct]]</f>
        <v>70.947000000000003</v>
      </c>
      <c r="AA583" s="8">
        <f>RawSalesTable[[#This Row],[Gross_Sales]]-RawSalesTable[[#This Row],[Discount_Amount]]</f>
        <v>638.52300000000002</v>
      </c>
      <c r="AB583" s="8">
        <f>RawSalesTable[[#This Row],[Unit_Cost]]*RawSalesTable[[#This Row],[Quantity]]</f>
        <v>352.95000000000005</v>
      </c>
      <c r="AC583" s="8">
        <f>RawSalesTable[[#This Row],[Net_Sales]]-RawSalesTable[[#This Row],[Total_Cost]]</f>
        <v>285.57299999999998</v>
      </c>
      <c r="AD583" s="9">
        <f>RawSalesTable[[#This Row],[Profit]]/RawSalesTable[[#This Row],[Net_Sales]]</f>
        <v>0.44723995846664877</v>
      </c>
      <c r="AE583" s="8">
        <f>IF(RawSalesTable[[#This Row],[Return_Status]]="Yes",1,0)</f>
        <v>1</v>
      </c>
      <c r="AF583" s="8">
        <f>YEAR(RawSalesTable[[#This Row],[Order_Date]])</f>
        <v>2025</v>
      </c>
      <c r="AG583" s="8">
        <f>MONTH(RawSalesTable[[#This Row],[Order_Date]])</f>
        <v>4</v>
      </c>
      <c r="AH583" s="8" t="str">
        <f>TEXT(RawSalesTable[[#This Row],[Order_Date]],"mmmm")</f>
        <v>avril</v>
      </c>
      <c r="AI583" s="8" t="str">
        <f>IF(RawSalesTable[[#This Row],[Month_Number]]&lt;=3,"Q1",IF(RawSalesTable[[#This Row],[Month_Number]]&lt;=6,"Q2",IF(RawSalesTable[[#This Row],[Month_Number]]&lt;=9,"Q3","Q4")))</f>
        <v>Q2</v>
      </c>
      <c r="AJ583" s="13">
        <f>DATE(YEAR(RawSalesTable[[#This Row],[Order_Date]]),MONTH(RawSalesTable[[#This Row],[Order_Date]]),1)</f>
        <v>45748</v>
      </c>
      <c r="AK583" s="8" t="str">
        <f>VLOOKUP(RawSalesTable[[#This Row],[Customer_ID_clean]],CustomersTable[],4,FALSE)</f>
        <v>British Columbia</v>
      </c>
    </row>
    <row r="584" spans="1:37">
      <c r="A584" t="s">
        <v>1020</v>
      </c>
      <c r="B584" s="3">
        <v>45698</v>
      </c>
      <c r="C584" t="s">
        <v>851</v>
      </c>
      <c r="D584" t="s">
        <v>221</v>
      </c>
      <c r="E584" t="s">
        <v>1021</v>
      </c>
      <c r="F584" t="s">
        <v>145</v>
      </c>
      <c r="G584" t="s">
        <v>183</v>
      </c>
      <c r="H584" t="s">
        <v>89</v>
      </c>
      <c r="I584">
        <v>2</v>
      </c>
      <c r="J584" s="2">
        <v>31.95</v>
      </c>
      <c r="K584" s="4">
        <v>0.05</v>
      </c>
      <c r="L584" t="s">
        <v>432</v>
      </c>
      <c r="M584">
        <v>5</v>
      </c>
      <c r="N584" t="s">
        <v>91</v>
      </c>
      <c r="O584" t="str">
        <f>SUBSTITUTE(PROPER(TRIM(RawSalesTable[[#This Row],[Channel_Raw]])), "Market Place", "Marketplace")</f>
        <v>Online</v>
      </c>
      <c r="P584" t="str">
        <f>TRIM(RawSalesTable[[#This Row],[Store_Raw]])</f>
        <v>Calgary North</v>
      </c>
      <c r="Q584" t="str">
        <f>IF(TRIM(RawSalesTable[[#This Row],[Payment_Method_Raw]])="","Non renseigné",SUBSTITUTE(TRIM(RawSalesTable[[#This Row],[Payment_Method_Raw]]),"CC","Credit Card"))</f>
        <v>PAYPAL</v>
      </c>
      <c r="R584" s="8" t="str">
        <f>UPPER(PROPER(RawSalesTable[[#This Row],[Customer_ID]]))</f>
        <v>C0026</v>
      </c>
      <c r="S584" s="8" t="str">
        <f>TRIM(LEFT(RawSalesTable[[#This Row],[Customer_Info]],FIND(",",RawSalesTable[[#This Row],[Customer_Info]]) -1))</f>
        <v>Adam Hall</v>
      </c>
      <c r="T584" s="8" t="str">
        <f>TRIM(MID(RawSalesTable[[#This Row],[Customer_Info]],FIND(",",RawSalesTable[[#This Row],[Customer_Info]])+1,FIND(",",RawSalesTable[[#This Row],[Customer_Info]],FIND(",",RawSalesTable[[#This Row],[Customer_Info]])+1)-FIND(",",RawSalesTable[[#This Row],[Customer_Info]])-1))</f>
        <v>Surrey</v>
      </c>
      <c r="U584" s="8" t="str">
        <f>TRIM(RIGHT(RawSalesTable[[#This Row],[Customer_Info]], LEN(RawSalesTable[[#This Row],[Customer_Info]])-FIND(",",RawSalesTable[[#This Row],[Customer_Info]],FIND(",",RawSalesTable[[#This Row],[Customer_Info]])+1)))</f>
        <v>Corporate</v>
      </c>
      <c r="V584" s="8" t="str">
        <f>VLOOKUP(RawSalesTable[[#This Row],[Product_ID]],ProductsTable[],2,FALSE)</f>
        <v>Air Fryer</v>
      </c>
      <c r="W584" s="8" t="str">
        <f>VLOOKUP(RawSalesTable[[#This Row],[Product_ID]],ProductsTable[],3,FALSE)</f>
        <v>Home</v>
      </c>
      <c r="X584" s="8">
        <f>VLOOKUP(RawSalesTable[[#This Row],[Product_ID]],ProductsTable[],5,FALSE)</f>
        <v>14.58</v>
      </c>
      <c r="Y584" s="8">
        <f>RawSalesTable[[#This Row],[Quantity]]*RawSalesTable[[#This Row],[Unit_Price]]</f>
        <v>63.9</v>
      </c>
      <c r="Z584" s="8">
        <f>RawSalesTable[[#This Row],[Gross_Sales]]*RawSalesTable[[#This Row],[Discount_Pct]]</f>
        <v>3.1950000000000003</v>
      </c>
      <c r="AA584" s="8">
        <f>RawSalesTable[[#This Row],[Gross_Sales]]-RawSalesTable[[#This Row],[Discount_Amount]]</f>
        <v>60.704999999999998</v>
      </c>
      <c r="AB584" s="8">
        <f>RawSalesTable[[#This Row],[Unit_Cost]]*RawSalesTable[[#This Row],[Quantity]]</f>
        <v>29.16</v>
      </c>
      <c r="AC584" s="8">
        <f>RawSalesTable[[#This Row],[Net_Sales]]-RawSalesTable[[#This Row],[Total_Cost]]</f>
        <v>31.544999999999998</v>
      </c>
      <c r="AD584" s="9">
        <f>RawSalesTable[[#This Row],[Profit]]/RawSalesTable[[#This Row],[Net_Sales]]</f>
        <v>0.51964418087472197</v>
      </c>
      <c r="AE584" s="8">
        <f>IF(RawSalesTable[[#This Row],[Return_Status]]="Yes",1,0)</f>
        <v>0</v>
      </c>
      <c r="AF584" s="8">
        <f>YEAR(RawSalesTable[[#This Row],[Order_Date]])</f>
        <v>2025</v>
      </c>
      <c r="AG584" s="8">
        <f>MONTH(RawSalesTable[[#This Row],[Order_Date]])</f>
        <v>2</v>
      </c>
      <c r="AH584" s="8" t="str">
        <f>TEXT(RawSalesTable[[#This Row],[Order_Date]],"mmmm")</f>
        <v>février</v>
      </c>
      <c r="AI584" s="8" t="str">
        <f>IF(RawSalesTable[[#This Row],[Month_Number]]&lt;=3,"Q1",IF(RawSalesTable[[#This Row],[Month_Number]]&lt;=6,"Q2",IF(RawSalesTable[[#This Row],[Month_Number]]&lt;=9,"Q3","Q4")))</f>
        <v>Q1</v>
      </c>
      <c r="AJ584" s="13">
        <f>DATE(YEAR(RawSalesTable[[#This Row],[Order_Date]]),MONTH(RawSalesTable[[#This Row],[Order_Date]]),1)</f>
        <v>45689</v>
      </c>
      <c r="AK584" s="8" t="str">
        <f>VLOOKUP(RawSalesTable[[#This Row],[Customer_ID_clean]],CustomersTable[],4,FALSE)</f>
        <v>British Columbia</v>
      </c>
    </row>
    <row r="585" spans="1:37">
      <c r="A585" t="s">
        <v>1022</v>
      </c>
      <c r="B585" s="3">
        <v>46018</v>
      </c>
      <c r="C585" t="s">
        <v>343</v>
      </c>
      <c r="D585" t="s">
        <v>174</v>
      </c>
      <c r="E585" t="s">
        <v>344</v>
      </c>
      <c r="F585" t="s">
        <v>145</v>
      </c>
      <c r="G585" t="s">
        <v>171</v>
      </c>
      <c r="H585" t="s">
        <v>97</v>
      </c>
      <c r="I585">
        <v>1</v>
      </c>
      <c r="J585" s="2">
        <v>39.03</v>
      </c>
      <c r="K585" s="4">
        <v>0.2</v>
      </c>
      <c r="L585" t="s">
        <v>106</v>
      </c>
      <c r="M585">
        <v>0</v>
      </c>
      <c r="N585" t="s">
        <v>91</v>
      </c>
      <c r="O585" t="str">
        <f>SUBSTITUTE(PROPER(TRIM(RawSalesTable[[#This Row],[Channel_Raw]])), "Market Place", "Marketplace")</f>
        <v>Retail Store</v>
      </c>
      <c r="P585" t="str">
        <f>TRIM(RawSalesTable[[#This Row],[Store_Raw]])</f>
        <v>Calgary North</v>
      </c>
      <c r="Q585" t="str">
        <f>IF(TRIM(RawSalesTable[[#This Row],[Payment_Method_Raw]])="","Non renseigné",SUBSTITUTE(TRIM(RawSalesTable[[#This Row],[Payment_Method_Raw]]),"CC","Credit Card"))</f>
        <v>Credit Card</v>
      </c>
      <c r="R585" s="8" t="str">
        <f>UPPER(PROPER(RawSalesTable[[#This Row],[Customer_ID]]))</f>
        <v>C0114</v>
      </c>
      <c r="S585" s="8" t="str">
        <f>TRIM(LEFT(RawSalesTable[[#This Row],[Customer_Info]],FIND(",",RawSalesTable[[#This Row],[Customer_Info]]) -1))</f>
        <v>Olivia Johnson</v>
      </c>
      <c r="T585" s="8" t="str">
        <f>TRIM(MID(RawSalesTable[[#This Row],[Customer_Info]],FIND(",",RawSalesTable[[#This Row],[Customer_Info]])+1,FIND(",",RawSalesTable[[#This Row],[Customer_Info]],FIND(",",RawSalesTable[[#This Row],[Customer_Info]])+1)-FIND(",",RawSalesTable[[#This Row],[Customer_Info]])-1))</f>
        <v>Ottawa</v>
      </c>
      <c r="U585" s="8" t="str">
        <f>TRIM(RIGHT(RawSalesTable[[#This Row],[Customer_Info]], LEN(RawSalesTable[[#This Row],[Customer_Info]])-FIND(",",RawSalesTable[[#This Row],[Customer_Info]],FIND(",",RawSalesTable[[#This Row],[Customer_Info]])+1)))</f>
        <v>Consumer</v>
      </c>
      <c r="V585" s="8" t="str">
        <f>VLOOKUP(RawSalesTable[[#This Row],[Product_ID]],ProductsTable[],2,FALSE)</f>
        <v>Keyboard</v>
      </c>
      <c r="W585" s="8" t="str">
        <f>VLOOKUP(RawSalesTable[[#This Row],[Product_ID]],ProductsTable[],3,FALSE)</f>
        <v>Electronics</v>
      </c>
      <c r="X585" s="8">
        <f>VLOOKUP(RawSalesTable[[#This Row],[Product_ID]],ProductsTable[],5,FALSE)</f>
        <v>23.5</v>
      </c>
      <c r="Y585" s="8">
        <f>RawSalesTable[[#This Row],[Quantity]]*RawSalesTable[[#This Row],[Unit_Price]]</f>
        <v>39.03</v>
      </c>
      <c r="Z585" s="8">
        <f>RawSalesTable[[#This Row],[Gross_Sales]]*RawSalesTable[[#This Row],[Discount_Pct]]</f>
        <v>7.8060000000000009</v>
      </c>
      <c r="AA585" s="8">
        <f>RawSalesTable[[#This Row],[Gross_Sales]]-RawSalesTable[[#This Row],[Discount_Amount]]</f>
        <v>31.224</v>
      </c>
      <c r="AB585" s="8">
        <f>RawSalesTable[[#This Row],[Unit_Cost]]*RawSalesTable[[#This Row],[Quantity]]</f>
        <v>23.5</v>
      </c>
      <c r="AC585" s="8">
        <f>RawSalesTable[[#This Row],[Net_Sales]]-RawSalesTable[[#This Row],[Total_Cost]]</f>
        <v>7.7240000000000002</v>
      </c>
      <c r="AD585" s="9">
        <f>RawSalesTable[[#This Row],[Profit]]/RawSalesTable[[#This Row],[Net_Sales]]</f>
        <v>0.24737381501409172</v>
      </c>
      <c r="AE585" s="8">
        <f>IF(RawSalesTable[[#This Row],[Return_Status]]="Yes",1,0)</f>
        <v>0</v>
      </c>
      <c r="AF585" s="8">
        <f>YEAR(RawSalesTable[[#This Row],[Order_Date]])</f>
        <v>2025</v>
      </c>
      <c r="AG585" s="8">
        <f>MONTH(RawSalesTable[[#This Row],[Order_Date]])</f>
        <v>12</v>
      </c>
      <c r="AH585" s="8" t="str">
        <f>TEXT(RawSalesTable[[#This Row],[Order_Date]],"mmmm")</f>
        <v>décembre</v>
      </c>
      <c r="AI585" s="8" t="str">
        <f>IF(RawSalesTable[[#This Row],[Month_Number]]&lt;=3,"Q1",IF(RawSalesTable[[#This Row],[Month_Number]]&lt;=6,"Q2",IF(RawSalesTable[[#This Row],[Month_Number]]&lt;=9,"Q3","Q4")))</f>
        <v>Q4</v>
      </c>
      <c r="AJ585" s="13">
        <f>DATE(YEAR(RawSalesTable[[#This Row],[Order_Date]]),MONTH(RawSalesTable[[#This Row],[Order_Date]]),1)</f>
        <v>45992</v>
      </c>
      <c r="AK585" s="8" t="str">
        <f>VLOOKUP(RawSalesTable[[#This Row],[Customer_ID_clean]],CustomersTable[],4,FALSE)</f>
        <v>Ontario</v>
      </c>
    </row>
    <row r="586" spans="1:37">
      <c r="A586" t="s">
        <v>1023</v>
      </c>
      <c r="B586" s="3">
        <v>45785</v>
      </c>
      <c r="C586" t="s">
        <v>374</v>
      </c>
      <c r="D586" t="s">
        <v>418</v>
      </c>
      <c r="E586" t="s">
        <v>375</v>
      </c>
      <c r="F586" t="s">
        <v>103</v>
      </c>
      <c r="G586" t="s">
        <v>122</v>
      </c>
      <c r="H586" t="s">
        <v>89</v>
      </c>
      <c r="I586">
        <v>1</v>
      </c>
      <c r="J586" s="2">
        <v>377.22</v>
      </c>
      <c r="K586" s="4">
        <v>0.05</v>
      </c>
      <c r="L586" t="s">
        <v>98</v>
      </c>
      <c r="M586">
        <v>7</v>
      </c>
      <c r="N586" t="s">
        <v>91</v>
      </c>
      <c r="O586" t="str">
        <f>SUBSTITUTE(PROPER(TRIM(RawSalesTable[[#This Row],[Channel_Raw]])), "Market Place", "Marketplace")</f>
        <v>Online</v>
      </c>
      <c r="P586" t="str">
        <f>TRIM(RawSalesTable[[#This Row],[Store_Raw]])</f>
        <v>Vancouver West</v>
      </c>
      <c r="Q586" t="str">
        <f>IF(TRIM(RawSalesTable[[#This Row],[Payment_Method_Raw]])="","Non renseigné",SUBSTITUTE(TRIM(RawSalesTable[[#This Row],[Payment_Method_Raw]]),"CC","Credit Card"))</f>
        <v>Debit Card</v>
      </c>
      <c r="R586" s="8" t="str">
        <f>UPPER(PROPER(RawSalesTable[[#This Row],[Customer_ID]]))</f>
        <v>C0035</v>
      </c>
      <c r="S586" s="8" t="str">
        <f>TRIM(LEFT(RawSalesTable[[#This Row],[Customer_Info]],FIND(",",RawSalesTable[[#This Row],[Customer_Info]]) -1))</f>
        <v>Amelia Scott</v>
      </c>
      <c r="T586" s="8" t="str">
        <f>TRIM(MID(RawSalesTable[[#This Row],[Customer_Info]],FIND(",",RawSalesTable[[#This Row],[Customer_Info]])+1,FIND(",",RawSalesTable[[#This Row],[Customer_Info]],FIND(",",RawSalesTable[[#This Row],[Customer_Info]])+1)-FIND(",",RawSalesTable[[#This Row],[Customer_Info]])-1))</f>
        <v>Edmonton</v>
      </c>
      <c r="U586" s="8" t="str">
        <f>TRIM(RIGHT(RawSalesTable[[#This Row],[Customer_Info]], LEN(RawSalesTable[[#This Row],[Customer_Info]])-FIND(",",RawSalesTable[[#This Row],[Customer_Info]],FIND(",",RawSalesTable[[#This Row],[Customer_Info]])+1)))</f>
        <v>Small Business</v>
      </c>
      <c r="V586" s="8" t="str">
        <f>VLOOKUP(RawSalesTable[[#This Row],[Product_ID]],ProductsTable[],2,FALSE)</f>
        <v>Foam Roller</v>
      </c>
      <c r="W586" s="8" t="str">
        <f>VLOOKUP(RawSalesTable[[#This Row],[Product_ID]],ProductsTable[],3,FALSE)</f>
        <v>Fitness</v>
      </c>
      <c r="X586" s="8">
        <f>VLOOKUP(RawSalesTable[[#This Row],[Product_ID]],ProductsTable[],5,FALSE)</f>
        <v>212.02</v>
      </c>
      <c r="Y586" s="8">
        <f>RawSalesTable[[#This Row],[Quantity]]*RawSalesTable[[#This Row],[Unit_Price]]</f>
        <v>377.22</v>
      </c>
      <c r="Z586" s="8">
        <f>RawSalesTable[[#This Row],[Gross_Sales]]*RawSalesTable[[#This Row],[Discount_Pct]]</f>
        <v>18.861000000000001</v>
      </c>
      <c r="AA586" s="8">
        <f>RawSalesTable[[#This Row],[Gross_Sales]]-RawSalesTable[[#This Row],[Discount_Amount]]</f>
        <v>358.35900000000004</v>
      </c>
      <c r="AB586" s="8">
        <f>RawSalesTable[[#This Row],[Unit_Cost]]*RawSalesTable[[#This Row],[Quantity]]</f>
        <v>212.02</v>
      </c>
      <c r="AC586" s="8">
        <f>RawSalesTable[[#This Row],[Net_Sales]]-RawSalesTable[[#This Row],[Total_Cost]]</f>
        <v>146.33900000000003</v>
      </c>
      <c r="AD586" s="9">
        <f>RawSalesTable[[#This Row],[Profit]]/RawSalesTable[[#This Row],[Net_Sales]]</f>
        <v>0.40835865710084024</v>
      </c>
      <c r="AE586" s="8">
        <f>IF(RawSalesTable[[#This Row],[Return_Status]]="Yes",1,0)</f>
        <v>0</v>
      </c>
      <c r="AF586" s="8">
        <f>YEAR(RawSalesTable[[#This Row],[Order_Date]])</f>
        <v>2025</v>
      </c>
      <c r="AG586" s="8">
        <f>MONTH(RawSalesTable[[#This Row],[Order_Date]])</f>
        <v>5</v>
      </c>
      <c r="AH586" s="8" t="str">
        <f>TEXT(RawSalesTable[[#This Row],[Order_Date]],"mmmm")</f>
        <v>mai</v>
      </c>
      <c r="AI586" s="8" t="str">
        <f>IF(RawSalesTable[[#This Row],[Month_Number]]&lt;=3,"Q1",IF(RawSalesTable[[#This Row],[Month_Number]]&lt;=6,"Q2",IF(RawSalesTable[[#This Row],[Month_Number]]&lt;=9,"Q3","Q4")))</f>
        <v>Q2</v>
      </c>
      <c r="AJ586" s="13">
        <f>DATE(YEAR(RawSalesTable[[#This Row],[Order_Date]]),MONTH(RawSalesTable[[#This Row],[Order_Date]]),1)</f>
        <v>45778</v>
      </c>
      <c r="AK586" s="8" t="str">
        <f>VLOOKUP(RawSalesTable[[#This Row],[Customer_ID_clean]],CustomersTable[],4,FALSE)</f>
        <v>Alberta</v>
      </c>
    </row>
    <row r="587" spans="1:37">
      <c r="A587" t="s">
        <v>1024</v>
      </c>
      <c r="B587" s="3">
        <v>45988</v>
      </c>
      <c r="C587" t="s">
        <v>169</v>
      </c>
      <c r="D587" t="s">
        <v>210</v>
      </c>
      <c r="E587" t="s">
        <v>170</v>
      </c>
      <c r="F587" t="s">
        <v>103</v>
      </c>
      <c r="G587" t="s">
        <v>130</v>
      </c>
      <c r="H587" t="s">
        <v>97</v>
      </c>
      <c r="I587">
        <v>3</v>
      </c>
      <c r="J587" s="2">
        <v>292.93</v>
      </c>
      <c r="K587" s="4">
        <v>0.05</v>
      </c>
      <c r="L587" t="s">
        <v>98</v>
      </c>
      <c r="M587">
        <v>0</v>
      </c>
      <c r="N587" t="s">
        <v>91</v>
      </c>
      <c r="O587" t="str">
        <f>SUBSTITUTE(PROPER(TRIM(RawSalesTable[[#This Row],[Channel_Raw]])), "Market Place", "Marketplace")</f>
        <v>Retail Store</v>
      </c>
      <c r="P587" t="str">
        <f>TRIM(RawSalesTable[[#This Row],[Store_Raw]])</f>
        <v>Vancouver West</v>
      </c>
      <c r="Q587" t="str">
        <f>IF(TRIM(RawSalesTable[[#This Row],[Payment_Method_Raw]])="","Non renseigné",SUBSTITUTE(TRIM(RawSalesTable[[#This Row],[Payment_Method_Raw]]),"CC","Credit Card"))</f>
        <v>Debit Card</v>
      </c>
      <c r="R587" s="8" t="str">
        <f>UPPER(PROPER(RawSalesTable[[#This Row],[Customer_ID]]))</f>
        <v>C0064</v>
      </c>
      <c r="S587" s="8" t="str">
        <f>TRIM(LEFT(RawSalesTable[[#This Row],[Customer_Info]],FIND(",",RawSalesTable[[#This Row],[Customer_Info]]) -1))</f>
        <v>Amine Khan</v>
      </c>
      <c r="T587" s="8" t="str">
        <f>TRIM(MID(RawSalesTable[[#This Row],[Customer_Info]],FIND(",",RawSalesTable[[#This Row],[Customer_Info]])+1,FIND(",",RawSalesTable[[#This Row],[Customer_Info]],FIND(",",RawSalesTable[[#This Row],[Customer_Info]])+1)-FIND(",",RawSalesTable[[#This Row],[Customer_Info]])-1))</f>
        <v>Edmonton</v>
      </c>
      <c r="U587" s="8" t="str">
        <f>TRIM(RIGHT(RawSalesTable[[#This Row],[Customer_Info]], LEN(RawSalesTable[[#This Row],[Customer_Info]])-FIND(",",RawSalesTable[[#This Row],[Customer_Info]],FIND(",",RawSalesTable[[#This Row],[Customer_Info]])+1)))</f>
        <v>Consumer</v>
      </c>
      <c r="V587" s="8" t="str">
        <f>VLOOKUP(RawSalesTable[[#This Row],[Product_ID]],ProductsTable[],2,FALSE)</f>
        <v>Desk Pad</v>
      </c>
      <c r="W587" s="8" t="str">
        <f>VLOOKUP(RawSalesTable[[#This Row],[Product_ID]],ProductsTable[],3,FALSE)</f>
        <v>Accessories</v>
      </c>
      <c r="X587" s="8">
        <f>VLOOKUP(RawSalesTable[[#This Row],[Product_ID]],ProductsTable[],5,FALSE)</f>
        <v>177.57</v>
      </c>
      <c r="Y587" s="8">
        <f>RawSalesTable[[#This Row],[Quantity]]*RawSalesTable[[#This Row],[Unit_Price]]</f>
        <v>878.79</v>
      </c>
      <c r="Z587" s="8">
        <f>RawSalesTable[[#This Row],[Gross_Sales]]*RawSalesTable[[#This Row],[Discount_Pct]]</f>
        <v>43.939500000000002</v>
      </c>
      <c r="AA587" s="8">
        <f>RawSalesTable[[#This Row],[Gross_Sales]]-RawSalesTable[[#This Row],[Discount_Amount]]</f>
        <v>834.85050000000001</v>
      </c>
      <c r="AB587" s="8">
        <f>RawSalesTable[[#This Row],[Unit_Cost]]*RawSalesTable[[#This Row],[Quantity]]</f>
        <v>532.71</v>
      </c>
      <c r="AC587" s="8">
        <f>RawSalesTable[[#This Row],[Net_Sales]]-RawSalesTable[[#This Row],[Total_Cost]]</f>
        <v>302.14049999999997</v>
      </c>
      <c r="AD587" s="9">
        <f>RawSalesTable[[#This Row],[Profit]]/RawSalesTable[[#This Row],[Net_Sales]]</f>
        <v>0.36190970718709514</v>
      </c>
      <c r="AE587" s="8">
        <f>IF(RawSalesTable[[#This Row],[Return_Status]]="Yes",1,0)</f>
        <v>0</v>
      </c>
      <c r="AF587" s="8">
        <f>YEAR(RawSalesTable[[#This Row],[Order_Date]])</f>
        <v>2025</v>
      </c>
      <c r="AG587" s="8">
        <f>MONTH(RawSalesTable[[#This Row],[Order_Date]])</f>
        <v>11</v>
      </c>
      <c r="AH587" s="8" t="str">
        <f>TEXT(RawSalesTable[[#This Row],[Order_Date]],"mmmm")</f>
        <v>novembre</v>
      </c>
      <c r="AI587" s="8" t="str">
        <f>IF(RawSalesTable[[#This Row],[Month_Number]]&lt;=3,"Q1",IF(RawSalesTable[[#This Row],[Month_Number]]&lt;=6,"Q2",IF(RawSalesTable[[#This Row],[Month_Number]]&lt;=9,"Q3","Q4")))</f>
        <v>Q4</v>
      </c>
      <c r="AJ587" s="13">
        <f>DATE(YEAR(RawSalesTable[[#This Row],[Order_Date]]),MONTH(RawSalesTable[[#This Row],[Order_Date]]),1)</f>
        <v>45962</v>
      </c>
      <c r="AK587" s="8" t="str">
        <f>VLOOKUP(RawSalesTable[[#This Row],[Customer_ID_clean]],CustomersTable[],4,FALSE)</f>
        <v>Alberta</v>
      </c>
    </row>
    <row r="588" spans="1:37">
      <c r="A588" t="s">
        <v>1025</v>
      </c>
      <c r="B588" s="3">
        <v>45718</v>
      </c>
      <c r="C588" t="s">
        <v>414</v>
      </c>
      <c r="D588" t="s">
        <v>174</v>
      </c>
      <c r="E588" t="s">
        <v>415</v>
      </c>
      <c r="F588" t="s">
        <v>145</v>
      </c>
      <c r="G588" t="s">
        <v>171</v>
      </c>
      <c r="H588" t="s">
        <v>89</v>
      </c>
      <c r="I588">
        <v>1</v>
      </c>
      <c r="J588" s="2">
        <v>36.51</v>
      </c>
      <c r="K588" s="4">
        <v>0</v>
      </c>
      <c r="L588" t="s">
        <v>90</v>
      </c>
      <c r="M588">
        <v>9</v>
      </c>
      <c r="N588" t="s">
        <v>91</v>
      </c>
      <c r="O588" t="str">
        <f>SUBSTITUTE(PROPER(TRIM(RawSalesTable[[#This Row],[Channel_Raw]])), "Market Place", "Marketplace")</f>
        <v>Online</v>
      </c>
      <c r="P588" t="str">
        <f>TRIM(RawSalesTable[[#This Row],[Store_Raw]])</f>
        <v>Calgary North</v>
      </c>
      <c r="Q588" t="str">
        <f>IF(TRIM(RawSalesTable[[#This Row],[Payment_Method_Raw]])="","Non renseigné",SUBSTITUTE(TRIM(RawSalesTable[[#This Row],[Payment_Method_Raw]]),"CC","Credit Card"))</f>
        <v>PayPal</v>
      </c>
      <c r="R588" s="8" t="str">
        <f>UPPER(PROPER(RawSalesTable[[#This Row],[Customer_ID]]))</f>
        <v>C0052</v>
      </c>
      <c r="S588" s="8" t="str">
        <f>TRIM(LEFT(RawSalesTable[[#This Row],[Customer_Info]],FIND(",",RawSalesTable[[#This Row],[Customer_Info]]) -1))</f>
        <v>Liam Bennett</v>
      </c>
      <c r="T588" s="8" t="str">
        <f>TRIM(MID(RawSalesTable[[#This Row],[Customer_Info]],FIND(",",RawSalesTable[[#This Row],[Customer_Info]])+1,FIND(",",RawSalesTable[[#This Row],[Customer_Info]],FIND(",",RawSalesTable[[#This Row],[Customer_Info]])+1)-FIND(",",RawSalesTable[[#This Row],[Customer_Info]])-1))</f>
        <v>Edmonton</v>
      </c>
      <c r="U588" s="8" t="str">
        <f>TRIM(RIGHT(RawSalesTable[[#This Row],[Customer_Info]], LEN(RawSalesTable[[#This Row],[Customer_Info]])-FIND(",",RawSalesTable[[#This Row],[Customer_Info]],FIND(",",RawSalesTable[[#This Row],[Customer_Info]])+1)))</f>
        <v>Corporate</v>
      </c>
      <c r="V588" s="8" t="str">
        <f>VLOOKUP(RawSalesTable[[#This Row],[Product_ID]],ProductsTable[],2,FALSE)</f>
        <v>Keyboard</v>
      </c>
      <c r="W588" s="8" t="str">
        <f>VLOOKUP(RawSalesTable[[#This Row],[Product_ID]],ProductsTable[],3,FALSE)</f>
        <v>Electronics</v>
      </c>
      <c r="X588" s="8">
        <f>VLOOKUP(RawSalesTable[[#This Row],[Product_ID]],ProductsTable[],5,FALSE)</f>
        <v>23.5</v>
      </c>
      <c r="Y588" s="8">
        <f>RawSalesTable[[#This Row],[Quantity]]*RawSalesTable[[#This Row],[Unit_Price]]</f>
        <v>36.51</v>
      </c>
      <c r="Z588" s="8">
        <f>RawSalesTable[[#This Row],[Gross_Sales]]*RawSalesTable[[#This Row],[Discount_Pct]]</f>
        <v>0</v>
      </c>
      <c r="AA588" s="8">
        <f>RawSalesTable[[#This Row],[Gross_Sales]]-RawSalesTable[[#This Row],[Discount_Amount]]</f>
        <v>36.51</v>
      </c>
      <c r="AB588" s="8">
        <f>RawSalesTable[[#This Row],[Unit_Cost]]*RawSalesTable[[#This Row],[Quantity]]</f>
        <v>23.5</v>
      </c>
      <c r="AC588" s="8">
        <f>RawSalesTable[[#This Row],[Net_Sales]]-RawSalesTable[[#This Row],[Total_Cost]]</f>
        <v>13.009999999999998</v>
      </c>
      <c r="AD588" s="9">
        <f>RawSalesTable[[#This Row],[Profit]]/RawSalesTable[[#This Row],[Net_Sales]]</f>
        <v>0.3563407285675157</v>
      </c>
      <c r="AE588" s="8">
        <f>IF(RawSalesTable[[#This Row],[Return_Status]]="Yes",1,0)</f>
        <v>0</v>
      </c>
      <c r="AF588" s="8">
        <f>YEAR(RawSalesTable[[#This Row],[Order_Date]])</f>
        <v>2025</v>
      </c>
      <c r="AG588" s="8">
        <f>MONTH(RawSalesTable[[#This Row],[Order_Date]])</f>
        <v>3</v>
      </c>
      <c r="AH588" s="8" t="str">
        <f>TEXT(RawSalesTable[[#This Row],[Order_Date]],"mmmm")</f>
        <v>mars</v>
      </c>
      <c r="AI588" s="8" t="str">
        <f>IF(RawSalesTable[[#This Row],[Month_Number]]&lt;=3,"Q1",IF(RawSalesTable[[#This Row],[Month_Number]]&lt;=6,"Q2",IF(RawSalesTable[[#This Row],[Month_Number]]&lt;=9,"Q3","Q4")))</f>
        <v>Q1</v>
      </c>
      <c r="AJ588" s="13">
        <f>DATE(YEAR(RawSalesTable[[#This Row],[Order_Date]]),MONTH(RawSalesTable[[#This Row],[Order_Date]]),1)</f>
        <v>45717</v>
      </c>
      <c r="AK588" s="8" t="str">
        <f>VLOOKUP(RawSalesTable[[#This Row],[Customer_ID_clean]],CustomersTable[],4,FALSE)</f>
        <v>Alberta</v>
      </c>
    </row>
    <row r="589" spans="1:37">
      <c r="A589" t="s">
        <v>1026</v>
      </c>
      <c r="B589" s="3">
        <v>45993</v>
      </c>
      <c r="C589" t="s">
        <v>371</v>
      </c>
      <c r="D589" t="s">
        <v>136</v>
      </c>
      <c r="E589" t="s">
        <v>372</v>
      </c>
      <c r="F589" t="s">
        <v>145</v>
      </c>
      <c r="G589" t="s">
        <v>88</v>
      </c>
      <c r="H589" t="s">
        <v>89</v>
      </c>
      <c r="I589">
        <v>1</v>
      </c>
      <c r="J589" s="2">
        <v>165.55</v>
      </c>
      <c r="K589" s="4">
        <v>0.05</v>
      </c>
      <c r="L589" t="s">
        <v>106</v>
      </c>
      <c r="M589">
        <v>7</v>
      </c>
      <c r="N589" t="s">
        <v>91</v>
      </c>
      <c r="O589" t="str">
        <f>SUBSTITUTE(PROPER(TRIM(RawSalesTable[[#This Row],[Channel_Raw]])), "Market Place", "Marketplace")</f>
        <v>Online</v>
      </c>
      <c r="P589" t="str">
        <f>TRIM(RawSalesTable[[#This Row],[Store_Raw]])</f>
        <v>Calgary North</v>
      </c>
      <c r="Q589" t="str">
        <f>IF(TRIM(RawSalesTable[[#This Row],[Payment_Method_Raw]])="","Non renseigné",SUBSTITUTE(TRIM(RawSalesTable[[#This Row],[Payment_Method_Raw]]),"CC","Credit Card"))</f>
        <v>Credit Card</v>
      </c>
      <c r="R589" s="8" t="str">
        <f>UPPER(PROPER(RawSalesTable[[#This Row],[Customer_ID]]))</f>
        <v>C0049</v>
      </c>
      <c r="S589" s="8" t="str">
        <f>TRIM(LEFT(RawSalesTable[[#This Row],[Customer_Info]],FIND(",",RawSalesTable[[#This Row],[Customer_Info]]) -1))</f>
        <v>Olivia Scott</v>
      </c>
      <c r="T589" s="8" t="str">
        <f>TRIM(MID(RawSalesTable[[#This Row],[Customer_Info]],FIND(",",RawSalesTable[[#This Row],[Customer_Info]])+1,FIND(",",RawSalesTable[[#This Row],[Customer_Info]],FIND(",",RawSalesTable[[#This Row],[Customer_Info]])+1)-FIND(",",RawSalesTable[[#This Row],[Customer_Info]])-1))</f>
        <v>Quebec City</v>
      </c>
      <c r="U589" s="8" t="str">
        <f>TRIM(RIGHT(RawSalesTable[[#This Row],[Customer_Info]], LEN(RawSalesTable[[#This Row],[Customer_Info]])-FIND(",",RawSalesTable[[#This Row],[Customer_Info]],FIND(",",RawSalesTable[[#This Row],[Customer_Info]])+1)))</f>
        <v>Consumer</v>
      </c>
      <c r="V589" s="8" t="str">
        <f>VLOOKUP(RawSalesTable[[#This Row],[Product_ID]],ProductsTable[],2,FALSE)</f>
        <v>Mouse</v>
      </c>
      <c r="W589" s="8" t="str">
        <f>VLOOKUP(RawSalesTable[[#This Row],[Product_ID]],ProductsTable[],3,FALSE)</f>
        <v>Electronics</v>
      </c>
      <c r="X589" s="8">
        <f>VLOOKUP(RawSalesTable[[#This Row],[Product_ID]],ProductsTable[],5,FALSE)</f>
        <v>106.4</v>
      </c>
      <c r="Y589" s="8">
        <f>RawSalesTable[[#This Row],[Quantity]]*RawSalesTable[[#This Row],[Unit_Price]]</f>
        <v>165.55</v>
      </c>
      <c r="Z589" s="8">
        <f>RawSalesTable[[#This Row],[Gross_Sales]]*RawSalesTable[[#This Row],[Discount_Pct]]</f>
        <v>8.2775000000000016</v>
      </c>
      <c r="AA589" s="8">
        <f>RawSalesTable[[#This Row],[Gross_Sales]]-RawSalesTable[[#This Row],[Discount_Amount]]</f>
        <v>157.27250000000001</v>
      </c>
      <c r="AB589" s="8">
        <f>RawSalesTable[[#This Row],[Unit_Cost]]*RawSalesTable[[#This Row],[Quantity]]</f>
        <v>106.4</v>
      </c>
      <c r="AC589" s="8">
        <f>RawSalesTable[[#This Row],[Net_Sales]]-RawSalesTable[[#This Row],[Total_Cost]]</f>
        <v>50.872500000000002</v>
      </c>
      <c r="AD589" s="9">
        <f>RawSalesTable[[#This Row],[Profit]]/RawSalesTable[[#This Row],[Net_Sales]]</f>
        <v>0.32346723044397463</v>
      </c>
      <c r="AE589" s="8">
        <f>IF(RawSalesTable[[#This Row],[Return_Status]]="Yes",1,0)</f>
        <v>0</v>
      </c>
      <c r="AF589" s="8">
        <f>YEAR(RawSalesTable[[#This Row],[Order_Date]])</f>
        <v>2025</v>
      </c>
      <c r="AG589" s="8">
        <f>MONTH(RawSalesTable[[#This Row],[Order_Date]])</f>
        <v>12</v>
      </c>
      <c r="AH589" s="8" t="str">
        <f>TEXT(RawSalesTable[[#This Row],[Order_Date]],"mmmm")</f>
        <v>décembre</v>
      </c>
      <c r="AI589" s="8" t="str">
        <f>IF(RawSalesTable[[#This Row],[Month_Number]]&lt;=3,"Q1",IF(RawSalesTable[[#This Row],[Month_Number]]&lt;=6,"Q2",IF(RawSalesTable[[#This Row],[Month_Number]]&lt;=9,"Q3","Q4")))</f>
        <v>Q4</v>
      </c>
      <c r="AJ589" s="13">
        <f>DATE(YEAR(RawSalesTable[[#This Row],[Order_Date]]),MONTH(RawSalesTable[[#This Row],[Order_Date]]),1)</f>
        <v>45992</v>
      </c>
      <c r="AK589" s="8" t="str">
        <f>VLOOKUP(RawSalesTable[[#This Row],[Customer_ID_clean]],CustomersTable[],4,FALSE)</f>
        <v>Quebec</v>
      </c>
    </row>
    <row r="590" spans="1:37">
      <c r="A590" t="s">
        <v>1027</v>
      </c>
      <c r="B590" s="3">
        <v>45979</v>
      </c>
      <c r="C590" t="s">
        <v>180</v>
      </c>
      <c r="D590" t="s">
        <v>261</v>
      </c>
      <c r="E590" t="s">
        <v>182</v>
      </c>
      <c r="F590" t="s">
        <v>111</v>
      </c>
      <c r="G590" t="s">
        <v>122</v>
      </c>
      <c r="H590" t="s">
        <v>97</v>
      </c>
      <c r="I590">
        <v>1</v>
      </c>
      <c r="J590" s="2">
        <v>242.19</v>
      </c>
      <c r="K590" s="4">
        <v>0</v>
      </c>
      <c r="L590" t="s">
        <v>154</v>
      </c>
      <c r="M590">
        <v>1</v>
      </c>
      <c r="N590" t="s">
        <v>91</v>
      </c>
      <c r="O590" t="str">
        <f>SUBSTITUTE(PROPER(TRIM(RawSalesTable[[#This Row],[Channel_Raw]])), "Market Place", "Marketplace")</f>
        <v>Retail Store</v>
      </c>
      <c r="P590" t="str">
        <f>TRIM(RawSalesTable[[#This Row],[Store_Raw]])</f>
        <v>Montreal Central</v>
      </c>
      <c r="Q590" t="str">
        <f>IF(TRIM(RawSalesTable[[#This Row],[Payment_Method_Raw]])="","Non renseigné",SUBSTITUTE(TRIM(RawSalesTable[[#This Row],[Payment_Method_Raw]]),"CC","Credit Card"))</f>
        <v>Gift Card</v>
      </c>
      <c r="R590" s="8" t="str">
        <f>UPPER(PROPER(RawSalesTable[[#This Row],[Customer_ID]]))</f>
        <v>C0085</v>
      </c>
      <c r="S590" s="8" t="str">
        <f>TRIM(LEFT(RawSalesTable[[#This Row],[Customer_Info]],FIND(",",RawSalesTable[[#This Row],[Customer_Info]]) -1))</f>
        <v>Yasmine Clark</v>
      </c>
      <c r="T590" s="8" t="str">
        <f>TRIM(MID(RawSalesTable[[#This Row],[Customer_Info]],FIND(",",RawSalesTable[[#This Row],[Customer_Info]])+1,FIND(",",RawSalesTable[[#This Row],[Customer_Info]],FIND(",",RawSalesTable[[#This Row],[Customer_Info]])+1)-FIND(",",RawSalesTable[[#This Row],[Customer_Info]])-1))</f>
        <v>Calgary</v>
      </c>
      <c r="U590" s="8" t="str">
        <f>TRIM(RIGHT(RawSalesTable[[#This Row],[Customer_Info]], LEN(RawSalesTable[[#This Row],[Customer_Info]])-FIND(",",RawSalesTable[[#This Row],[Customer_Info]],FIND(",",RawSalesTable[[#This Row],[Customer_Info]])+1)))</f>
        <v>Consumer</v>
      </c>
      <c r="V590" s="8" t="str">
        <f>VLOOKUP(RawSalesTable[[#This Row],[Product_ID]],ProductsTable[],2,FALSE)</f>
        <v>Dumbbell Set</v>
      </c>
      <c r="W590" s="8" t="str">
        <f>VLOOKUP(RawSalesTable[[#This Row],[Product_ID]],ProductsTable[],3,FALSE)</f>
        <v>Fitness</v>
      </c>
      <c r="X590" s="8">
        <f>VLOOKUP(RawSalesTable[[#This Row],[Product_ID]],ProductsTable[],5,FALSE)</f>
        <v>131.72999999999999</v>
      </c>
      <c r="Y590" s="8">
        <f>RawSalesTable[[#This Row],[Quantity]]*RawSalesTable[[#This Row],[Unit_Price]]</f>
        <v>242.19</v>
      </c>
      <c r="Z590" s="8">
        <f>RawSalesTable[[#This Row],[Gross_Sales]]*RawSalesTable[[#This Row],[Discount_Pct]]</f>
        <v>0</v>
      </c>
      <c r="AA590" s="8">
        <f>RawSalesTable[[#This Row],[Gross_Sales]]-RawSalesTable[[#This Row],[Discount_Amount]]</f>
        <v>242.19</v>
      </c>
      <c r="AB590" s="8">
        <f>RawSalesTable[[#This Row],[Unit_Cost]]*RawSalesTable[[#This Row],[Quantity]]</f>
        <v>131.72999999999999</v>
      </c>
      <c r="AC590" s="8">
        <f>RawSalesTable[[#This Row],[Net_Sales]]-RawSalesTable[[#This Row],[Total_Cost]]</f>
        <v>110.46000000000001</v>
      </c>
      <c r="AD590" s="9">
        <f>RawSalesTable[[#This Row],[Profit]]/RawSalesTable[[#This Row],[Net_Sales]]</f>
        <v>0.45608819521863003</v>
      </c>
      <c r="AE590" s="8">
        <f>IF(RawSalesTable[[#This Row],[Return_Status]]="Yes",1,0)</f>
        <v>0</v>
      </c>
      <c r="AF590" s="8">
        <f>YEAR(RawSalesTable[[#This Row],[Order_Date]])</f>
        <v>2025</v>
      </c>
      <c r="AG590" s="8">
        <f>MONTH(RawSalesTable[[#This Row],[Order_Date]])</f>
        <v>11</v>
      </c>
      <c r="AH590" s="8" t="str">
        <f>TEXT(RawSalesTable[[#This Row],[Order_Date]],"mmmm")</f>
        <v>novembre</v>
      </c>
      <c r="AI590" s="8" t="str">
        <f>IF(RawSalesTable[[#This Row],[Month_Number]]&lt;=3,"Q1",IF(RawSalesTable[[#This Row],[Month_Number]]&lt;=6,"Q2",IF(RawSalesTable[[#This Row],[Month_Number]]&lt;=9,"Q3","Q4")))</f>
        <v>Q4</v>
      </c>
      <c r="AJ590" s="13">
        <f>DATE(YEAR(RawSalesTable[[#This Row],[Order_Date]]),MONTH(RawSalesTable[[#This Row],[Order_Date]]),1)</f>
        <v>45962</v>
      </c>
      <c r="AK590" s="8" t="str">
        <f>VLOOKUP(RawSalesTable[[#This Row],[Customer_ID_clean]],CustomersTable[],4,FALSE)</f>
        <v>Alberta</v>
      </c>
    </row>
    <row r="591" spans="1:37">
      <c r="A591" t="s">
        <v>1028</v>
      </c>
      <c r="B591" s="3">
        <v>45846</v>
      </c>
      <c r="C591" t="s">
        <v>197</v>
      </c>
      <c r="D591" t="s">
        <v>165</v>
      </c>
      <c r="E591" t="s">
        <v>198</v>
      </c>
      <c r="F591" t="s">
        <v>103</v>
      </c>
      <c r="G591" t="s">
        <v>171</v>
      </c>
      <c r="H591" t="s">
        <v>105</v>
      </c>
      <c r="I591">
        <v>1</v>
      </c>
      <c r="J591" s="2">
        <v>102.63</v>
      </c>
      <c r="K591" s="4">
        <v>0.05</v>
      </c>
      <c r="L591" t="s">
        <v>90</v>
      </c>
      <c r="M591">
        <v>3</v>
      </c>
      <c r="N591" t="s">
        <v>91</v>
      </c>
      <c r="O591" t="str">
        <f>SUBSTITUTE(PROPER(TRIM(RawSalesTable[[#This Row],[Channel_Raw]])), "Market Place", "Marketplace")</f>
        <v>Marketplace</v>
      </c>
      <c r="P591" t="str">
        <f>TRIM(RawSalesTable[[#This Row],[Store_Raw]])</f>
        <v>Vancouver West</v>
      </c>
      <c r="Q591" t="str">
        <f>IF(TRIM(RawSalesTable[[#This Row],[Payment_Method_Raw]])="","Non renseigné",SUBSTITUTE(TRIM(RawSalesTable[[#This Row],[Payment_Method_Raw]]),"CC","Credit Card"))</f>
        <v>PayPal</v>
      </c>
      <c r="R591" s="8" t="str">
        <f>UPPER(PROPER(RawSalesTable[[#This Row],[Customer_ID]]))</f>
        <v>C0091</v>
      </c>
      <c r="S591" s="8" t="str">
        <f>TRIM(LEFT(RawSalesTable[[#This Row],[Customer_Info]],FIND(",",RawSalesTable[[#This Row],[Customer_Info]]) -1))</f>
        <v>Leo Taylor</v>
      </c>
      <c r="T591" s="8" t="str">
        <f>TRIM(MID(RawSalesTable[[#This Row],[Customer_Info]],FIND(",",RawSalesTable[[#This Row],[Customer_Info]])+1,FIND(",",RawSalesTable[[#This Row],[Customer_Info]],FIND(",",RawSalesTable[[#This Row],[Customer_Info]])+1)-FIND(",",RawSalesTable[[#This Row],[Customer_Info]])-1))</f>
        <v>Victoria</v>
      </c>
      <c r="U591" s="8" t="str">
        <f>TRIM(RIGHT(RawSalesTable[[#This Row],[Customer_Info]], LEN(RawSalesTable[[#This Row],[Customer_Info]])-FIND(",",RawSalesTable[[#This Row],[Customer_Info]],FIND(",",RawSalesTable[[#This Row],[Customer_Info]])+1)))</f>
        <v>Small Business</v>
      </c>
      <c r="V591" s="8" t="str">
        <f>VLOOKUP(RawSalesTable[[#This Row],[Product_ID]],ProductsTable[],2,FALSE)</f>
        <v>Food Scale</v>
      </c>
      <c r="W591" s="8" t="str">
        <f>VLOOKUP(RawSalesTable[[#This Row],[Product_ID]],ProductsTable[],3,FALSE)</f>
        <v>Home</v>
      </c>
      <c r="X591" s="8">
        <f>VLOOKUP(RawSalesTable[[#This Row],[Product_ID]],ProductsTable[],5,FALSE)</f>
        <v>46.07</v>
      </c>
      <c r="Y591" s="8">
        <f>RawSalesTable[[#This Row],[Quantity]]*RawSalesTable[[#This Row],[Unit_Price]]</f>
        <v>102.63</v>
      </c>
      <c r="Z591" s="8">
        <f>RawSalesTable[[#This Row],[Gross_Sales]]*RawSalesTable[[#This Row],[Discount_Pct]]</f>
        <v>5.1315</v>
      </c>
      <c r="AA591" s="8">
        <f>RawSalesTable[[#This Row],[Gross_Sales]]-RawSalesTable[[#This Row],[Discount_Amount]]</f>
        <v>97.498499999999993</v>
      </c>
      <c r="AB591" s="8">
        <f>RawSalesTable[[#This Row],[Unit_Cost]]*RawSalesTable[[#This Row],[Quantity]]</f>
        <v>46.07</v>
      </c>
      <c r="AC591" s="8">
        <f>RawSalesTable[[#This Row],[Net_Sales]]-RawSalesTable[[#This Row],[Total_Cost]]</f>
        <v>51.428499999999993</v>
      </c>
      <c r="AD591" s="9">
        <f>RawSalesTable[[#This Row],[Profit]]/RawSalesTable[[#This Row],[Net_Sales]]</f>
        <v>0.52747990994733251</v>
      </c>
      <c r="AE591" s="8">
        <f>IF(RawSalesTable[[#This Row],[Return_Status]]="Yes",1,0)</f>
        <v>0</v>
      </c>
      <c r="AF591" s="8">
        <f>YEAR(RawSalesTable[[#This Row],[Order_Date]])</f>
        <v>2025</v>
      </c>
      <c r="AG591" s="8">
        <f>MONTH(RawSalesTable[[#This Row],[Order_Date]])</f>
        <v>7</v>
      </c>
      <c r="AH591" s="8" t="str">
        <f>TEXT(RawSalesTable[[#This Row],[Order_Date]],"mmmm")</f>
        <v>juillet</v>
      </c>
      <c r="AI591" s="8" t="str">
        <f>IF(RawSalesTable[[#This Row],[Month_Number]]&lt;=3,"Q1",IF(RawSalesTable[[#This Row],[Month_Number]]&lt;=6,"Q2",IF(RawSalesTable[[#This Row],[Month_Number]]&lt;=9,"Q3","Q4")))</f>
        <v>Q3</v>
      </c>
      <c r="AJ591" s="13">
        <f>DATE(YEAR(RawSalesTable[[#This Row],[Order_Date]]),MONTH(RawSalesTable[[#This Row],[Order_Date]]),1)</f>
        <v>45839</v>
      </c>
      <c r="AK591" s="8" t="str">
        <f>VLOOKUP(RawSalesTable[[#This Row],[Customer_ID_clean]],CustomersTable[],4,FALSE)</f>
        <v>British Columbia</v>
      </c>
    </row>
    <row r="592" spans="1:37">
      <c r="A592" t="s">
        <v>1029</v>
      </c>
      <c r="B592" s="3">
        <v>45664</v>
      </c>
      <c r="C592" t="s">
        <v>243</v>
      </c>
      <c r="D592" t="s">
        <v>261</v>
      </c>
      <c r="E592" t="s">
        <v>245</v>
      </c>
      <c r="F592" t="s">
        <v>116</v>
      </c>
      <c r="G592" t="s">
        <v>122</v>
      </c>
      <c r="H592" t="s">
        <v>89</v>
      </c>
      <c r="I592">
        <v>2</v>
      </c>
      <c r="J592" s="2">
        <v>250.16</v>
      </c>
      <c r="K592" s="4">
        <v>0</v>
      </c>
      <c r="L592" t="s">
        <v>504</v>
      </c>
      <c r="M592">
        <v>7</v>
      </c>
      <c r="N592" t="s">
        <v>91</v>
      </c>
      <c r="O592" t="str">
        <f>SUBSTITUTE(PROPER(TRIM(RawSalesTable[[#This Row],[Channel_Raw]])), "Market Place", "Marketplace")</f>
        <v>Online</v>
      </c>
      <c r="P592" t="str">
        <f>TRIM(RawSalesTable[[#This Row],[Store_Raw]])</f>
        <v>Toronto Downtown</v>
      </c>
      <c r="Q592" t="str">
        <f>IF(TRIM(RawSalesTable[[#This Row],[Payment_Method_Raw]])="","Non renseigné",SUBSTITUTE(TRIM(RawSalesTable[[#This Row],[Payment_Method_Raw]]),"CC","Credit Card"))</f>
        <v>Debit Card</v>
      </c>
      <c r="R592" s="8" t="str">
        <f>UPPER(PROPER(RawSalesTable[[#This Row],[Customer_ID]]))</f>
        <v>C0048</v>
      </c>
      <c r="S592" s="8" t="str">
        <f>TRIM(LEFT(RawSalesTable[[#This Row],[Customer_Info]],FIND(",",RawSalesTable[[#This Row],[Customer_Info]]) -1))</f>
        <v>Amelia Brown</v>
      </c>
      <c r="T592" s="8" t="str">
        <f>TRIM(MID(RawSalesTable[[#This Row],[Customer_Info]],FIND(",",RawSalesTable[[#This Row],[Customer_Info]])+1,FIND(",",RawSalesTable[[#This Row],[Customer_Info]],FIND(",",RawSalesTable[[#This Row],[Customer_Info]])+1)-FIND(",",RawSalesTable[[#This Row],[Customer_Info]])-1))</f>
        <v>Quebec City</v>
      </c>
      <c r="U592" s="8" t="str">
        <f>TRIM(RIGHT(RawSalesTable[[#This Row],[Customer_Info]], LEN(RawSalesTable[[#This Row],[Customer_Info]])-FIND(",",RawSalesTable[[#This Row],[Customer_Info]],FIND(",",RawSalesTable[[#This Row],[Customer_Info]])+1)))</f>
        <v>Corporate</v>
      </c>
      <c r="V592" s="8" t="str">
        <f>VLOOKUP(RawSalesTable[[#This Row],[Product_ID]],ProductsTable[],2,FALSE)</f>
        <v>Dumbbell Set</v>
      </c>
      <c r="W592" s="8" t="str">
        <f>VLOOKUP(RawSalesTable[[#This Row],[Product_ID]],ProductsTable[],3,FALSE)</f>
        <v>Fitness</v>
      </c>
      <c r="X592" s="8">
        <f>VLOOKUP(RawSalesTable[[#This Row],[Product_ID]],ProductsTable[],5,FALSE)</f>
        <v>131.72999999999999</v>
      </c>
      <c r="Y592" s="8">
        <f>RawSalesTable[[#This Row],[Quantity]]*RawSalesTable[[#This Row],[Unit_Price]]</f>
        <v>500.32</v>
      </c>
      <c r="Z592" s="8">
        <f>RawSalesTable[[#This Row],[Gross_Sales]]*RawSalesTable[[#This Row],[Discount_Pct]]</f>
        <v>0</v>
      </c>
      <c r="AA592" s="8">
        <f>RawSalesTable[[#This Row],[Gross_Sales]]-RawSalesTable[[#This Row],[Discount_Amount]]</f>
        <v>500.32</v>
      </c>
      <c r="AB592" s="8">
        <f>RawSalesTable[[#This Row],[Unit_Cost]]*RawSalesTable[[#This Row],[Quantity]]</f>
        <v>263.45999999999998</v>
      </c>
      <c r="AC592" s="8">
        <f>RawSalesTable[[#This Row],[Net_Sales]]-RawSalesTable[[#This Row],[Total_Cost]]</f>
        <v>236.86</v>
      </c>
      <c r="AD592" s="9">
        <f>RawSalesTable[[#This Row],[Profit]]/RawSalesTable[[#This Row],[Net_Sales]]</f>
        <v>0.47341701311160861</v>
      </c>
      <c r="AE592" s="8">
        <f>IF(RawSalesTable[[#This Row],[Return_Status]]="Yes",1,0)</f>
        <v>0</v>
      </c>
      <c r="AF592" s="8">
        <f>YEAR(RawSalesTable[[#This Row],[Order_Date]])</f>
        <v>2025</v>
      </c>
      <c r="AG592" s="8">
        <f>MONTH(RawSalesTable[[#This Row],[Order_Date]])</f>
        <v>1</v>
      </c>
      <c r="AH592" s="8" t="str">
        <f>TEXT(RawSalesTable[[#This Row],[Order_Date]],"mmmm")</f>
        <v>janvier</v>
      </c>
      <c r="AI592" s="8" t="str">
        <f>IF(RawSalesTable[[#This Row],[Month_Number]]&lt;=3,"Q1",IF(RawSalesTable[[#This Row],[Month_Number]]&lt;=6,"Q2",IF(RawSalesTable[[#This Row],[Month_Number]]&lt;=9,"Q3","Q4")))</f>
        <v>Q1</v>
      </c>
      <c r="AJ592" s="13">
        <f>DATE(YEAR(RawSalesTable[[#This Row],[Order_Date]]),MONTH(RawSalesTable[[#This Row],[Order_Date]]),1)</f>
        <v>45658</v>
      </c>
      <c r="AK592" s="8" t="str">
        <f>VLOOKUP(RawSalesTable[[#This Row],[Customer_ID_clean]],CustomersTable[],4,FALSE)</f>
        <v>Quebec</v>
      </c>
    </row>
    <row r="593" spans="1:37">
      <c r="A593" t="s">
        <v>1030</v>
      </c>
      <c r="B593" s="3">
        <v>45705</v>
      </c>
      <c r="C593" t="s">
        <v>338</v>
      </c>
      <c r="D593" t="s">
        <v>252</v>
      </c>
      <c r="E593" t="s">
        <v>339</v>
      </c>
      <c r="F593" t="s">
        <v>111</v>
      </c>
      <c r="G593" t="s">
        <v>183</v>
      </c>
      <c r="H593" t="s">
        <v>228</v>
      </c>
      <c r="I593">
        <v>1</v>
      </c>
      <c r="J593" s="2">
        <v>285.14999999999998</v>
      </c>
      <c r="K593" s="4">
        <v>0.05</v>
      </c>
      <c r="L593" t="s">
        <v>98</v>
      </c>
      <c r="M593">
        <v>5</v>
      </c>
      <c r="N593" t="s">
        <v>91</v>
      </c>
      <c r="O593" t="str">
        <f>SUBSTITUTE(PROPER(TRIM(RawSalesTable[[#This Row],[Channel_Raw]])), "Market Place", "Marketplace")</f>
        <v>Online</v>
      </c>
      <c r="P593" t="str">
        <f>TRIM(RawSalesTable[[#This Row],[Store_Raw]])</f>
        <v>Montreal Central</v>
      </c>
      <c r="Q593" t="str">
        <f>IF(TRIM(RawSalesTable[[#This Row],[Payment_Method_Raw]])="","Non renseigné",SUBSTITUTE(TRIM(RawSalesTable[[#This Row],[Payment_Method_Raw]]),"CC","Credit Card"))</f>
        <v>Debit Card</v>
      </c>
      <c r="R593" s="8" t="str">
        <f>UPPER(PROPER(RawSalesTable[[#This Row],[Customer_ID]]))</f>
        <v>C0047</v>
      </c>
      <c r="S593" s="8" t="str">
        <f>TRIM(LEFT(RawSalesTable[[#This Row],[Customer_Info]],FIND(",",RawSalesTable[[#This Row],[Customer_Info]]) -1))</f>
        <v>Amine King</v>
      </c>
      <c r="T593" s="8" t="str">
        <f>TRIM(MID(RawSalesTable[[#This Row],[Customer_Info]],FIND(",",RawSalesTable[[#This Row],[Customer_Info]])+1,FIND(",",RawSalesTable[[#This Row],[Customer_Info]],FIND(",",RawSalesTable[[#This Row],[Customer_Info]])+1)-FIND(",",RawSalesTable[[#This Row],[Customer_Info]])-1))</f>
        <v>Victoria</v>
      </c>
      <c r="U593" s="8" t="str">
        <f>TRIM(RIGHT(RawSalesTable[[#This Row],[Customer_Info]], LEN(RawSalesTable[[#This Row],[Customer_Info]])-FIND(",",RawSalesTable[[#This Row],[Customer_Info]],FIND(",",RawSalesTable[[#This Row],[Customer_Info]])+1)))</f>
        <v>Consumer</v>
      </c>
      <c r="V593" s="8" t="str">
        <f>VLOOKUP(RawSalesTable[[#This Row],[Product_ID]],ProductsTable[],2,FALSE)</f>
        <v>Vacuum</v>
      </c>
      <c r="W593" s="8" t="str">
        <f>VLOOKUP(RawSalesTable[[#This Row],[Product_ID]],ProductsTable[],3,FALSE)</f>
        <v>Home</v>
      </c>
      <c r="X593" s="8">
        <f>VLOOKUP(RawSalesTable[[#This Row],[Product_ID]],ProductsTable[],5,FALSE)</f>
        <v>186.94</v>
      </c>
      <c r="Y593" s="8">
        <f>RawSalesTable[[#This Row],[Quantity]]*RawSalesTable[[#This Row],[Unit_Price]]</f>
        <v>285.14999999999998</v>
      </c>
      <c r="Z593" s="8">
        <f>RawSalesTable[[#This Row],[Gross_Sales]]*RawSalesTable[[#This Row],[Discount_Pct]]</f>
        <v>14.2575</v>
      </c>
      <c r="AA593" s="8">
        <f>RawSalesTable[[#This Row],[Gross_Sales]]-RawSalesTable[[#This Row],[Discount_Amount]]</f>
        <v>270.89249999999998</v>
      </c>
      <c r="AB593" s="8">
        <f>RawSalesTable[[#This Row],[Unit_Cost]]*RawSalesTable[[#This Row],[Quantity]]</f>
        <v>186.94</v>
      </c>
      <c r="AC593" s="8">
        <f>RawSalesTable[[#This Row],[Net_Sales]]-RawSalesTable[[#This Row],[Total_Cost]]</f>
        <v>83.952499999999986</v>
      </c>
      <c r="AD593" s="9">
        <f>RawSalesTable[[#This Row],[Profit]]/RawSalesTable[[#This Row],[Net_Sales]]</f>
        <v>0.30991075795749234</v>
      </c>
      <c r="AE593" s="8">
        <f>IF(RawSalesTable[[#This Row],[Return_Status]]="Yes",1,0)</f>
        <v>0</v>
      </c>
      <c r="AF593" s="8">
        <f>YEAR(RawSalesTable[[#This Row],[Order_Date]])</f>
        <v>2025</v>
      </c>
      <c r="AG593" s="8">
        <f>MONTH(RawSalesTable[[#This Row],[Order_Date]])</f>
        <v>2</v>
      </c>
      <c r="AH593" s="8" t="str">
        <f>TEXT(RawSalesTable[[#This Row],[Order_Date]],"mmmm")</f>
        <v>février</v>
      </c>
      <c r="AI593" s="8" t="str">
        <f>IF(RawSalesTable[[#This Row],[Month_Number]]&lt;=3,"Q1",IF(RawSalesTable[[#This Row],[Month_Number]]&lt;=6,"Q2",IF(RawSalesTable[[#This Row],[Month_Number]]&lt;=9,"Q3","Q4")))</f>
        <v>Q1</v>
      </c>
      <c r="AJ593" s="13">
        <f>DATE(YEAR(RawSalesTable[[#This Row],[Order_Date]]),MONTH(RawSalesTable[[#This Row],[Order_Date]]),1)</f>
        <v>45689</v>
      </c>
      <c r="AK593" s="8" t="str">
        <f>VLOOKUP(RawSalesTable[[#This Row],[Customer_ID_clean]],CustomersTable[],4,FALSE)</f>
        <v>British Columbia</v>
      </c>
    </row>
    <row r="594" spans="1:37">
      <c r="A594" t="s">
        <v>1031</v>
      </c>
      <c r="B594" s="3">
        <v>45775</v>
      </c>
      <c r="C594" t="s">
        <v>497</v>
      </c>
      <c r="D594" t="s">
        <v>738</v>
      </c>
      <c r="E594" t="s">
        <v>1032</v>
      </c>
      <c r="F594" t="s">
        <v>116</v>
      </c>
      <c r="G594" t="s">
        <v>88</v>
      </c>
      <c r="H594" t="s">
        <v>97</v>
      </c>
      <c r="I594">
        <v>2</v>
      </c>
      <c r="J594" s="2">
        <v>334.51</v>
      </c>
      <c r="K594" s="4">
        <v>0.15</v>
      </c>
      <c r="L594" t="s">
        <v>253</v>
      </c>
      <c r="M594">
        <v>1</v>
      </c>
      <c r="N594" t="s">
        <v>91</v>
      </c>
      <c r="O594" t="str">
        <f>SUBSTITUTE(PROPER(TRIM(RawSalesTable[[#This Row],[Channel_Raw]])), "Market Place", "Marketplace")</f>
        <v>Retail Store</v>
      </c>
      <c r="P594" t="str">
        <f>TRIM(RawSalesTable[[#This Row],[Store_Raw]])</f>
        <v>Toronto Downtown</v>
      </c>
      <c r="Q594" t="str">
        <f>IF(TRIM(RawSalesTable[[#This Row],[Payment_Method_Raw]])="","Non renseigné",SUBSTITUTE(TRIM(RawSalesTable[[#This Row],[Payment_Method_Raw]]),"CC","Credit Card"))</f>
        <v>Credit Card</v>
      </c>
      <c r="R594" s="8" t="str">
        <f>UPPER(PROPER(RawSalesTable[[#This Row],[Customer_ID]]))</f>
        <v>C0022</v>
      </c>
      <c r="S594" s="8" t="str">
        <f>TRIM(LEFT(RawSalesTable[[#This Row],[Customer_Info]],FIND(",",RawSalesTable[[#This Row],[Customer_Info]]) -1))</f>
        <v>Adam White</v>
      </c>
      <c r="T594" s="8" t="str">
        <f>TRIM(MID(RawSalesTable[[#This Row],[Customer_Info]],FIND(",",RawSalesTable[[#This Row],[Customer_Info]])+1,FIND(",",RawSalesTable[[#This Row],[Customer_Info]],FIND(",",RawSalesTable[[#This Row],[Customer_Info]])+1)-FIND(",",RawSalesTable[[#This Row],[Customer_Info]])-1))</f>
        <v>Victoria</v>
      </c>
      <c r="U594" s="8" t="str">
        <f>TRIM(RIGHT(RawSalesTable[[#This Row],[Customer_Info]], LEN(RawSalesTable[[#This Row],[Customer_Info]])-FIND(",",RawSalesTable[[#This Row],[Customer_Info]],FIND(",",RawSalesTable[[#This Row],[Customer_Info]])+1)))</f>
        <v>Consumer</v>
      </c>
      <c r="V594" s="8" t="str">
        <f>VLOOKUP(RawSalesTable[[#This Row],[Product_ID]],ProductsTable[],2,FALSE)</f>
        <v>Printer</v>
      </c>
      <c r="W594" s="8" t="str">
        <f>VLOOKUP(RawSalesTable[[#This Row],[Product_ID]],ProductsTable[],3,FALSE)</f>
        <v>Office</v>
      </c>
      <c r="X594" s="8">
        <f>VLOOKUP(RawSalesTable[[#This Row],[Product_ID]],ProductsTable[],5,FALSE)</f>
        <v>156.75</v>
      </c>
      <c r="Y594" s="8">
        <f>RawSalesTable[[#This Row],[Quantity]]*RawSalesTable[[#This Row],[Unit_Price]]</f>
        <v>669.02</v>
      </c>
      <c r="Z594" s="8">
        <f>RawSalesTable[[#This Row],[Gross_Sales]]*RawSalesTable[[#This Row],[Discount_Pct]]</f>
        <v>100.35299999999999</v>
      </c>
      <c r="AA594" s="8">
        <f>RawSalesTable[[#This Row],[Gross_Sales]]-RawSalesTable[[#This Row],[Discount_Amount]]</f>
        <v>568.66700000000003</v>
      </c>
      <c r="AB594" s="8">
        <f>RawSalesTable[[#This Row],[Unit_Cost]]*RawSalesTable[[#This Row],[Quantity]]</f>
        <v>313.5</v>
      </c>
      <c r="AC594" s="8">
        <f>RawSalesTable[[#This Row],[Net_Sales]]-RawSalesTable[[#This Row],[Total_Cost]]</f>
        <v>255.16700000000003</v>
      </c>
      <c r="AD594" s="9">
        <f>RawSalesTable[[#This Row],[Profit]]/RawSalesTable[[#This Row],[Net_Sales]]</f>
        <v>0.44871075691045903</v>
      </c>
      <c r="AE594" s="8">
        <f>IF(RawSalesTable[[#This Row],[Return_Status]]="Yes",1,0)</f>
        <v>0</v>
      </c>
      <c r="AF594" s="8">
        <f>YEAR(RawSalesTable[[#This Row],[Order_Date]])</f>
        <v>2025</v>
      </c>
      <c r="AG594" s="8">
        <f>MONTH(RawSalesTable[[#This Row],[Order_Date]])</f>
        <v>4</v>
      </c>
      <c r="AH594" s="8" t="str">
        <f>TEXT(RawSalesTable[[#This Row],[Order_Date]],"mmmm")</f>
        <v>avril</v>
      </c>
      <c r="AI594" s="8" t="str">
        <f>IF(RawSalesTable[[#This Row],[Month_Number]]&lt;=3,"Q1",IF(RawSalesTable[[#This Row],[Month_Number]]&lt;=6,"Q2",IF(RawSalesTable[[#This Row],[Month_Number]]&lt;=9,"Q3","Q4")))</f>
        <v>Q2</v>
      </c>
      <c r="AJ594" s="13">
        <f>DATE(YEAR(RawSalesTable[[#This Row],[Order_Date]]),MONTH(RawSalesTable[[#This Row],[Order_Date]]),1)</f>
        <v>45748</v>
      </c>
      <c r="AK594" s="8" t="str">
        <f>VLOOKUP(RawSalesTable[[#This Row],[Customer_ID_clean]],CustomersTable[],4,FALSE)</f>
        <v>British Columbia</v>
      </c>
    </row>
    <row r="595" spans="1:37">
      <c r="A595" t="s">
        <v>1033</v>
      </c>
      <c r="B595" s="3">
        <v>45849</v>
      </c>
      <c r="C595" t="s">
        <v>239</v>
      </c>
      <c r="D595" t="s">
        <v>190</v>
      </c>
      <c r="E595" t="s">
        <v>240</v>
      </c>
      <c r="F595" t="s">
        <v>87</v>
      </c>
      <c r="G595" t="s">
        <v>88</v>
      </c>
      <c r="H595" t="s">
        <v>308</v>
      </c>
      <c r="I595">
        <v>3</v>
      </c>
      <c r="J595" s="2">
        <v>286.7</v>
      </c>
      <c r="K595" s="4">
        <v>0</v>
      </c>
      <c r="L595" t="s">
        <v>90</v>
      </c>
      <c r="M595">
        <v>6</v>
      </c>
      <c r="N595" t="s">
        <v>91</v>
      </c>
      <c r="O595" t="str">
        <f>SUBSTITUTE(PROPER(TRIM(RawSalesTable[[#This Row],[Channel_Raw]])), "Market Place", "Marketplace")</f>
        <v>Online</v>
      </c>
      <c r="P595" t="str">
        <f>TRIM(RawSalesTable[[#This Row],[Store_Raw]])</f>
        <v>Online Fulfillment</v>
      </c>
      <c r="Q595" t="str">
        <f>IF(TRIM(RawSalesTable[[#This Row],[Payment_Method_Raw]])="","Non renseigné",SUBSTITUTE(TRIM(RawSalesTable[[#This Row],[Payment_Method_Raw]]),"CC","Credit Card"))</f>
        <v>PayPal</v>
      </c>
      <c r="R595" s="8" t="str">
        <f>UPPER(PROPER(RawSalesTable[[#This Row],[Customer_ID]]))</f>
        <v>C0089</v>
      </c>
      <c r="S595" s="8" t="str">
        <f>TRIM(LEFT(RawSalesTable[[#This Row],[Customer_Info]],FIND(",",RawSalesTable[[#This Row],[Customer_Info]]) -1))</f>
        <v>Lucas Martin</v>
      </c>
      <c r="T595" s="8" t="str">
        <f>TRIM(MID(RawSalesTable[[#This Row],[Customer_Info]],FIND(",",RawSalesTable[[#This Row],[Customer_Info]])+1,FIND(",",RawSalesTable[[#This Row],[Customer_Info]],FIND(",",RawSalesTable[[#This Row],[Customer_Info]])+1)-FIND(",",RawSalesTable[[#This Row],[Customer_Info]])-1))</f>
        <v>Vancouver</v>
      </c>
      <c r="U595" s="8" t="str">
        <f>TRIM(RIGHT(RawSalesTable[[#This Row],[Customer_Info]], LEN(RawSalesTable[[#This Row],[Customer_Info]])-FIND(",",RawSalesTable[[#This Row],[Customer_Info]],FIND(",",RawSalesTable[[#This Row],[Customer_Info]])+1)))</f>
        <v>Consumer</v>
      </c>
      <c r="V595" s="8" t="str">
        <f>VLOOKUP(RawSalesTable[[#This Row],[Product_ID]],ProductsTable[],2,FALSE)</f>
        <v>Webcam</v>
      </c>
      <c r="W595" s="8" t="str">
        <f>VLOOKUP(RawSalesTable[[#This Row],[Product_ID]],ProductsTable[],3,FALSE)</f>
        <v>Electronics</v>
      </c>
      <c r="X595" s="8">
        <f>VLOOKUP(RawSalesTable[[#This Row],[Product_ID]],ProductsTable[],5,FALSE)</f>
        <v>154.72999999999999</v>
      </c>
      <c r="Y595" s="8">
        <f>RawSalesTable[[#This Row],[Quantity]]*RawSalesTable[[#This Row],[Unit_Price]]</f>
        <v>860.09999999999991</v>
      </c>
      <c r="Z595" s="8">
        <f>RawSalesTable[[#This Row],[Gross_Sales]]*RawSalesTable[[#This Row],[Discount_Pct]]</f>
        <v>0</v>
      </c>
      <c r="AA595" s="8">
        <f>RawSalesTable[[#This Row],[Gross_Sales]]-RawSalesTable[[#This Row],[Discount_Amount]]</f>
        <v>860.09999999999991</v>
      </c>
      <c r="AB595" s="8">
        <f>RawSalesTable[[#This Row],[Unit_Cost]]*RawSalesTable[[#This Row],[Quantity]]</f>
        <v>464.18999999999994</v>
      </c>
      <c r="AC595" s="8">
        <f>RawSalesTable[[#This Row],[Net_Sales]]-RawSalesTable[[#This Row],[Total_Cost]]</f>
        <v>395.90999999999997</v>
      </c>
      <c r="AD595" s="9">
        <f>RawSalesTable[[#This Row],[Profit]]/RawSalesTable[[#This Row],[Net_Sales]]</f>
        <v>0.46030694105336589</v>
      </c>
      <c r="AE595" s="8">
        <f>IF(RawSalesTable[[#This Row],[Return_Status]]="Yes",1,0)</f>
        <v>0</v>
      </c>
      <c r="AF595" s="8">
        <f>YEAR(RawSalesTable[[#This Row],[Order_Date]])</f>
        <v>2025</v>
      </c>
      <c r="AG595" s="8">
        <f>MONTH(RawSalesTable[[#This Row],[Order_Date]])</f>
        <v>7</v>
      </c>
      <c r="AH595" s="8" t="str">
        <f>TEXT(RawSalesTable[[#This Row],[Order_Date]],"mmmm")</f>
        <v>juillet</v>
      </c>
      <c r="AI595" s="8" t="str">
        <f>IF(RawSalesTable[[#This Row],[Month_Number]]&lt;=3,"Q1",IF(RawSalesTable[[#This Row],[Month_Number]]&lt;=6,"Q2",IF(RawSalesTable[[#This Row],[Month_Number]]&lt;=9,"Q3","Q4")))</f>
        <v>Q3</v>
      </c>
      <c r="AJ595" s="13">
        <f>DATE(YEAR(RawSalesTable[[#This Row],[Order_Date]]),MONTH(RawSalesTable[[#This Row],[Order_Date]]),1)</f>
        <v>45839</v>
      </c>
      <c r="AK595" s="8" t="str">
        <f>VLOOKUP(RawSalesTable[[#This Row],[Customer_ID_clean]],CustomersTable[],4,FALSE)</f>
        <v>British Columbia</v>
      </c>
    </row>
    <row r="596" spans="1:37">
      <c r="A596" t="s">
        <v>1034</v>
      </c>
      <c r="B596" s="3">
        <v>45747</v>
      </c>
      <c r="C596" t="s">
        <v>265</v>
      </c>
      <c r="D596" t="s">
        <v>255</v>
      </c>
      <c r="E596" t="s">
        <v>266</v>
      </c>
      <c r="F596" t="s">
        <v>87</v>
      </c>
      <c r="G596" t="s">
        <v>88</v>
      </c>
      <c r="H596" t="s">
        <v>89</v>
      </c>
      <c r="I596">
        <v>1</v>
      </c>
      <c r="J596" s="2">
        <v>227.24</v>
      </c>
      <c r="K596" s="4">
        <v>0.1</v>
      </c>
      <c r="L596" t="s">
        <v>521</v>
      </c>
      <c r="M596">
        <v>5</v>
      </c>
      <c r="N596" t="s">
        <v>91</v>
      </c>
      <c r="O596" t="str">
        <f>SUBSTITUTE(PROPER(TRIM(RawSalesTable[[#This Row],[Channel_Raw]])), "Market Place", "Marketplace")</f>
        <v>Online</v>
      </c>
      <c r="P596" t="str">
        <f>TRIM(RawSalesTable[[#This Row],[Store_Raw]])</f>
        <v>Online Fulfillment</v>
      </c>
      <c r="Q596" t="str">
        <f>IF(TRIM(RawSalesTable[[#This Row],[Payment_Method_Raw]])="","Non renseigné",SUBSTITUTE(TRIM(RawSalesTable[[#This Row],[Payment_Method_Raw]]),"CC","Credit Card"))</f>
        <v>debit card</v>
      </c>
      <c r="R596" s="8" t="str">
        <f>UPPER(PROPER(RawSalesTable[[#This Row],[Customer_ID]]))</f>
        <v>C0020</v>
      </c>
      <c r="S596" s="8" t="str">
        <f>TRIM(LEFT(RawSalesTable[[#This Row],[Customer_Info]],FIND(",",RawSalesTable[[#This Row],[Customer_Info]]) -1))</f>
        <v>Nora Khan</v>
      </c>
      <c r="T596" s="8" t="str">
        <f>TRIM(MID(RawSalesTable[[#This Row],[Customer_Info]],FIND(",",RawSalesTable[[#This Row],[Customer_Info]])+1,FIND(",",RawSalesTable[[#This Row],[Customer_Info]],FIND(",",RawSalesTable[[#This Row],[Customer_Info]])+1)-FIND(",",RawSalesTable[[#This Row],[Customer_Info]])-1))</f>
        <v>Mississauga</v>
      </c>
      <c r="U596" s="8" t="str">
        <f>TRIM(RIGHT(RawSalesTable[[#This Row],[Customer_Info]], LEN(RawSalesTable[[#This Row],[Customer_Info]])-FIND(",",RawSalesTable[[#This Row],[Customer_Info]],FIND(",",RawSalesTable[[#This Row],[Customer_Info]])+1)))</f>
        <v>Consumer</v>
      </c>
      <c r="V596" s="8" t="str">
        <f>VLOOKUP(RawSalesTable[[#This Row],[Product_ID]],ProductsTable[],2,FALSE)</f>
        <v>Document Shredder</v>
      </c>
      <c r="W596" s="8" t="str">
        <f>VLOOKUP(RawSalesTable[[#This Row],[Product_ID]],ProductsTable[],3,FALSE)</f>
        <v>Office</v>
      </c>
      <c r="X596" s="8">
        <f>VLOOKUP(RawSalesTable[[#This Row],[Product_ID]],ProductsTable[],5,FALSE)</f>
        <v>117.65</v>
      </c>
      <c r="Y596" s="8">
        <f>RawSalesTable[[#This Row],[Quantity]]*RawSalesTable[[#This Row],[Unit_Price]]</f>
        <v>227.24</v>
      </c>
      <c r="Z596" s="8">
        <f>RawSalesTable[[#This Row],[Gross_Sales]]*RawSalesTable[[#This Row],[Discount_Pct]]</f>
        <v>22.724000000000004</v>
      </c>
      <c r="AA596" s="8">
        <f>RawSalesTable[[#This Row],[Gross_Sales]]-RawSalesTable[[#This Row],[Discount_Amount]]</f>
        <v>204.51600000000002</v>
      </c>
      <c r="AB596" s="8">
        <f>RawSalesTable[[#This Row],[Unit_Cost]]*RawSalesTable[[#This Row],[Quantity]]</f>
        <v>117.65</v>
      </c>
      <c r="AC596" s="8">
        <f>RawSalesTable[[#This Row],[Net_Sales]]-RawSalesTable[[#This Row],[Total_Cost]]</f>
        <v>86.866000000000014</v>
      </c>
      <c r="AD596" s="9">
        <f>RawSalesTable[[#This Row],[Profit]]/RawSalesTable[[#This Row],[Net_Sales]]</f>
        <v>0.4247393846936181</v>
      </c>
      <c r="AE596" s="8">
        <f>IF(RawSalesTable[[#This Row],[Return_Status]]="Yes",1,0)</f>
        <v>0</v>
      </c>
      <c r="AF596" s="8">
        <f>YEAR(RawSalesTable[[#This Row],[Order_Date]])</f>
        <v>2025</v>
      </c>
      <c r="AG596" s="8">
        <f>MONTH(RawSalesTable[[#This Row],[Order_Date]])</f>
        <v>3</v>
      </c>
      <c r="AH596" s="8" t="str">
        <f>TEXT(RawSalesTable[[#This Row],[Order_Date]],"mmmm")</f>
        <v>mars</v>
      </c>
      <c r="AI596" s="8" t="str">
        <f>IF(RawSalesTable[[#This Row],[Month_Number]]&lt;=3,"Q1",IF(RawSalesTable[[#This Row],[Month_Number]]&lt;=6,"Q2",IF(RawSalesTable[[#This Row],[Month_Number]]&lt;=9,"Q3","Q4")))</f>
        <v>Q1</v>
      </c>
      <c r="AJ596" s="13">
        <f>DATE(YEAR(RawSalesTable[[#This Row],[Order_Date]]),MONTH(RawSalesTable[[#This Row],[Order_Date]]),1)</f>
        <v>45717</v>
      </c>
      <c r="AK596" s="8" t="str">
        <f>VLOOKUP(RawSalesTable[[#This Row],[Customer_ID_clean]],CustomersTable[],4,FALSE)</f>
        <v>Ontario</v>
      </c>
    </row>
    <row r="597" spans="1:37">
      <c r="A597" t="s">
        <v>1035</v>
      </c>
      <c r="B597" s="3">
        <v>45916</v>
      </c>
      <c r="C597" t="s">
        <v>406</v>
      </c>
      <c r="D597" t="s">
        <v>109</v>
      </c>
      <c r="E597" t="s">
        <v>407</v>
      </c>
      <c r="F597" t="s">
        <v>116</v>
      </c>
      <c r="G597" t="s">
        <v>183</v>
      </c>
      <c r="H597" t="s">
        <v>105</v>
      </c>
      <c r="I597">
        <v>4</v>
      </c>
      <c r="J597" s="2">
        <v>197.43</v>
      </c>
      <c r="K597" s="4">
        <v>0</v>
      </c>
      <c r="L597" t="s">
        <v>253</v>
      </c>
      <c r="M597">
        <v>4</v>
      </c>
      <c r="N597" t="s">
        <v>91</v>
      </c>
      <c r="O597" t="str">
        <f>SUBSTITUTE(PROPER(TRIM(RawSalesTable[[#This Row],[Channel_Raw]])), "Market Place", "Marketplace")</f>
        <v>Marketplace</v>
      </c>
      <c r="P597" t="str">
        <f>TRIM(RawSalesTable[[#This Row],[Store_Raw]])</f>
        <v>Toronto Downtown</v>
      </c>
      <c r="Q597" t="str">
        <f>IF(TRIM(RawSalesTable[[#This Row],[Payment_Method_Raw]])="","Non renseigné",SUBSTITUTE(TRIM(RawSalesTable[[#This Row],[Payment_Method_Raw]]),"CC","Credit Card"))</f>
        <v>Credit Card</v>
      </c>
      <c r="R597" s="8" t="str">
        <f>UPPER(PROPER(RawSalesTable[[#This Row],[Customer_ID]]))</f>
        <v>C0038</v>
      </c>
      <c r="S597" s="8" t="str">
        <f>TRIM(LEFT(RawSalesTable[[#This Row],[Customer_Info]],FIND(",",RawSalesTable[[#This Row],[Customer_Info]]) -1))</f>
        <v>Noah Brown</v>
      </c>
      <c r="T597" s="8" t="str">
        <f>TRIM(MID(RawSalesTable[[#This Row],[Customer_Info]],FIND(",",RawSalesTable[[#This Row],[Customer_Info]])+1,FIND(",",RawSalesTable[[#This Row],[Customer_Info]],FIND(",",RawSalesTable[[#This Row],[Customer_Info]])+1)-FIND(",",RawSalesTable[[#This Row],[Customer_Info]])-1))</f>
        <v>Montreal</v>
      </c>
      <c r="U597" s="8" t="str">
        <f>TRIM(RIGHT(RawSalesTable[[#This Row],[Customer_Info]], LEN(RawSalesTable[[#This Row],[Customer_Info]])-FIND(",",RawSalesTable[[#This Row],[Customer_Info]],FIND(",",RawSalesTable[[#This Row],[Customer_Info]])+1)))</f>
        <v>Consumer</v>
      </c>
      <c r="V597" s="8" t="str">
        <f>VLOOKUP(RawSalesTable[[#This Row],[Product_ID]],ProductsTable[],2,FALSE)</f>
        <v>Gym Bag</v>
      </c>
      <c r="W597" s="8" t="str">
        <f>VLOOKUP(RawSalesTable[[#This Row],[Product_ID]],ProductsTable[],3,FALSE)</f>
        <v>Fitness</v>
      </c>
      <c r="X597" s="8">
        <f>VLOOKUP(RawSalesTable[[#This Row],[Product_ID]],ProductsTable[],5,FALSE)</f>
        <v>132.72</v>
      </c>
      <c r="Y597" s="8">
        <f>RawSalesTable[[#This Row],[Quantity]]*RawSalesTable[[#This Row],[Unit_Price]]</f>
        <v>789.72</v>
      </c>
      <c r="Z597" s="8">
        <f>RawSalesTable[[#This Row],[Gross_Sales]]*RawSalesTable[[#This Row],[Discount_Pct]]</f>
        <v>0</v>
      </c>
      <c r="AA597" s="8">
        <f>RawSalesTable[[#This Row],[Gross_Sales]]-RawSalesTable[[#This Row],[Discount_Amount]]</f>
        <v>789.72</v>
      </c>
      <c r="AB597" s="8">
        <f>RawSalesTable[[#This Row],[Unit_Cost]]*RawSalesTable[[#This Row],[Quantity]]</f>
        <v>530.88</v>
      </c>
      <c r="AC597" s="8">
        <f>RawSalesTable[[#This Row],[Net_Sales]]-RawSalesTable[[#This Row],[Total_Cost]]</f>
        <v>258.84000000000003</v>
      </c>
      <c r="AD597" s="9">
        <f>RawSalesTable[[#This Row],[Profit]]/RawSalesTable[[#This Row],[Net_Sales]]</f>
        <v>0.32776173833763866</v>
      </c>
      <c r="AE597" s="8">
        <f>IF(RawSalesTable[[#This Row],[Return_Status]]="Yes",1,0)</f>
        <v>0</v>
      </c>
      <c r="AF597" s="8">
        <f>YEAR(RawSalesTable[[#This Row],[Order_Date]])</f>
        <v>2025</v>
      </c>
      <c r="AG597" s="8">
        <f>MONTH(RawSalesTable[[#This Row],[Order_Date]])</f>
        <v>9</v>
      </c>
      <c r="AH597" s="8" t="str">
        <f>TEXT(RawSalesTable[[#This Row],[Order_Date]],"mmmm")</f>
        <v>septembre</v>
      </c>
      <c r="AI597" s="8" t="str">
        <f>IF(RawSalesTable[[#This Row],[Month_Number]]&lt;=3,"Q1",IF(RawSalesTable[[#This Row],[Month_Number]]&lt;=6,"Q2",IF(RawSalesTable[[#This Row],[Month_Number]]&lt;=9,"Q3","Q4")))</f>
        <v>Q3</v>
      </c>
      <c r="AJ597" s="13">
        <f>DATE(YEAR(RawSalesTable[[#This Row],[Order_Date]]),MONTH(RawSalesTable[[#This Row],[Order_Date]]),1)</f>
        <v>45901</v>
      </c>
      <c r="AK597" s="8" t="str">
        <f>VLOOKUP(RawSalesTable[[#This Row],[Customer_ID_clean]],CustomersTable[],4,FALSE)</f>
        <v>Quebec</v>
      </c>
    </row>
    <row r="598" spans="1:37">
      <c r="A598" t="s">
        <v>1036</v>
      </c>
      <c r="B598" s="3">
        <v>45728</v>
      </c>
      <c r="C598" t="s">
        <v>389</v>
      </c>
      <c r="D598" t="s">
        <v>244</v>
      </c>
      <c r="E598" t="s">
        <v>390</v>
      </c>
      <c r="F598" t="s">
        <v>116</v>
      </c>
      <c r="G598" t="s">
        <v>122</v>
      </c>
      <c r="H598" t="s">
        <v>89</v>
      </c>
      <c r="I598">
        <v>1</v>
      </c>
      <c r="J598" s="2">
        <v>247.8</v>
      </c>
      <c r="K598" s="4">
        <v>0.2</v>
      </c>
      <c r="L598" t="s">
        <v>369</v>
      </c>
      <c r="M598">
        <v>3</v>
      </c>
      <c r="N598" t="s">
        <v>91</v>
      </c>
      <c r="O598" t="str">
        <f>SUBSTITUTE(PROPER(TRIM(RawSalesTable[[#This Row],[Channel_Raw]])), "Market Place", "Marketplace")</f>
        <v>Online</v>
      </c>
      <c r="P598" t="str">
        <f>TRIM(RawSalesTable[[#This Row],[Store_Raw]])</f>
        <v>Toronto Downtown</v>
      </c>
      <c r="Q598" t="str">
        <f>IF(TRIM(RawSalesTable[[#This Row],[Payment_Method_Raw]])="","Non renseigné",SUBSTITUTE(TRIM(RawSalesTable[[#This Row],[Payment_Method_Raw]]),"CC","Credit Card"))</f>
        <v>Paypal</v>
      </c>
      <c r="R598" s="8" t="str">
        <f>UPPER(PROPER(RawSalesTable[[#This Row],[Customer_ID]]))</f>
        <v>C0103</v>
      </c>
      <c r="S598" s="8" t="str">
        <f>TRIM(LEFT(RawSalesTable[[#This Row],[Customer_Info]],FIND(",",RawSalesTable[[#This Row],[Customer_Info]]) -1))</f>
        <v>Zoe Singh</v>
      </c>
      <c r="T598" s="8" t="str">
        <f>TRIM(MID(RawSalesTable[[#This Row],[Customer_Info]],FIND(",",RawSalesTable[[#This Row],[Customer_Info]])+1,FIND(",",RawSalesTable[[#This Row],[Customer_Info]],FIND(",",RawSalesTable[[#This Row],[Customer_Info]])+1)-FIND(",",RawSalesTable[[#This Row],[Customer_Info]])-1))</f>
        <v>Saskatoon</v>
      </c>
      <c r="U598" s="8" t="str">
        <f>TRIM(RIGHT(RawSalesTable[[#This Row],[Customer_Info]], LEN(RawSalesTable[[#This Row],[Customer_Info]])-FIND(",",RawSalesTable[[#This Row],[Customer_Info]],FIND(",",RawSalesTable[[#This Row],[Customer_Info]])+1)))</f>
        <v>Corporate</v>
      </c>
      <c r="V598" s="8" t="str">
        <f>VLOOKUP(RawSalesTable[[#This Row],[Product_ID]],ProductsTable[],2,FALSE)</f>
        <v>Portable SSD</v>
      </c>
      <c r="W598" s="8" t="str">
        <f>VLOOKUP(RawSalesTable[[#This Row],[Product_ID]],ProductsTable[],3,FALSE)</f>
        <v>Electronics</v>
      </c>
      <c r="X598" s="8">
        <f>VLOOKUP(RawSalesTable[[#This Row],[Product_ID]],ProductsTable[],5,FALSE)</f>
        <v>131.19</v>
      </c>
      <c r="Y598" s="8">
        <f>RawSalesTable[[#This Row],[Quantity]]*RawSalesTable[[#This Row],[Unit_Price]]</f>
        <v>247.8</v>
      </c>
      <c r="Z598" s="8">
        <f>RawSalesTable[[#This Row],[Gross_Sales]]*RawSalesTable[[#This Row],[Discount_Pct]]</f>
        <v>49.56</v>
      </c>
      <c r="AA598" s="8">
        <f>RawSalesTable[[#This Row],[Gross_Sales]]-RawSalesTable[[#This Row],[Discount_Amount]]</f>
        <v>198.24</v>
      </c>
      <c r="AB598" s="8">
        <f>RawSalesTable[[#This Row],[Unit_Cost]]*RawSalesTable[[#This Row],[Quantity]]</f>
        <v>131.19</v>
      </c>
      <c r="AC598" s="8">
        <f>RawSalesTable[[#This Row],[Net_Sales]]-RawSalesTable[[#This Row],[Total_Cost]]</f>
        <v>67.050000000000011</v>
      </c>
      <c r="AD598" s="9">
        <f>RawSalesTable[[#This Row],[Profit]]/RawSalesTable[[#This Row],[Net_Sales]]</f>
        <v>0.338226392251816</v>
      </c>
      <c r="AE598" s="8">
        <f>IF(RawSalesTable[[#This Row],[Return_Status]]="Yes",1,0)</f>
        <v>0</v>
      </c>
      <c r="AF598" s="8">
        <f>YEAR(RawSalesTable[[#This Row],[Order_Date]])</f>
        <v>2025</v>
      </c>
      <c r="AG598" s="8">
        <f>MONTH(RawSalesTable[[#This Row],[Order_Date]])</f>
        <v>3</v>
      </c>
      <c r="AH598" s="8" t="str">
        <f>TEXT(RawSalesTable[[#This Row],[Order_Date]],"mmmm")</f>
        <v>mars</v>
      </c>
      <c r="AI598" s="8" t="str">
        <f>IF(RawSalesTable[[#This Row],[Month_Number]]&lt;=3,"Q1",IF(RawSalesTable[[#This Row],[Month_Number]]&lt;=6,"Q2",IF(RawSalesTable[[#This Row],[Month_Number]]&lt;=9,"Q3","Q4")))</f>
        <v>Q1</v>
      </c>
      <c r="AJ598" s="13">
        <f>DATE(YEAR(RawSalesTable[[#This Row],[Order_Date]]),MONTH(RawSalesTable[[#This Row],[Order_Date]]),1)</f>
        <v>45717</v>
      </c>
      <c r="AK598" s="8" t="str">
        <f>VLOOKUP(RawSalesTable[[#This Row],[Customer_ID_clean]],CustomersTable[],4,FALSE)</f>
        <v>Saskatchewan</v>
      </c>
    </row>
    <row r="599" spans="1:37">
      <c r="A599" t="s">
        <v>1037</v>
      </c>
      <c r="B599" s="3">
        <v>45756</v>
      </c>
      <c r="C599" t="s">
        <v>417</v>
      </c>
      <c r="D599" t="s">
        <v>181</v>
      </c>
      <c r="E599" t="s">
        <v>419</v>
      </c>
      <c r="F599" t="s">
        <v>111</v>
      </c>
      <c r="G599" t="s">
        <v>88</v>
      </c>
      <c r="H599" t="s">
        <v>89</v>
      </c>
      <c r="I599">
        <v>1</v>
      </c>
      <c r="J599" s="2">
        <v>347.2</v>
      </c>
      <c r="K599" s="4">
        <v>0.25</v>
      </c>
      <c r="L599" t="s">
        <v>441</v>
      </c>
      <c r="M599">
        <v>3</v>
      </c>
      <c r="N599" t="s">
        <v>91</v>
      </c>
      <c r="O599" t="str">
        <f>SUBSTITUTE(PROPER(TRIM(RawSalesTable[[#This Row],[Channel_Raw]])), "Market Place", "Marketplace")</f>
        <v>Online</v>
      </c>
      <c r="P599" t="str">
        <f>TRIM(RawSalesTable[[#This Row],[Store_Raw]])</f>
        <v>Montreal Central</v>
      </c>
      <c r="Q599" t="str">
        <f>IF(TRIM(RawSalesTable[[#This Row],[Payment_Method_Raw]])="","Non renseigné",SUBSTITUTE(TRIM(RawSalesTable[[#This Row],[Payment_Method_Raw]]),"CC","Credit Card"))</f>
        <v>credit card</v>
      </c>
      <c r="R599" s="8" t="str">
        <f>UPPER(PROPER(RawSalesTable[[#This Row],[Customer_ID]]))</f>
        <v>C0079</v>
      </c>
      <c r="S599" s="8" t="str">
        <f>TRIM(LEFT(RawSalesTable[[#This Row],[Customer_Info]],FIND(",",RawSalesTable[[#This Row],[Customer_Info]]) -1))</f>
        <v>Sophia Scott</v>
      </c>
      <c r="T599" s="8" t="str">
        <f>TRIM(MID(RawSalesTable[[#This Row],[Customer_Info]],FIND(",",RawSalesTable[[#This Row],[Customer_Info]])+1,FIND(",",RawSalesTable[[#This Row],[Customer_Info]],FIND(",",RawSalesTable[[#This Row],[Customer_Info]])+1)-FIND(",",RawSalesTable[[#This Row],[Customer_Info]])-1))</f>
        <v>Ottawa</v>
      </c>
      <c r="U599" s="8" t="str">
        <f>TRIM(RIGHT(RawSalesTable[[#This Row],[Customer_Info]], LEN(RawSalesTable[[#This Row],[Customer_Info]])-FIND(",",RawSalesTable[[#This Row],[Customer_Info]],FIND(",",RawSalesTable[[#This Row],[Customer_Info]])+1)))</f>
        <v>Consumer</v>
      </c>
      <c r="V599" s="8" t="str">
        <f>VLOOKUP(RawSalesTable[[#This Row],[Product_ID]],ProductsTable[],2,FALSE)</f>
        <v>Monitor</v>
      </c>
      <c r="W599" s="8" t="str">
        <f>VLOOKUP(RawSalesTable[[#This Row],[Product_ID]],ProductsTable[],3,FALSE)</f>
        <v>Electronics</v>
      </c>
      <c r="X599" s="8">
        <f>VLOOKUP(RawSalesTable[[#This Row],[Product_ID]],ProductsTable[],5,FALSE)</f>
        <v>224.47</v>
      </c>
      <c r="Y599" s="8">
        <f>RawSalesTable[[#This Row],[Quantity]]*RawSalesTable[[#This Row],[Unit_Price]]</f>
        <v>347.2</v>
      </c>
      <c r="Z599" s="8">
        <f>RawSalesTable[[#This Row],[Gross_Sales]]*RawSalesTable[[#This Row],[Discount_Pct]]</f>
        <v>86.8</v>
      </c>
      <c r="AA599" s="8">
        <f>RawSalesTable[[#This Row],[Gross_Sales]]-RawSalesTable[[#This Row],[Discount_Amount]]</f>
        <v>260.39999999999998</v>
      </c>
      <c r="AB599" s="8">
        <f>RawSalesTable[[#This Row],[Unit_Cost]]*RawSalesTable[[#This Row],[Quantity]]</f>
        <v>224.47</v>
      </c>
      <c r="AC599" s="8">
        <f>RawSalesTable[[#This Row],[Net_Sales]]-RawSalesTable[[#This Row],[Total_Cost]]</f>
        <v>35.929999999999978</v>
      </c>
      <c r="AD599" s="9">
        <f>RawSalesTable[[#This Row],[Profit]]/RawSalesTable[[#This Row],[Net_Sales]]</f>
        <v>0.13798003072196613</v>
      </c>
      <c r="AE599" s="8">
        <f>IF(RawSalesTable[[#This Row],[Return_Status]]="Yes",1,0)</f>
        <v>0</v>
      </c>
      <c r="AF599" s="8">
        <f>YEAR(RawSalesTable[[#This Row],[Order_Date]])</f>
        <v>2025</v>
      </c>
      <c r="AG599" s="8">
        <f>MONTH(RawSalesTable[[#This Row],[Order_Date]])</f>
        <v>4</v>
      </c>
      <c r="AH599" s="8" t="str">
        <f>TEXT(RawSalesTable[[#This Row],[Order_Date]],"mmmm")</f>
        <v>avril</v>
      </c>
      <c r="AI599" s="8" t="str">
        <f>IF(RawSalesTable[[#This Row],[Month_Number]]&lt;=3,"Q1",IF(RawSalesTable[[#This Row],[Month_Number]]&lt;=6,"Q2",IF(RawSalesTable[[#This Row],[Month_Number]]&lt;=9,"Q3","Q4")))</f>
        <v>Q2</v>
      </c>
      <c r="AJ599" s="13">
        <f>DATE(YEAR(RawSalesTable[[#This Row],[Order_Date]]),MONTH(RawSalesTable[[#This Row],[Order_Date]]),1)</f>
        <v>45748</v>
      </c>
      <c r="AK599" s="8" t="str">
        <f>VLOOKUP(RawSalesTable[[#This Row],[Customer_ID_clean]],CustomersTable[],4,FALSE)</f>
        <v>Ontario</v>
      </c>
    </row>
    <row r="600" spans="1:37">
      <c r="A600" t="s">
        <v>1038</v>
      </c>
      <c r="B600" s="3">
        <v>45936</v>
      </c>
      <c r="C600" t="s">
        <v>338</v>
      </c>
      <c r="D600" t="s">
        <v>143</v>
      </c>
      <c r="E600" t="s">
        <v>339</v>
      </c>
      <c r="F600" t="s">
        <v>145</v>
      </c>
      <c r="G600" t="s">
        <v>130</v>
      </c>
      <c r="H600" t="s">
        <v>97</v>
      </c>
      <c r="I600">
        <v>2</v>
      </c>
      <c r="J600" s="2">
        <v>269.25</v>
      </c>
      <c r="K600" s="4">
        <v>0.15</v>
      </c>
      <c r="L600" t="s">
        <v>106</v>
      </c>
      <c r="M600">
        <v>4</v>
      </c>
      <c r="N600" t="s">
        <v>91</v>
      </c>
      <c r="O600" t="str">
        <f>SUBSTITUTE(PROPER(TRIM(RawSalesTable[[#This Row],[Channel_Raw]])), "Market Place", "Marketplace")</f>
        <v>Retail Store</v>
      </c>
      <c r="P600" t="str">
        <f>TRIM(RawSalesTable[[#This Row],[Store_Raw]])</f>
        <v>Calgary North</v>
      </c>
      <c r="Q600" t="str">
        <f>IF(TRIM(RawSalesTable[[#This Row],[Payment_Method_Raw]])="","Non renseigné",SUBSTITUTE(TRIM(RawSalesTable[[#This Row],[Payment_Method_Raw]]),"CC","Credit Card"))</f>
        <v>Credit Card</v>
      </c>
      <c r="R600" s="8" t="str">
        <f>UPPER(PROPER(RawSalesTable[[#This Row],[Customer_ID]]))</f>
        <v>C0047</v>
      </c>
      <c r="S600" s="8" t="str">
        <f>TRIM(LEFT(RawSalesTable[[#This Row],[Customer_Info]],FIND(",",RawSalesTable[[#This Row],[Customer_Info]]) -1))</f>
        <v>Amine King</v>
      </c>
      <c r="T600" s="8" t="str">
        <f>TRIM(MID(RawSalesTable[[#This Row],[Customer_Info]],FIND(",",RawSalesTable[[#This Row],[Customer_Info]])+1,FIND(",",RawSalesTable[[#This Row],[Customer_Info]],FIND(",",RawSalesTable[[#This Row],[Customer_Info]])+1)-FIND(",",RawSalesTable[[#This Row],[Customer_Info]])-1))</f>
        <v>Victoria</v>
      </c>
      <c r="U600" s="8" t="str">
        <f>TRIM(RIGHT(RawSalesTable[[#This Row],[Customer_Info]], LEN(RawSalesTable[[#This Row],[Customer_Info]])-FIND(",",RawSalesTable[[#This Row],[Customer_Info]],FIND(",",RawSalesTable[[#This Row],[Customer_Info]])+1)))</f>
        <v>Consumer</v>
      </c>
      <c r="V600" s="8" t="str">
        <f>VLOOKUP(RawSalesTable[[#This Row],[Product_ID]],ProductsTable[],2,FALSE)</f>
        <v>Water Bottle</v>
      </c>
      <c r="W600" s="8" t="str">
        <f>VLOOKUP(RawSalesTable[[#This Row],[Product_ID]],ProductsTable[],3,FALSE)</f>
        <v>Accessories</v>
      </c>
      <c r="X600" s="8">
        <f>VLOOKUP(RawSalesTable[[#This Row],[Product_ID]],ProductsTable[],5,FALSE)</f>
        <v>119.16</v>
      </c>
      <c r="Y600" s="8">
        <f>RawSalesTable[[#This Row],[Quantity]]*RawSalesTable[[#This Row],[Unit_Price]]</f>
        <v>538.5</v>
      </c>
      <c r="Z600" s="8">
        <f>RawSalesTable[[#This Row],[Gross_Sales]]*RawSalesTable[[#This Row],[Discount_Pct]]</f>
        <v>80.774999999999991</v>
      </c>
      <c r="AA600" s="8">
        <f>RawSalesTable[[#This Row],[Gross_Sales]]-RawSalesTable[[#This Row],[Discount_Amount]]</f>
        <v>457.72500000000002</v>
      </c>
      <c r="AB600" s="8">
        <f>RawSalesTable[[#This Row],[Unit_Cost]]*RawSalesTable[[#This Row],[Quantity]]</f>
        <v>238.32</v>
      </c>
      <c r="AC600" s="8">
        <f>RawSalesTable[[#This Row],[Net_Sales]]-RawSalesTable[[#This Row],[Total_Cost]]</f>
        <v>219.40500000000003</v>
      </c>
      <c r="AD600" s="9">
        <f>RawSalesTable[[#This Row],[Profit]]/RawSalesTable[[#This Row],[Net_Sales]]</f>
        <v>0.47933803047681472</v>
      </c>
      <c r="AE600" s="8">
        <f>IF(RawSalesTable[[#This Row],[Return_Status]]="Yes",1,0)</f>
        <v>0</v>
      </c>
      <c r="AF600" s="8">
        <f>YEAR(RawSalesTable[[#This Row],[Order_Date]])</f>
        <v>2025</v>
      </c>
      <c r="AG600" s="8">
        <f>MONTH(RawSalesTable[[#This Row],[Order_Date]])</f>
        <v>10</v>
      </c>
      <c r="AH600" s="8" t="str">
        <f>TEXT(RawSalesTable[[#This Row],[Order_Date]],"mmmm")</f>
        <v>octobre</v>
      </c>
      <c r="AI600" s="8" t="str">
        <f>IF(RawSalesTable[[#This Row],[Month_Number]]&lt;=3,"Q1",IF(RawSalesTable[[#This Row],[Month_Number]]&lt;=6,"Q2",IF(RawSalesTable[[#This Row],[Month_Number]]&lt;=9,"Q3","Q4")))</f>
        <v>Q4</v>
      </c>
      <c r="AJ600" s="13">
        <f>DATE(YEAR(RawSalesTable[[#This Row],[Order_Date]]),MONTH(RawSalesTable[[#This Row],[Order_Date]]),1)</f>
        <v>45931</v>
      </c>
      <c r="AK600" s="8" t="str">
        <f>VLOOKUP(RawSalesTable[[#This Row],[Customer_ID_clean]],CustomersTable[],4,FALSE)</f>
        <v>British Columbia</v>
      </c>
    </row>
    <row r="601" spans="1:37">
      <c r="A601" t="s">
        <v>1039</v>
      </c>
      <c r="B601" s="3">
        <v>45831</v>
      </c>
      <c r="C601" t="s">
        <v>472</v>
      </c>
      <c r="D601" t="s">
        <v>109</v>
      </c>
      <c r="E601" t="s">
        <v>473</v>
      </c>
      <c r="F601" t="s">
        <v>145</v>
      </c>
      <c r="G601" t="s">
        <v>88</v>
      </c>
      <c r="H601" t="s">
        <v>89</v>
      </c>
      <c r="I601">
        <v>2</v>
      </c>
      <c r="J601" s="2">
        <v>203.99</v>
      </c>
      <c r="K601" s="4">
        <v>0</v>
      </c>
      <c r="L601" t="s">
        <v>106</v>
      </c>
      <c r="M601">
        <v>3</v>
      </c>
      <c r="N601" t="s">
        <v>91</v>
      </c>
      <c r="O601" t="str">
        <f>SUBSTITUTE(PROPER(TRIM(RawSalesTable[[#This Row],[Channel_Raw]])), "Market Place", "Marketplace")</f>
        <v>Online</v>
      </c>
      <c r="P601" t="str">
        <f>TRIM(RawSalesTable[[#This Row],[Store_Raw]])</f>
        <v>Calgary North</v>
      </c>
      <c r="Q601" t="str">
        <f>IF(TRIM(RawSalesTable[[#This Row],[Payment_Method_Raw]])="","Non renseigné",SUBSTITUTE(TRIM(RawSalesTable[[#This Row],[Payment_Method_Raw]]),"CC","Credit Card"))</f>
        <v>Credit Card</v>
      </c>
      <c r="R601" s="8" t="str">
        <f>UPPER(PROPER(RawSalesTable[[#This Row],[Customer_ID]]))</f>
        <v>C0018</v>
      </c>
      <c r="S601" s="8" t="str">
        <f>TRIM(LEFT(RawSalesTable[[#This Row],[Customer_Info]],FIND(",",RawSalesTable[[#This Row],[Customer_Info]]) -1))</f>
        <v>Sophia Tremblay</v>
      </c>
      <c r="T601" s="8" t="str">
        <f>TRIM(MID(RawSalesTable[[#This Row],[Customer_Info]],FIND(",",RawSalesTable[[#This Row],[Customer_Info]])+1,FIND(",",RawSalesTable[[#This Row],[Customer_Info]],FIND(",",RawSalesTable[[#This Row],[Customer_Info]])+1)-FIND(",",RawSalesTable[[#This Row],[Customer_Info]])-1))</f>
        <v>Laval</v>
      </c>
      <c r="U601" s="8" t="str">
        <f>TRIM(RIGHT(RawSalesTable[[#This Row],[Customer_Info]], LEN(RawSalesTable[[#This Row],[Customer_Info]])-FIND(",",RawSalesTable[[#This Row],[Customer_Info]],FIND(",",RawSalesTable[[#This Row],[Customer_Info]])+1)))</f>
        <v>Small Business</v>
      </c>
      <c r="V601" s="8" t="str">
        <f>VLOOKUP(RawSalesTable[[#This Row],[Product_ID]],ProductsTable[],2,FALSE)</f>
        <v>Gym Bag</v>
      </c>
      <c r="W601" s="8" t="str">
        <f>VLOOKUP(RawSalesTable[[#This Row],[Product_ID]],ProductsTable[],3,FALSE)</f>
        <v>Fitness</v>
      </c>
      <c r="X601" s="8">
        <f>VLOOKUP(RawSalesTable[[#This Row],[Product_ID]],ProductsTable[],5,FALSE)</f>
        <v>132.72</v>
      </c>
      <c r="Y601" s="8">
        <f>RawSalesTable[[#This Row],[Quantity]]*RawSalesTable[[#This Row],[Unit_Price]]</f>
        <v>407.98</v>
      </c>
      <c r="Z601" s="8">
        <f>RawSalesTable[[#This Row],[Gross_Sales]]*RawSalesTable[[#This Row],[Discount_Pct]]</f>
        <v>0</v>
      </c>
      <c r="AA601" s="8">
        <f>RawSalesTable[[#This Row],[Gross_Sales]]-RawSalesTable[[#This Row],[Discount_Amount]]</f>
        <v>407.98</v>
      </c>
      <c r="AB601" s="8">
        <f>RawSalesTable[[#This Row],[Unit_Cost]]*RawSalesTable[[#This Row],[Quantity]]</f>
        <v>265.44</v>
      </c>
      <c r="AC601" s="8">
        <f>RawSalesTable[[#This Row],[Net_Sales]]-RawSalesTable[[#This Row],[Total_Cost]]</f>
        <v>142.54000000000002</v>
      </c>
      <c r="AD601" s="9">
        <f>RawSalesTable[[#This Row],[Profit]]/RawSalesTable[[#This Row],[Net_Sales]]</f>
        <v>0.34937987156233152</v>
      </c>
      <c r="AE601" s="8">
        <f>IF(RawSalesTable[[#This Row],[Return_Status]]="Yes",1,0)</f>
        <v>0</v>
      </c>
      <c r="AF601" s="8">
        <f>YEAR(RawSalesTable[[#This Row],[Order_Date]])</f>
        <v>2025</v>
      </c>
      <c r="AG601" s="8">
        <f>MONTH(RawSalesTable[[#This Row],[Order_Date]])</f>
        <v>6</v>
      </c>
      <c r="AH601" s="8" t="str">
        <f>TEXT(RawSalesTable[[#This Row],[Order_Date]],"mmmm")</f>
        <v>juin</v>
      </c>
      <c r="AI601" s="8" t="str">
        <f>IF(RawSalesTable[[#This Row],[Month_Number]]&lt;=3,"Q1",IF(RawSalesTable[[#This Row],[Month_Number]]&lt;=6,"Q2",IF(RawSalesTable[[#This Row],[Month_Number]]&lt;=9,"Q3","Q4")))</f>
        <v>Q2</v>
      </c>
      <c r="AJ601" s="13">
        <f>DATE(YEAR(RawSalesTable[[#This Row],[Order_Date]]),MONTH(RawSalesTable[[#This Row],[Order_Date]]),1)</f>
        <v>45809</v>
      </c>
      <c r="AK601" s="8" t="str">
        <f>VLOOKUP(RawSalesTable[[#This Row],[Customer_ID_clean]],CustomersTable[],4,FALSE)</f>
        <v>Quebec</v>
      </c>
    </row>
    <row r="602" spans="1:37">
      <c r="A602" t="s">
        <v>1040</v>
      </c>
      <c r="B602" s="3">
        <v>45842</v>
      </c>
      <c r="C602" t="s">
        <v>523</v>
      </c>
      <c r="D602" t="s">
        <v>194</v>
      </c>
      <c r="E602" t="s">
        <v>524</v>
      </c>
      <c r="F602" t="s">
        <v>87</v>
      </c>
      <c r="G602" t="s">
        <v>130</v>
      </c>
      <c r="H602" t="s">
        <v>89</v>
      </c>
      <c r="I602">
        <v>2</v>
      </c>
      <c r="J602" s="2">
        <v>212.05</v>
      </c>
      <c r="K602" s="4">
        <v>0</v>
      </c>
      <c r="L602" t="s">
        <v>106</v>
      </c>
      <c r="M602">
        <v>2</v>
      </c>
      <c r="N602" t="s">
        <v>91</v>
      </c>
      <c r="O602" t="str">
        <f>SUBSTITUTE(PROPER(TRIM(RawSalesTable[[#This Row],[Channel_Raw]])), "Market Place", "Marketplace")</f>
        <v>Online</v>
      </c>
      <c r="P602" t="str">
        <f>TRIM(RawSalesTable[[#This Row],[Store_Raw]])</f>
        <v>Online Fulfillment</v>
      </c>
      <c r="Q602" t="str">
        <f>IF(TRIM(RawSalesTable[[#This Row],[Payment_Method_Raw]])="","Non renseigné",SUBSTITUTE(TRIM(RawSalesTable[[#This Row],[Payment_Method_Raw]]),"CC","Credit Card"))</f>
        <v>Credit Card</v>
      </c>
      <c r="R602" s="8" t="str">
        <f>UPPER(PROPER(RawSalesTable[[#This Row],[Customer_ID]]))</f>
        <v>C0115</v>
      </c>
      <c r="S602" s="8" t="str">
        <f>TRIM(LEFT(RawSalesTable[[#This Row],[Customer_Info]],FIND(",",RawSalesTable[[#This Row],[Customer_Info]]) -1))</f>
        <v>Nora Lee</v>
      </c>
      <c r="T602" s="8" t="str">
        <f>TRIM(MID(RawSalesTable[[#This Row],[Customer_Info]],FIND(",",RawSalesTable[[#This Row],[Customer_Info]])+1,FIND(",",RawSalesTable[[#This Row],[Customer_Info]],FIND(",",RawSalesTable[[#This Row],[Customer_Info]])+1)-FIND(",",RawSalesTable[[#This Row],[Customer_Info]])-1))</f>
        <v>Calgary</v>
      </c>
      <c r="U602" s="8" t="str">
        <f>TRIM(RIGHT(RawSalesTable[[#This Row],[Customer_Info]], LEN(RawSalesTable[[#This Row],[Customer_Info]])-FIND(",",RawSalesTable[[#This Row],[Customer_Info]],FIND(",",RawSalesTable[[#This Row],[Customer_Info]])+1)))</f>
        <v>Consumer</v>
      </c>
      <c r="V602" s="8" t="str">
        <f>VLOOKUP(RawSalesTable[[#This Row],[Product_ID]],ProductsTable[],2,FALSE)</f>
        <v>Jump Rope</v>
      </c>
      <c r="W602" s="8" t="str">
        <f>VLOOKUP(RawSalesTable[[#This Row],[Product_ID]],ProductsTable[],3,FALSE)</f>
        <v>Fitness</v>
      </c>
      <c r="X602" s="8">
        <f>VLOOKUP(RawSalesTable[[#This Row],[Product_ID]],ProductsTable[],5,FALSE)</f>
        <v>101</v>
      </c>
      <c r="Y602" s="8">
        <f>RawSalesTable[[#This Row],[Quantity]]*RawSalesTable[[#This Row],[Unit_Price]]</f>
        <v>424.1</v>
      </c>
      <c r="Z602" s="8">
        <f>RawSalesTable[[#This Row],[Gross_Sales]]*RawSalesTable[[#This Row],[Discount_Pct]]</f>
        <v>0</v>
      </c>
      <c r="AA602" s="8">
        <f>RawSalesTable[[#This Row],[Gross_Sales]]-RawSalesTable[[#This Row],[Discount_Amount]]</f>
        <v>424.1</v>
      </c>
      <c r="AB602" s="8">
        <f>RawSalesTable[[#This Row],[Unit_Cost]]*RawSalesTable[[#This Row],[Quantity]]</f>
        <v>202</v>
      </c>
      <c r="AC602" s="8">
        <f>RawSalesTable[[#This Row],[Net_Sales]]-RawSalesTable[[#This Row],[Total_Cost]]</f>
        <v>222.10000000000002</v>
      </c>
      <c r="AD602" s="9">
        <f>RawSalesTable[[#This Row],[Profit]]/RawSalesTable[[#This Row],[Net_Sales]]</f>
        <v>0.52369724121669425</v>
      </c>
      <c r="AE602" s="8">
        <f>IF(RawSalesTable[[#This Row],[Return_Status]]="Yes",1,0)</f>
        <v>0</v>
      </c>
      <c r="AF602" s="8">
        <f>YEAR(RawSalesTable[[#This Row],[Order_Date]])</f>
        <v>2025</v>
      </c>
      <c r="AG602" s="8">
        <f>MONTH(RawSalesTable[[#This Row],[Order_Date]])</f>
        <v>7</v>
      </c>
      <c r="AH602" s="8" t="str">
        <f>TEXT(RawSalesTable[[#This Row],[Order_Date]],"mmmm")</f>
        <v>juillet</v>
      </c>
      <c r="AI602" s="8" t="str">
        <f>IF(RawSalesTable[[#This Row],[Month_Number]]&lt;=3,"Q1",IF(RawSalesTable[[#This Row],[Month_Number]]&lt;=6,"Q2",IF(RawSalesTable[[#This Row],[Month_Number]]&lt;=9,"Q3","Q4")))</f>
        <v>Q3</v>
      </c>
      <c r="AJ602" s="13">
        <f>DATE(YEAR(RawSalesTable[[#This Row],[Order_Date]]),MONTH(RawSalesTable[[#This Row],[Order_Date]]),1)</f>
        <v>45839</v>
      </c>
      <c r="AK602" s="8" t="str">
        <f>VLOOKUP(RawSalesTable[[#This Row],[Customer_ID_clean]],CustomersTable[],4,FALSE)</f>
        <v>Alberta</v>
      </c>
    </row>
    <row r="603" spans="1:37">
      <c r="A603" t="s">
        <v>1041</v>
      </c>
      <c r="B603" s="3">
        <v>45949</v>
      </c>
      <c r="C603" t="s">
        <v>523</v>
      </c>
      <c r="D603" t="s">
        <v>255</v>
      </c>
      <c r="E603" t="s">
        <v>524</v>
      </c>
      <c r="F603" t="s">
        <v>116</v>
      </c>
      <c r="G603" t="s">
        <v>88</v>
      </c>
      <c r="H603" t="s">
        <v>89</v>
      </c>
      <c r="I603">
        <v>1</v>
      </c>
      <c r="J603" s="2">
        <v>228.4</v>
      </c>
      <c r="K603" s="4">
        <v>0.05</v>
      </c>
      <c r="L603" t="s">
        <v>98</v>
      </c>
      <c r="M603">
        <v>7</v>
      </c>
      <c r="N603" t="s">
        <v>91</v>
      </c>
      <c r="O603" t="str">
        <f>SUBSTITUTE(PROPER(TRIM(RawSalesTable[[#This Row],[Channel_Raw]])), "Market Place", "Marketplace")</f>
        <v>Online</v>
      </c>
      <c r="P603" t="str">
        <f>TRIM(RawSalesTable[[#This Row],[Store_Raw]])</f>
        <v>Toronto Downtown</v>
      </c>
      <c r="Q603" t="str">
        <f>IF(TRIM(RawSalesTable[[#This Row],[Payment_Method_Raw]])="","Non renseigné",SUBSTITUTE(TRIM(RawSalesTable[[#This Row],[Payment_Method_Raw]]),"CC","Credit Card"))</f>
        <v>Debit Card</v>
      </c>
      <c r="R603" s="8" t="str">
        <f>UPPER(PROPER(RawSalesTable[[#This Row],[Customer_ID]]))</f>
        <v>C0115</v>
      </c>
      <c r="S603" s="8" t="str">
        <f>TRIM(LEFT(RawSalesTable[[#This Row],[Customer_Info]],FIND(",",RawSalesTable[[#This Row],[Customer_Info]]) -1))</f>
        <v>Nora Lee</v>
      </c>
      <c r="T603" s="8" t="str">
        <f>TRIM(MID(RawSalesTable[[#This Row],[Customer_Info]],FIND(",",RawSalesTable[[#This Row],[Customer_Info]])+1,FIND(",",RawSalesTable[[#This Row],[Customer_Info]],FIND(",",RawSalesTable[[#This Row],[Customer_Info]])+1)-FIND(",",RawSalesTable[[#This Row],[Customer_Info]])-1))</f>
        <v>Calgary</v>
      </c>
      <c r="U603" s="8" t="str">
        <f>TRIM(RIGHT(RawSalesTable[[#This Row],[Customer_Info]], LEN(RawSalesTable[[#This Row],[Customer_Info]])-FIND(",",RawSalesTable[[#This Row],[Customer_Info]],FIND(",",RawSalesTable[[#This Row],[Customer_Info]])+1)))</f>
        <v>Consumer</v>
      </c>
      <c r="V603" s="8" t="str">
        <f>VLOOKUP(RawSalesTable[[#This Row],[Product_ID]],ProductsTable[],2,FALSE)</f>
        <v>Document Shredder</v>
      </c>
      <c r="W603" s="8" t="str">
        <f>VLOOKUP(RawSalesTable[[#This Row],[Product_ID]],ProductsTable[],3,FALSE)</f>
        <v>Office</v>
      </c>
      <c r="X603" s="8">
        <f>VLOOKUP(RawSalesTable[[#This Row],[Product_ID]],ProductsTable[],5,FALSE)</f>
        <v>117.65</v>
      </c>
      <c r="Y603" s="8">
        <f>RawSalesTable[[#This Row],[Quantity]]*RawSalesTable[[#This Row],[Unit_Price]]</f>
        <v>228.4</v>
      </c>
      <c r="Z603" s="8">
        <f>RawSalesTable[[#This Row],[Gross_Sales]]*RawSalesTable[[#This Row],[Discount_Pct]]</f>
        <v>11.420000000000002</v>
      </c>
      <c r="AA603" s="8">
        <f>RawSalesTable[[#This Row],[Gross_Sales]]-RawSalesTable[[#This Row],[Discount_Amount]]</f>
        <v>216.98000000000002</v>
      </c>
      <c r="AB603" s="8">
        <f>RawSalesTable[[#This Row],[Unit_Cost]]*RawSalesTable[[#This Row],[Quantity]]</f>
        <v>117.65</v>
      </c>
      <c r="AC603" s="8">
        <f>RawSalesTable[[#This Row],[Net_Sales]]-RawSalesTable[[#This Row],[Total_Cost]]</f>
        <v>99.330000000000013</v>
      </c>
      <c r="AD603" s="9">
        <f>RawSalesTable[[#This Row],[Profit]]/RawSalesTable[[#This Row],[Net_Sales]]</f>
        <v>0.45778412756936127</v>
      </c>
      <c r="AE603" s="8">
        <f>IF(RawSalesTable[[#This Row],[Return_Status]]="Yes",1,0)</f>
        <v>0</v>
      </c>
      <c r="AF603" s="8">
        <f>YEAR(RawSalesTable[[#This Row],[Order_Date]])</f>
        <v>2025</v>
      </c>
      <c r="AG603" s="8">
        <f>MONTH(RawSalesTable[[#This Row],[Order_Date]])</f>
        <v>10</v>
      </c>
      <c r="AH603" s="8" t="str">
        <f>TEXT(RawSalesTable[[#This Row],[Order_Date]],"mmmm")</f>
        <v>octobre</v>
      </c>
      <c r="AI603" s="8" t="str">
        <f>IF(RawSalesTable[[#This Row],[Month_Number]]&lt;=3,"Q1",IF(RawSalesTable[[#This Row],[Month_Number]]&lt;=6,"Q2",IF(RawSalesTable[[#This Row],[Month_Number]]&lt;=9,"Q3","Q4")))</f>
        <v>Q4</v>
      </c>
      <c r="AJ603" s="13">
        <f>DATE(YEAR(RawSalesTable[[#This Row],[Order_Date]]),MONTH(RawSalesTable[[#This Row],[Order_Date]]),1)</f>
        <v>45931</v>
      </c>
      <c r="AK603" s="8" t="str">
        <f>VLOOKUP(RawSalesTable[[#This Row],[Customer_ID_clean]],CustomersTable[],4,FALSE)</f>
        <v>Alberta</v>
      </c>
    </row>
    <row r="604" spans="1:37">
      <c r="A604" t="s">
        <v>1042</v>
      </c>
      <c r="B604" s="3">
        <v>45679</v>
      </c>
      <c r="C604" t="s">
        <v>197</v>
      </c>
      <c r="D604" t="s">
        <v>85</v>
      </c>
      <c r="E604" t="s">
        <v>198</v>
      </c>
      <c r="F604" t="s">
        <v>145</v>
      </c>
      <c r="G604" t="s">
        <v>122</v>
      </c>
      <c r="H604" t="s">
        <v>89</v>
      </c>
      <c r="I604">
        <v>3</v>
      </c>
      <c r="J604" s="2">
        <v>308.48</v>
      </c>
      <c r="K604" s="4">
        <v>0.2</v>
      </c>
      <c r="L604" t="s">
        <v>98</v>
      </c>
      <c r="M604">
        <v>7</v>
      </c>
      <c r="N604" t="s">
        <v>91</v>
      </c>
      <c r="O604" t="str">
        <f>SUBSTITUTE(PROPER(TRIM(RawSalesTable[[#This Row],[Channel_Raw]])), "Market Place", "Marketplace")</f>
        <v>Online</v>
      </c>
      <c r="P604" t="str">
        <f>TRIM(RawSalesTable[[#This Row],[Store_Raw]])</f>
        <v>Calgary North</v>
      </c>
      <c r="Q604" t="str">
        <f>IF(TRIM(RawSalesTable[[#This Row],[Payment_Method_Raw]])="","Non renseigné",SUBSTITUTE(TRIM(RawSalesTable[[#This Row],[Payment_Method_Raw]]),"CC","Credit Card"))</f>
        <v>Debit Card</v>
      </c>
      <c r="R604" s="8" t="str">
        <f>UPPER(PROPER(RawSalesTable[[#This Row],[Customer_ID]]))</f>
        <v>C0091</v>
      </c>
      <c r="S604" s="8" t="str">
        <f>TRIM(LEFT(RawSalesTable[[#This Row],[Customer_Info]],FIND(",",RawSalesTable[[#This Row],[Customer_Info]]) -1))</f>
        <v>Leo Taylor</v>
      </c>
      <c r="T604" s="8" t="str">
        <f>TRIM(MID(RawSalesTable[[#This Row],[Customer_Info]],FIND(",",RawSalesTable[[#This Row],[Customer_Info]])+1,FIND(",",RawSalesTable[[#This Row],[Customer_Info]],FIND(",",RawSalesTable[[#This Row],[Customer_Info]])+1)-FIND(",",RawSalesTable[[#This Row],[Customer_Info]])-1))</f>
        <v>Victoria</v>
      </c>
      <c r="U604" s="8" t="str">
        <f>TRIM(RIGHT(RawSalesTable[[#This Row],[Customer_Info]], LEN(RawSalesTable[[#This Row],[Customer_Info]])-FIND(",",RawSalesTable[[#This Row],[Customer_Info]],FIND(",",RawSalesTable[[#This Row],[Customer_Info]])+1)))</f>
        <v>Small Business</v>
      </c>
      <c r="V604" s="8" t="str">
        <f>VLOOKUP(RawSalesTable[[#This Row],[Product_ID]],ProductsTable[],2,FALSE)</f>
        <v>Yoga Mat</v>
      </c>
      <c r="W604" s="8" t="str">
        <f>VLOOKUP(RawSalesTable[[#This Row],[Product_ID]],ProductsTable[],3,FALSE)</f>
        <v>Fitness</v>
      </c>
      <c r="X604" s="8">
        <f>VLOOKUP(RawSalesTable[[#This Row],[Product_ID]],ProductsTable[],5,FALSE)</f>
        <v>197.33</v>
      </c>
      <c r="Y604" s="8">
        <f>RawSalesTable[[#This Row],[Quantity]]*RawSalesTable[[#This Row],[Unit_Price]]</f>
        <v>925.44</v>
      </c>
      <c r="Z604" s="8">
        <f>RawSalesTable[[#This Row],[Gross_Sales]]*RawSalesTable[[#This Row],[Discount_Pct]]</f>
        <v>185.08800000000002</v>
      </c>
      <c r="AA604" s="8">
        <f>RawSalesTable[[#This Row],[Gross_Sales]]-RawSalesTable[[#This Row],[Discount_Amount]]</f>
        <v>740.35200000000009</v>
      </c>
      <c r="AB604" s="8">
        <f>RawSalesTable[[#This Row],[Unit_Cost]]*RawSalesTable[[#This Row],[Quantity]]</f>
        <v>591.99</v>
      </c>
      <c r="AC604" s="8">
        <f>RawSalesTable[[#This Row],[Net_Sales]]-RawSalesTable[[#This Row],[Total_Cost]]</f>
        <v>148.36200000000008</v>
      </c>
      <c r="AD604" s="9">
        <f>RawSalesTable[[#This Row],[Profit]]/RawSalesTable[[#This Row],[Net_Sales]]</f>
        <v>0.2003938667012449</v>
      </c>
      <c r="AE604" s="8">
        <f>IF(RawSalesTable[[#This Row],[Return_Status]]="Yes",1,0)</f>
        <v>0</v>
      </c>
      <c r="AF604" s="8">
        <f>YEAR(RawSalesTable[[#This Row],[Order_Date]])</f>
        <v>2025</v>
      </c>
      <c r="AG604" s="8">
        <f>MONTH(RawSalesTable[[#This Row],[Order_Date]])</f>
        <v>1</v>
      </c>
      <c r="AH604" s="8" t="str">
        <f>TEXT(RawSalesTable[[#This Row],[Order_Date]],"mmmm")</f>
        <v>janvier</v>
      </c>
      <c r="AI604" s="8" t="str">
        <f>IF(RawSalesTable[[#This Row],[Month_Number]]&lt;=3,"Q1",IF(RawSalesTable[[#This Row],[Month_Number]]&lt;=6,"Q2",IF(RawSalesTable[[#This Row],[Month_Number]]&lt;=9,"Q3","Q4")))</f>
        <v>Q1</v>
      </c>
      <c r="AJ604" s="13">
        <f>DATE(YEAR(RawSalesTable[[#This Row],[Order_Date]]),MONTH(RawSalesTable[[#This Row],[Order_Date]]),1)</f>
        <v>45658</v>
      </c>
      <c r="AK604" s="8" t="str">
        <f>VLOOKUP(RawSalesTable[[#This Row],[Customer_ID_clean]],CustomersTable[],4,FALSE)</f>
        <v>British Columbia</v>
      </c>
    </row>
    <row r="605" spans="1:37">
      <c r="A605" t="s">
        <v>1043</v>
      </c>
      <c r="B605" s="3">
        <v>45816</v>
      </c>
      <c r="C605" t="s">
        <v>417</v>
      </c>
      <c r="D605" t="s">
        <v>114</v>
      </c>
      <c r="E605" t="s">
        <v>419</v>
      </c>
      <c r="F605" t="s">
        <v>103</v>
      </c>
      <c r="G605" t="s">
        <v>96</v>
      </c>
      <c r="H605" t="s">
        <v>97</v>
      </c>
      <c r="I605">
        <v>1</v>
      </c>
      <c r="J605" s="2">
        <v>137.82</v>
      </c>
      <c r="K605" s="4">
        <v>0.1</v>
      </c>
      <c r="L605" t="s">
        <v>90</v>
      </c>
      <c r="M605">
        <v>2</v>
      </c>
      <c r="N605" t="s">
        <v>91</v>
      </c>
      <c r="O605" t="str">
        <f>SUBSTITUTE(PROPER(TRIM(RawSalesTable[[#This Row],[Channel_Raw]])), "Market Place", "Marketplace")</f>
        <v>Retail Store</v>
      </c>
      <c r="P605" t="str">
        <f>TRIM(RawSalesTable[[#This Row],[Store_Raw]])</f>
        <v>Vancouver West</v>
      </c>
      <c r="Q605" t="str">
        <f>IF(TRIM(RawSalesTable[[#This Row],[Payment_Method_Raw]])="","Non renseigné",SUBSTITUTE(TRIM(RawSalesTable[[#This Row],[Payment_Method_Raw]]),"CC","Credit Card"))</f>
        <v>PayPal</v>
      </c>
      <c r="R605" s="8" t="str">
        <f>UPPER(PROPER(RawSalesTable[[#This Row],[Customer_ID]]))</f>
        <v>C0079</v>
      </c>
      <c r="S605" s="8" t="str">
        <f>TRIM(LEFT(RawSalesTable[[#This Row],[Customer_Info]],FIND(",",RawSalesTable[[#This Row],[Customer_Info]]) -1))</f>
        <v>Sophia Scott</v>
      </c>
      <c r="T605" s="8" t="str">
        <f>TRIM(MID(RawSalesTable[[#This Row],[Customer_Info]],FIND(",",RawSalesTable[[#This Row],[Customer_Info]])+1,FIND(",",RawSalesTable[[#This Row],[Customer_Info]],FIND(",",RawSalesTable[[#This Row],[Customer_Info]])+1)-FIND(",",RawSalesTable[[#This Row],[Customer_Info]])-1))</f>
        <v>Ottawa</v>
      </c>
      <c r="U605" s="8" t="str">
        <f>TRIM(RIGHT(RawSalesTable[[#This Row],[Customer_Info]], LEN(RawSalesTable[[#This Row],[Customer_Info]])-FIND(",",RawSalesTable[[#This Row],[Customer_Info]],FIND(",",RawSalesTable[[#This Row],[Customer_Info]])+1)))</f>
        <v>Consumer</v>
      </c>
      <c r="V605" s="8" t="str">
        <f>VLOOKUP(RawSalesTable[[#This Row],[Product_ID]],ProductsTable[],2,FALSE)</f>
        <v>Laptop Sleeve</v>
      </c>
      <c r="W605" s="8" t="str">
        <f>VLOOKUP(RawSalesTable[[#This Row],[Product_ID]],ProductsTable[],3,FALSE)</f>
        <v>Accessories</v>
      </c>
      <c r="X605" s="8">
        <f>VLOOKUP(RawSalesTable[[#This Row],[Product_ID]],ProductsTable[],5,FALSE)</f>
        <v>78.95</v>
      </c>
      <c r="Y605" s="8">
        <f>RawSalesTable[[#This Row],[Quantity]]*RawSalesTable[[#This Row],[Unit_Price]]</f>
        <v>137.82</v>
      </c>
      <c r="Z605" s="8">
        <f>RawSalesTable[[#This Row],[Gross_Sales]]*RawSalesTable[[#This Row],[Discount_Pct]]</f>
        <v>13.782</v>
      </c>
      <c r="AA605" s="8">
        <f>RawSalesTable[[#This Row],[Gross_Sales]]-RawSalesTable[[#This Row],[Discount_Amount]]</f>
        <v>124.038</v>
      </c>
      <c r="AB605" s="8">
        <f>RawSalesTable[[#This Row],[Unit_Cost]]*RawSalesTable[[#This Row],[Quantity]]</f>
        <v>78.95</v>
      </c>
      <c r="AC605" s="8">
        <f>RawSalesTable[[#This Row],[Net_Sales]]-RawSalesTable[[#This Row],[Total_Cost]]</f>
        <v>45.087999999999994</v>
      </c>
      <c r="AD605" s="9">
        <f>RawSalesTable[[#This Row],[Profit]]/RawSalesTable[[#This Row],[Net_Sales]]</f>
        <v>0.36350150760250888</v>
      </c>
      <c r="AE605" s="8">
        <f>IF(RawSalesTable[[#This Row],[Return_Status]]="Yes",1,0)</f>
        <v>0</v>
      </c>
      <c r="AF605" s="8">
        <f>YEAR(RawSalesTable[[#This Row],[Order_Date]])</f>
        <v>2025</v>
      </c>
      <c r="AG605" s="8">
        <f>MONTH(RawSalesTable[[#This Row],[Order_Date]])</f>
        <v>6</v>
      </c>
      <c r="AH605" s="8" t="str">
        <f>TEXT(RawSalesTable[[#This Row],[Order_Date]],"mmmm")</f>
        <v>juin</v>
      </c>
      <c r="AI605" s="8" t="str">
        <f>IF(RawSalesTable[[#This Row],[Month_Number]]&lt;=3,"Q1",IF(RawSalesTable[[#This Row],[Month_Number]]&lt;=6,"Q2",IF(RawSalesTable[[#This Row],[Month_Number]]&lt;=9,"Q3","Q4")))</f>
        <v>Q2</v>
      </c>
      <c r="AJ605" s="13">
        <f>DATE(YEAR(RawSalesTable[[#This Row],[Order_Date]]),MONTH(RawSalesTable[[#This Row],[Order_Date]]),1)</f>
        <v>45809</v>
      </c>
      <c r="AK605" s="8" t="str">
        <f>VLOOKUP(RawSalesTable[[#This Row],[Customer_ID_clean]],CustomersTable[],4,FALSE)</f>
        <v>Ontario</v>
      </c>
    </row>
    <row r="606" spans="1:37">
      <c r="A606" t="s">
        <v>1044</v>
      </c>
      <c r="B606" s="3">
        <v>45957</v>
      </c>
      <c r="C606" t="s">
        <v>371</v>
      </c>
      <c r="D606" t="s">
        <v>277</v>
      </c>
      <c r="E606" t="s">
        <v>372</v>
      </c>
      <c r="F606" t="s">
        <v>103</v>
      </c>
      <c r="G606" t="s">
        <v>130</v>
      </c>
      <c r="H606" t="s">
        <v>308</v>
      </c>
      <c r="I606">
        <v>1</v>
      </c>
      <c r="J606" s="2">
        <v>355.43</v>
      </c>
      <c r="K606" s="4">
        <v>0.05</v>
      </c>
      <c r="L606" t="s">
        <v>90</v>
      </c>
      <c r="M606">
        <v>4</v>
      </c>
      <c r="N606" t="s">
        <v>91</v>
      </c>
      <c r="O606" t="str">
        <f>SUBSTITUTE(PROPER(TRIM(RawSalesTable[[#This Row],[Channel_Raw]])), "Market Place", "Marketplace")</f>
        <v>Online</v>
      </c>
      <c r="P606" t="str">
        <f>TRIM(RawSalesTable[[#This Row],[Store_Raw]])</f>
        <v>Vancouver West</v>
      </c>
      <c r="Q606" t="str">
        <f>IF(TRIM(RawSalesTable[[#This Row],[Payment_Method_Raw]])="","Non renseigné",SUBSTITUTE(TRIM(RawSalesTable[[#This Row],[Payment_Method_Raw]]),"CC","Credit Card"))</f>
        <v>PayPal</v>
      </c>
      <c r="R606" s="8" t="str">
        <f>UPPER(PROPER(RawSalesTable[[#This Row],[Customer_ID]]))</f>
        <v>C0049</v>
      </c>
      <c r="S606" s="8" t="str">
        <f>TRIM(LEFT(RawSalesTable[[#This Row],[Customer_Info]],FIND(",",RawSalesTable[[#This Row],[Customer_Info]]) -1))</f>
        <v>Olivia Scott</v>
      </c>
      <c r="T606" s="8" t="str">
        <f>TRIM(MID(RawSalesTable[[#This Row],[Customer_Info]],FIND(",",RawSalesTable[[#This Row],[Customer_Info]])+1,FIND(",",RawSalesTable[[#This Row],[Customer_Info]],FIND(",",RawSalesTable[[#This Row],[Customer_Info]])+1)-FIND(",",RawSalesTable[[#This Row],[Customer_Info]])-1))</f>
        <v>Quebec City</v>
      </c>
      <c r="U606" s="8" t="str">
        <f>TRIM(RIGHT(RawSalesTable[[#This Row],[Customer_Info]], LEN(RawSalesTable[[#This Row],[Customer_Info]])-FIND(",",RawSalesTable[[#This Row],[Customer_Info]],FIND(",",RawSalesTable[[#This Row],[Customer_Info]])+1)))</f>
        <v>Consumer</v>
      </c>
      <c r="V606" s="8" t="str">
        <f>VLOOKUP(RawSalesTable[[#This Row],[Product_ID]],ProductsTable[],2,FALSE)</f>
        <v>Headphones</v>
      </c>
      <c r="W606" s="8" t="str">
        <f>VLOOKUP(RawSalesTable[[#This Row],[Product_ID]],ProductsTable[],3,FALSE)</f>
        <v>Electronics</v>
      </c>
      <c r="X606" s="8">
        <f>VLOOKUP(RawSalesTable[[#This Row],[Product_ID]],ProductsTable[],5,FALSE)</f>
        <v>254.6</v>
      </c>
      <c r="Y606" s="8">
        <f>RawSalesTable[[#This Row],[Quantity]]*RawSalesTable[[#This Row],[Unit_Price]]</f>
        <v>355.43</v>
      </c>
      <c r="Z606" s="8">
        <f>RawSalesTable[[#This Row],[Gross_Sales]]*RawSalesTable[[#This Row],[Discount_Pct]]</f>
        <v>17.7715</v>
      </c>
      <c r="AA606" s="8">
        <f>RawSalesTable[[#This Row],[Gross_Sales]]-RawSalesTable[[#This Row],[Discount_Amount]]</f>
        <v>337.6585</v>
      </c>
      <c r="AB606" s="8">
        <f>RawSalesTable[[#This Row],[Unit_Cost]]*RawSalesTable[[#This Row],[Quantity]]</f>
        <v>254.6</v>
      </c>
      <c r="AC606" s="8">
        <f>RawSalesTable[[#This Row],[Net_Sales]]-RawSalesTable[[#This Row],[Total_Cost]]</f>
        <v>83.058500000000009</v>
      </c>
      <c r="AD606" s="9">
        <f>RawSalesTable[[#This Row],[Profit]]/RawSalesTable[[#This Row],[Net_Sales]]</f>
        <v>0.24598373800748391</v>
      </c>
      <c r="AE606" s="8">
        <f>IF(RawSalesTable[[#This Row],[Return_Status]]="Yes",1,0)</f>
        <v>0</v>
      </c>
      <c r="AF606" s="8">
        <f>YEAR(RawSalesTable[[#This Row],[Order_Date]])</f>
        <v>2025</v>
      </c>
      <c r="AG606" s="8">
        <f>MONTH(RawSalesTable[[#This Row],[Order_Date]])</f>
        <v>10</v>
      </c>
      <c r="AH606" s="8" t="str">
        <f>TEXT(RawSalesTable[[#This Row],[Order_Date]],"mmmm")</f>
        <v>octobre</v>
      </c>
      <c r="AI606" s="8" t="str">
        <f>IF(RawSalesTable[[#This Row],[Month_Number]]&lt;=3,"Q1",IF(RawSalesTable[[#This Row],[Month_Number]]&lt;=6,"Q2",IF(RawSalesTable[[#This Row],[Month_Number]]&lt;=9,"Q3","Q4")))</f>
        <v>Q4</v>
      </c>
      <c r="AJ606" s="13">
        <f>DATE(YEAR(RawSalesTable[[#This Row],[Order_Date]]),MONTH(RawSalesTable[[#This Row],[Order_Date]]),1)</f>
        <v>45931</v>
      </c>
      <c r="AK606" s="8" t="str">
        <f>VLOOKUP(RawSalesTable[[#This Row],[Customer_ID_clean]],CustomersTable[],4,FALSE)</f>
        <v>Quebec</v>
      </c>
    </row>
    <row r="607" spans="1:37">
      <c r="A607" t="s">
        <v>1045</v>
      </c>
      <c r="B607" s="3">
        <v>45899</v>
      </c>
      <c r="C607" t="s">
        <v>453</v>
      </c>
      <c r="D607" t="s">
        <v>469</v>
      </c>
      <c r="E607" t="s">
        <v>454</v>
      </c>
      <c r="F607" t="s">
        <v>111</v>
      </c>
      <c r="G607" t="s">
        <v>96</v>
      </c>
      <c r="H607" t="s">
        <v>97</v>
      </c>
      <c r="I607">
        <v>1</v>
      </c>
      <c r="J607" s="2">
        <v>83.52</v>
      </c>
      <c r="K607" s="4">
        <v>0.2</v>
      </c>
      <c r="L607" t="s">
        <v>98</v>
      </c>
      <c r="M607">
        <v>1</v>
      </c>
      <c r="N607" t="s">
        <v>91</v>
      </c>
      <c r="O607" t="str">
        <f>SUBSTITUTE(PROPER(TRIM(RawSalesTable[[#This Row],[Channel_Raw]])), "Market Place", "Marketplace")</f>
        <v>Retail Store</v>
      </c>
      <c r="P607" t="str">
        <f>TRIM(RawSalesTable[[#This Row],[Store_Raw]])</f>
        <v>Montreal Central</v>
      </c>
      <c r="Q607" t="str">
        <f>IF(TRIM(RawSalesTable[[#This Row],[Payment_Method_Raw]])="","Non renseigné",SUBSTITUTE(TRIM(RawSalesTable[[#This Row],[Payment_Method_Raw]]),"CC","Credit Card"))</f>
        <v>Debit Card</v>
      </c>
      <c r="R607" s="8" t="str">
        <f>UPPER(PROPER(RawSalesTable[[#This Row],[Customer_ID]]))</f>
        <v>C0070</v>
      </c>
      <c r="S607" s="8" t="str">
        <f>TRIM(LEFT(RawSalesTable[[#This Row],[Customer_Info]],FIND(",",RawSalesTable[[#This Row],[Customer_Info]]) -1))</f>
        <v>Sophia Young</v>
      </c>
      <c r="T607" s="8" t="str">
        <f>TRIM(MID(RawSalesTable[[#This Row],[Customer_Info]],FIND(",",RawSalesTable[[#This Row],[Customer_Info]])+1,FIND(",",RawSalesTable[[#This Row],[Customer_Info]],FIND(",",RawSalesTable[[#This Row],[Customer_Info]])+1)-FIND(",",RawSalesTable[[#This Row],[Customer_Info]])-1))</f>
        <v>Halifax</v>
      </c>
      <c r="U607" s="8" t="str">
        <f>TRIM(RIGHT(RawSalesTable[[#This Row],[Customer_Info]], LEN(RawSalesTable[[#This Row],[Customer_Info]])-FIND(",",RawSalesTable[[#This Row],[Customer_Info]],FIND(",",RawSalesTable[[#This Row],[Customer_Info]])+1)))</f>
        <v>Corporate</v>
      </c>
      <c r="V607" s="8" t="str">
        <f>VLOOKUP(RawSalesTable[[#This Row],[Product_ID]],ProductsTable[],2,FALSE)</f>
        <v>Phone Stand</v>
      </c>
      <c r="W607" s="8" t="str">
        <f>VLOOKUP(RawSalesTable[[#This Row],[Product_ID]],ProductsTable[],3,FALSE)</f>
        <v>Accessories</v>
      </c>
      <c r="X607" s="8">
        <f>VLOOKUP(RawSalesTable[[#This Row],[Product_ID]],ProductsTable[],5,FALSE)</f>
        <v>59.85</v>
      </c>
      <c r="Y607" s="8">
        <f>RawSalesTable[[#This Row],[Quantity]]*RawSalesTable[[#This Row],[Unit_Price]]</f>
        <v>83.52</v>
      </c>
      <c r="Z607" s="8">
        <f>RawSalesTable[[#This Row],[Gross_Sales]]*RawSalesTable[[#This Row],[Discount_Pct]]</f>
        <v>16.704000000000001</v>
      </c>
      <c r="AA607" s="8">
        <f>RawSalesTable[[#This Row],[Gross_Sales]]-RawSalesTable[[#This Row],[Discount_Amount]]</f>
        <v>66.816000000000003</v>
      </c>
      <c r="AB607" s="8">
        <f>RawSalesTable[[#This Row],[Unit_Cost]]*RawSalesTable[[#This Row],[Quantity]]</f>
        <v>59.85</v>
      </c>
      <c r="AC607" s="8">
        <f>RawSalesTable[[#This Row],[Net_Sales]]-RawSalesTable[[#This Row],[Total_Cost]]</f>
        <v>6.9660000000000011</v>
      </c>
      <c r="AD607" s="9">
        <f>RawSalesTable[[#This Row],[Profit]]/RawSalesTable[[#This Row],[Net_Sales]]</f>
        <v>0.1042564655172414</v>
      </c>
      <c r="AE607" s="8">
        <f>IF(RawSalesTable[[#This Row],[Return_Status]]="Yes",1,0)</f>
        <v>0</v>
      </c>
      <c r="AF607" s="8">
        <f>YEAR(RawSalesTable[[#This Row],[Order_Date]])</f>
        <v>2025</v>
      </c>
      <c r="AG607" s="8">
        <f>MONTH(RawSalesTable[[#This Row],[Order_Date]])</f>
        <v>8</v>
      </c>
      <c r="AH607" s="8" t="str">
        <f>TEXT(RawSalesTable[[#This Row],[Order_Date]],"mmmm")</f>
        <v>août</v>
      </c>
      <c r="AI607" s="8" t="str">
        <f>IF(RawSalesTable[[#This Row],[Month_Number]]&lt;=3,"Q1",IF(RawSalesTable[[#This Row],[Month_Number]]&lt;=6,"Q2",IF(RawSalesTable[[#This Row],[Month_Number]]&lt;=9,"Q3","Q4")))</f>
        <v>Q3</v>
      </c>
      <c r="AJ607" s="13">
        <f>DATE(YEAR(RawSalesTable[[#This Row],[Order_Date]]),MONTH(RawSalesTable[[#This Row],[Order_Date]]),1)</f>
        <v>45870</v>
      </c>
      <c r="AK607" s="8" t="str">
        <f>VLOOKUP(RawSalesTable[[#This Row],[Customer_ID_clean]],CustomersTable[],4,FALSE)</f>
        <v>Nova Scotia</v>
      </c>
    </row>
    <row r="608" spans="1:37">
      <c r="A608" t="s">
        <v>1046</v>
      </c>
      <c r="B608" s="3">
        <v>45688</v>
      </c>
      <c r="C608" t="s">
        <v>379</v>
      </c>
      <c r="D608" t="s">
        <v>194</v>
      </c>
      <c r="E608" t="s">
        <v>380</v>
      </c>
      <c r="F608" t="s">
        <v>111</v>
      </c>
      <c r="G608" t="s">
        <v>88</v>
      </c>
      <c r="H608" t="s">
        <v>97</v>
      </c>
      <c r="I608">
        <v>2</v>
      </c>
      <c r="J608" s="2">
        <v>207.51</v>
      </c>
      <c r="K608" s="4">
        <v>0</v>
      </c>
      <c r="L608" t="s">
        <v>154</v>
      </c>
      <c r="M608">
        <v>3</v>
      </c>
      <c r="N608" t="s">
        <v>91</v>
      </c>
      <c r="O608" t="str">
        <f>SUBSTITUTE(PROPER(TRIM(RawSalesTable[[#This Row],[Channel_Raw]])), "Market Place", "Marketplace")</f>
        <v>Retail Store</v>
      </c>
      <c r="P608" t="str">
        <f>TRIM(RawSalesTable[[#This Row],[Store_Raw]])</f>
        <v>Montreal Central</v>
      </c>
      <c r="Q608" t="str">
        <f>IF(TRIM(RawSalesTable[[#This Row],[Payment_Method_Raw]])="","Non renseigné",SUBSTITUTE(TRIM(RawSalesTable[[#This Row],[Payment_Method_Raw]]),"CC","Credit Card"))</f>
        <v>Gift Card</v>
      </c>
      <c r="R608" s="8" t="str">
        <f>UPPER(PROPER(RawSalesTable[[#This Row],[Customer_ID]]))</f>
        <v>C0072</v>
      </c>
      <c r="S608" s="8" t="str">
        <f>TRIM(LEFT(RawSalesTable[[#This Row],[Customer_Info]],FIND(",",RawSalesTable[[#This Row],[Customer_Info]]) -1))</f>
        <v>Ryan Bennett</v>
      </c>
      <c r="T608" s="8" t="str">
        <f>TRIM(MID(RawSalesTable[[#This Row],[Customer_Info]],FIND(",",RawSalesTable[[#This Row],[Customer_Info]])+1,FIND(",",RawSalesTable[[#This Row],[Customer_Info]],FIND(",",RawSalesTable[[#This Row],[Customer_Info]])+1)-FIND(",",RawSalesTable[[#This Row],[Customer_Info]])-1))</f>
        <v>Montreal</v>
      </c>
      <c r="U608" s="8" t="str">
        <f>TRIM(RIGHT(RawSalesTable[[#This Row],[Customer_Info]], LEN(RawSalesTable[[#This Row],[Customer_Info]])-FIND(",",RawSalesTable[[#This Row],[Customer_Info]],FIND(",",RawSalesTable[[#This Row],[Customer_Info]])+1)))</f>
        <v>Corporate</v>
      </c>
      <c r="V608" s="8" t="str">
        <f>VLOOKUP(RawSalesTable[[#This Row],[Product_ID]],ProductsTable[],2,FALSE)</f>
        <v>Jump Rope</v>
      </c>
      <c r="W608" s="8" t="str">
        <f>VLOOKUP(RawSalesTable[[#This Row],[Product_ID]],ProductsTable[],3,FALSE)</f>
        <v>Fitness</v>
      </c>
      <c r="X608" s="8">
        <f>VLOOKUP(RawSalesTable[[#This Row],[Product_ID]],ProductsTable[],5,FALSE)</f>
        <v>101</v>
      </c>
      <c r="Y608" s="8">
        <f>RawSalesTable[[#This Row],[Quantity]]*RawSalesTable[[#This Row],[Unit_Price]]</f>
        <v>415.02</v>
      </c>
      <c r="Z608" s="8">
        <f>RawSalesTable[[#This Row],[Gross_Sales]]*RawSalesTable[[#This Row],[Discount_Pct]]</f>
        <v>0</v>
      </c>
      <c r="AA608" s="8">
        <f>RawSalesTable[[#This Row],[Gross_Sales]]-RawSalesTable[[#This Row],[Discount_Amount]]</f>
        <v>415.02</v>
      </c>
      <c r="AB608" s="8">
        <f>RawSalesTable[[#This Row],[Unit_Cost]]*RawSalesTable[[#This Row],[Quantity]]</f>
        <v>202</v>
      </c>
      <c r="AC608" s="8">
        <f>RawSalesTable[[#This Row],[Net_Sales]]-RawSalesTable[[#This Row],[Total_Cost]]</f>
        <v>213.01999999999998</v>
      </c>
      <c r="AD608" s="9">
        <f>RawSalesTable[[#This Row],[Profit]]/RawSalesTable[[#This Row],[Net_Sales]]</f>
        <v>0.51327646860392273</v>
      </c>
      <c r="AE608" s="8">
        <f>IF(RawSalesTable[[#This Row],[Return_Status]]="Yes",1,0)</f>
        <v>0</v>
      </c>
      <c r="AF608" s="8">
        <f>YEAR(RawSalesTable[[#This Row],[Order_Date]])</f>
        <v>2025</v>
      </c>
      <c r="AG608" s="8">
        <f>MONTH(RawSalesTable[[#This Row],[Order_Date]])</f>
        <v>1</v>
      </c>
      <c r="AH608" s="8" t="str">
        <f>TEXT(RawSalesTable[[#This Row],[Order_Date]],"mmmm")</f>
        <v>janvier</v>
      </c>
      <c r="AI608" s="8" t="str">
        <f>IF(RawSalesTable[[#This Row],[Month_Number]]&lt;=3,"Q1",IF(RawSalesTable[[#This Row],[Month_Number]]&lt;=6,"Q2",IF(RawSalesTable[[#This Row],[Month_Number]]&lt;=9,"Q3","Q4")))</f>
        <v>Q1</v>
      </c>
      <c r="AJ608" s="13">
        <f>DATE(YEAR(RawSalesTable[[#This Row],[Order_Date]]),MONTH(RawSalesTable[[#This Row],[Order_Date]]),1)</f>
        <v>45658</v>
      </c>
      <c r="AK608" s="8" t="str">
        <f>VLOOKUP(RawSalesTable[[#This Row],[Customer_ID_clean]],CustomersTable[],4,FALSE)</f>
        <v>Quebec</v>
      </c>
    </row>
    <row r="609" spans="1:37">
      <c r="A609" t="s">
        <v>1047</v>
      </c>
      <c r="B609" s="3">
        <v>45904</v>
      </c>
      <c r="C609" t="s">
        <v>463</v>
      </c>
      <c r="D609" t="s">
        <v>165</v>
      </c>
      <c r="E609" t="s">
        <v>464</v>
      </c>
      <c r="F609" t="s">
        <v>111</v>
      </c>
      <c r="G609" t="s">
        <v>171</v>
      </c>
      <c r="H609" t="s">
        <v>89</v>
      </c>
      <c r="I609">
        <v>1</v>
      </c>
      <c r="J609" s="2">
        <v>106.45</v>
      </c>
      <c r="K609" s="4">
        <v>0.1</v>
      </c>
      <c r="L609" t="s">
        <v>106</v>
      </c>
      <c r="M609">
        <v>7</v>
      </c>
      <c r="N609" t="s">
        <v>91</v>
      </c>
      <c r="O609" t="str">
        <f>SUBSTITUTE(PROPER(TRIM(RawSalesTable[[#This Row],[Channel_Raw]])), "Market Place", "Marketplace")</f>
        <v>Online</v>
      </c>
      <c r="P609" t="str">
        <f>TRIM(RawSalesTable[[#This Row],[Store_Raw]])</f>
        <v>Montreal Central</v>
      </c>
      <c r="Q609" t="str">
        <f>IF(TRIM(RawSalesTable[[#This Row],[Payment_Method_Raw]])="","Non renseigné",SUBSTITUTE(TRIM(RawSalesTable[[#This Row],[Payment_Method_Raw]]),"CC","Credit Card"))</f>
        <v>Credit Card</v>
      </c>
      <c r="R609" s="8" t="str">
        <f>UPPER(PROPER(RawSalesTable[[#This Row],[Customer_ID]]))</f>
        <v>C0030</v>
      </c>
      <c r="S609" s="8" t="str">
        <f>TRIM(LEFT(RawSalesTable[[#This Row],[Customer_Info]],FIND(",",RawSalesTable[[#This Row],[Customer_Info]]) -1))</f>
        <v>Emma Lee</v>
      </c>
      <c r="T609" s="8" t="str">
        <f>TRIM(MID(RawSalesTable[[#This Row],[Customer_Info]],FIND(",",RawSalesTable[[#This Row],[Customer_Info]])+1,FIND(",",RawSalesTable[[#This Row],[Customer_Info]],FIND(",",RawSalesTable[[#This Row],[Customer_Info]])+1)-FIND(",",RawSalesTable[[#This Row],[Customer_Info]])-1))</f>
        <v>Calgary</v>
      </c>
      <c r="U609" s="8" t="str">
        <f>TRIM(RIGHT(RawSalesTable[[#This Row],[Customer_Info]], LEN(RawSalesTable[[#This Row],[Customer_Info]])-FIND(",",RawSalesTable[[#This Row],[Customer_Info]],FIND(",",RawSalesTable[[#This Row],[Customer_Info]])+1)))</f>
        <v>Corporate</v>
      </c>
      <c r="V609" s="8" t="str">
        <f>VLOOKUP(RawSalesTable[[#This Row],[Product_ID]],ProductsTable[],2,FALSE)</f>
        <v>Food Scale</v>
      </c>
      <c r="W609" s="8" t="str">
        <f>VLOOKUP(RawSalesTable[[#This Row],[Product_ID]],ProductsTable[],3,FALSE)</f>
        <v>Home</v>
      </c>
      <c r="X609" s="8">
        <f>VLOOKUP(RawSalesTable[[#This Row],[Product_ID]],ProductsTable[],5,FALSE)</f>
        <v>46.07</v>
      </c>
      <c r="Y609" s="8">
        <f>RawSalesTable[[#This Row],[Quantity]]*RawSalesTable[[#This Row],[Unit_Price]]</f>
        <v>106.45</v>
      </c>
      <c r="Z609" s="8">
        <f>RawSalesTable[[#This Row],[Gross_Sales]]*RawSalesTable[[#This Row],[Discount_Pct]]</f>
        <v>10.645000000000001</v>
      </c>
      <c r="AA609" s="8">
        <f>RawSalesTable[[#This Row],[Gross_Sales]]-RawSalesTable[[#This Row],[Discount_Amount]]</f>
        <v>95.805000000000007</v>
      </c>
      <c r="AB609" s="8">
        <f>RawSalesTable[[#This Row],[Unit_Cost]]*RawSalesTable[[#This Row],[Quantity]]</f>
        <v>46.07</v>
      </c>
      <c r="AC609" s="8">
        <f>RawSalesTable[[#This Row],[Net_Sales]]-RawSalesTable[[#This Row],[Total_Cost]]</f>
        <v>49.735000000000007</v>
      </c>
      <c r="AD609" s="9">
        <f>RawSalesTable[[#This Row],[Profit]]/RawSalesTable[[#This Row],[Net_Sales]]</f>
        <v>0.5191273941861072</v>
      </c>
      <c r="AE609" s="8">
        <f>IF(RawSalesTable[[#This Row],[Return_Status]]="Yes",1,0)</f>
        <v>0</v>
      </c>
      <c r="AF609" s="8">
        <f>YEAR(RawSalesTable[[#This Row],[Order_Date]])</f>
        <v>2025</v>
      </c>
      <c r="AG609" s="8">
        <f>MONTH(RawSalesTable[[#This Row],[Order_Date]])</f>
        <v>9</v>
      </c>
      <c r="AH609" s="8" t="str">
        <f>TEXT(RawSalesTable[[#This Row],[Order_Date]],"mmmm")</f>
        <v>septembre</v>
      </c>
      <c r="AI609" s="8" t="str">
        <f>IF(RawSalesTable[[#This Row],[Month_Number]]&lt;=3,"Q1",IF(RawSalesTable[[#This Row],[Month_Number]]&lt;=6,"Q2",IF(RawSalesTable[[#This Row],[Month_Number]]&lt;=9,"Q3","Q4")))</f>
        <v>Q3</v>
      </c>
      <c r="AJ609" s="13">
        <f>DATE(YEAR(RawSalesTable[[#This Row],[Order_Date]]),MONTH(RawSalesTable[[#This Row],[Order_Date]]),1)</f>
        <v>45901</v>
      </c>
      <c r="AK609" s="8" t="str">
        <f>VLOOKUP(RawSalesTable[[#This Row],[Customer_ID_clean]],CustomersTable[],4,FALSE)</f>
        <v>Alberta</v>
      </c>
    </row>
    <row r="610" spans="1:37">
      <c r="A610" t="s">
        <v>1048</v>
      </c>
      <c r="B610" s="3">
        <v>45801</v>
      </c>
      <c r="C610" t="s">
        <v>695</v>
      </c>
      <c r="D610" t="s">
        <v>221</v>
      </c>
      <c r="E610" t="s">
        <v>696</v>
      </c>
      <c r="F610" t="s">
        <v>116</v>
      </c>
      <c r="G610" t="s">
        <v>88</v>
      </c>
      <c r="H610" t="s">
        <v>89</v>
      </c>
      <c r="I610">
        <v>1</v>
      </c>
      <c r="J610" s="2">
        <v>31.95</v>
      </c>
      <c r="K610" s="4">
        <v>0.15</v>
      </c>
      <c r="L610" t="s">
        <v>106</v>
      </c>
      <c r="M610">
        <v>4</v>
      </c>
      <c r="N610" t="s">
        <v>91</v>
      </c>
      <c r="O610" t="str">
        <f>SUBSTITUTE(PROPER(TRIM(RawSalesTable[[#This Row],[Channel_Raw]])), "Market Place", "Marketplace")</f>
        <v>Online</v>
      </c>
      <c r="P610" t="str">
        <f>TRIM(RawSalesTable[[#This Row],[Store_Raw]])</f>
        <v>Toronto Downtown</v>
      </c>
      <c r="Q610" t="str">
        <f>IF(TRIM(RawSalesTable[[#This Row],[Payment_Method_Raw]])="","Non renseigné",SUBSTITUTE(TRIM(RawSalesTable[[#This Row],[Payment_Method_Raw]]),"CC","Credit Card"))</f>
        <v>Credit Card</v>
      </c>
      <c r="R610" s="8" t="str">
        <f>UPPER(PROPER(RawSalesTable[[#This Row],[Customer_ID]]))</f>
        <v>C0019</v>
      </c>
      <c r="S610" s="8" t="str">
        <f>TRIM(LEFT(RawSalesTable[[#This Row],[Customer_Info]],FIND(",",RawSalesTable[[#This Row],[Customer_Info]]) -1))</f>
        <v>Lucas Taylor</v>
      </c>
      <c r="T610" s="8" t="str">
        <f>TRIM(MID(RawSalesTable[[#This Row],[Customer_Info]],FIND(",",RawSalesTable[[#This Row],[Customer_Info]])+1,FIND(",",RawSalesTable[[#This Row],[Customer_Info]],FIND(",",RawSalesTable[[#This Row],[Customer_Info]])+1)-FIND(",",RawSalesTable[[#This Row],[Customer_Info]])-1))</f>
        <v>Montreal</v>
      </c>
      <c r="U610" s="8" t="str">
        <f>TRIM(RIGHT(RawSalesTable[[#This Row],[Customer_Info]], LEN(RawSalesTable[[#This Row],[Customer_Info]])-FIND(",",RawSalesTable[[#This Row],[Customer_Info]],FIND(",",RawSalesTable[[#This Row],[Customer_Info]])+1)))</f>
        <v>Small Business</v>
      </c>
      <c r="V610" s="8" t="str">
        <f>VLOOKUP(RawSalesTable[[#This Row],[Product_ID]],ProductsTable[],2,FALSE)</f>
        <v>Air Fryer</v>
      </c>
      <c r="W610" s="8" t="str">
        <f>VLOOKUP(RawSalesTable[[#This Row],[Product_ID]],ProductsTable[],3,FALSE)</f>
        <v>Home</v>
      </c>
      <c r="X610" s="8">
        <f>VLOOKUP(RawSalesTable[[#This Row],[Product_ID]],ProductsTable[],5,FALSE)</f>
        <v>14.58</v>
      </c>
      <c r="Y610" s="8">
        <f>RawSalesTable[[#This Row],[Quantity]]*RawSalesTable[[#This Row],[Unit_Price]]</f>
        <v>31.95</v>
      </c>
      <c r="Z610" s="8">
        <f>RawSalesTable[[#This Row],[Gross_Sales]]*RawSalesTable[[#This Row],[Discount_Pct]]</f>
        <v>4.7924999999999995</v>
      </c>
      <c r="AA610" s="8">
        <f>RawSalesTable[[#This Row],[Gross_Sales]]-RawSalesTable[[#This Row],[Discount_Amount]]</f>
        <v>27.157499999999999</v>
      </c>
      <c r="AB610" s="8">
        <f>RawSalesTable[[#This Row],[Unit_Cost]]*RawSalesTable[[#This Row],[Quantity]]</f>
        <v>14.58</v>
      </c>
      <c r="AC610" s="8">
        <f>RawSalesTable[[#This Row],[Net_Sales]]-RawSalesTable[[#This Row],[Total_Cost]]</f>
        <v>12.577499999999999</v>
      </c>
      <c r="AD610" s="9">
        <f>RawSalesTable[[#This Row],[Profit]]/RawSalesTable[[#This Row],[Net_Sales]]</f>
        <v>0.46313173156586573</v>
      </c>
      <c r="AE610" s="8">
        <f>IF(RawSalesTable[[#This Row],[Return_Status]]="Yes",1,0)</f>
        <v>0</v>
      </c>
      <c r="AF610" s="8">
        <f>YEAR(RawSalesTable[[#This Row],[Order_Date]])</f>
        <v>2025</v>
      </c>
      <c r="AG610" s="8">
        <f>MONTH(RawSalesTable[[#This Row],[Order_Date]])</f>
        <v>5</v>
      </c>
      <c r="AH610" s="8" t="str">
        <f>TEXT(RawSalesTable[[#This Row],[Order_Date]],"mmmm")</f>
        <v>mai</v>
      </c>
      <c r="AI610" s="8" t="str">
        <f>IF(RawSalesTable[[#This Row],[Month_Number]]&lt;=3,"Q1",IF(RawSalesTable[[#This Row],[Month_Number]]&lt;=6,"Q2",IF(RawSalesTable[[#This Row],[Month_Number]]&lt;=9,"Q3","Q4")))</f>
        <v>Q2</v>
      </c>
      <c r="AJ610" s="13">
        <f>DATE(YEAR(RawSalesTable[[#This Row],[Order_Date]]),MONTH(RawSalesTable[[#This Row],[Order_Date]]),1)</f>
        <v>45778</v>
      </c>
      <c r="AK610" s="8" t="str">
        <f>VLOOKUP(RawSalesTable[[#This Row],[Customer_ID_clean]],CustomersTable[],4,FALSE)</f>
        <v>Quebec</v>
      </c>
    </row>
    <row r="611" spans="1:37">
      <c r="A611" t="s">
        <v>1049</v>
      </c>
      <c r="B611" s="3">
        <v>45965</v>
      </c>
      <c r="C611" t="s">
        <v>330</v>
      </c>
      <c r="D611" t="s">
        <v>125</v>
      </c>
      <c r="E611" t="s">
        <v>424</v>
      </c>
      <c r="F611" t="s">
        <v>116</v>
      </c>
      <c r="G611" t="s">
        <v>183</v>
      </c>
      <c r="H611" t="s">
        <v>89</v>
      </c>
      <c r="I611">
        <v>1</v>
      </c>
      <c r="J611" s="2">
        <v>54.15</v>
      </c>
      <c r="K611" s="4">
        <v>0</v>
      </c>
      <c r="L611" t="s">
        <v>106</v>
      </c>
      <c r="M611">
        <v>9</v>
      </c>
      <c r="N611" t="s">
        <v>91</v>
      </c>
      <c r="O611" t="str">
        <f>SUBSTITUTE(PROPER(TRIM(RawSalesTable[[#This Row],[Channel_Raw]])), "Market Place", "Marketplace")</f>
        <v>Online</v>
      </c>
      <c r="P611" t="str">
        <f>TRIM(RawSalesTable[[#This Row],[Store_Raw]])</f>
        <v>Toronto Downtown</v>
      </c>
      <c r="Q611" t="str">
        <f>IF(TRIM(RawSalesTable[[#This Row],[Payment_Method_Raw]])="","Non renseigné",SUBSTITUTE(TRIM(RawSalesTable[[#This Row],[Payment_Method_Raw]]),"CC","Credit Card"))</f>
        <v>Credit Card</v>
      </c>
      <c r="R611" s="8" t="str">
        <f>UPPER(PROPER(RawSalesTable[[#This Row],[Customer_ID]]))</f>
        <v>C0108</v>
      </c>
      <c r="S611" s="8" t="str">
        <f>TRIM(LEFT(RawSalesTable[[#This Row],[Customer_Info]],FIND(",",RawSalesTable[[#This Row],[Customer_Info]]) -1))</f>
        <v>Noah Lee</v>
      </c>
      <c r="T611" s="8" t="str">
        <f>TRIM(MID(RawSalesTable[[#This Row],[Customer_Info]],FIND(",",RawSalesTable[[#This Row],[Customer_Info]])+1,FIND(",",RawSalesTable[[#This Row],[Customer_Info]],FIND(",",RawSalesTable[[#This Row],[Customer_Info]])+1)-FIND(",",RawSalesTable[[#This Row],[Customer_Info]])-1))</f>
        <v>Surrey</v>
      </c>
      <c r="U611" s="8" t="str">
        <f>TRIM(RIGHT(RawSalesTable[[#This Row],[Customer_Info]], LEN(RawSalesTable[[#This Row],[Customer_Info]])-FIND(",",RawSalesTable[[#This Row],[Customer_Info]],FIND(",",RawSalesTable[[#This Row],[Customer_Info]])+1)))</f>
        <v>Consumer</v>
      </c>
      <c r="V611" s="8" t="str">
        <f>VLOOKUP(RawSalesTable[[#This Row],[Product_ID]],ProductsTable[],2,FALSE)</f>
        <v>Kettlebell</v>
      </c>
      <c r="W611" s="8" t="str">
        <f>VLOOKUP(RawSalesTable[[#This Row],[Product_ID]],ProductsTable[],3,FALSE)</f>
        <v>Fitness</v>
      </c>
      <c r="X611" s="8">
        <f>VLOOKUP(RawSalesTable[[#This Row],[Product_ID]],ProductsTable[],5,FALSE)</f>
        <v>25.97</v>
      </c>
      <c r="Y611" s="8">
        <f>RawSalesTable[[#This Row],[Quantity]]*RawSalesTable[[#This Row],[Unit_Price]]</f>
        <v>54.15</v>
      </c>
      <c r="Z611" s="8">
        <f>RawSalesTable[[#This Row],[Gross_Sales]]*RawSalesTable[[#This Row],[Discount_Pct]]</f>
        <v>0</v>
      </c>
      <c r="AA611" s="8">
        <f>RawSalesTable[[#This Row],[Gross_Sales]]-RawSalesTable[[#This Row],[Discount_Amount]]</f>
        <v>54.15</v>
      </c>
      <c r="AB611" s="8">
        <f>RawSalesTable[[#This Row],[Unit_Cost]]*RawSalesTable[[#This Row],[Quantity]]</f>
        <v>25.97</v>
      </c>
      <c r="AC611" s="8">
        <f>RawSalesTable[[#This Row],[Net_Sales]]-RawSalesTable[[#This Row],[Total_Cost]]</f>
        <v>28.18</v>
      </c>
      <c r="AD611" s="9">
        <f>RawSalesTable[[#This Row],[Profit]]/RawSalesTable[[#This Row],[Net_Sales]]</f>
        <v>0.52040627885503232</v>
      </c>
      <c r="AE611" s="8">
        <f>IF(RawSalesTable[[#This Row],[Return_Status]]="Yes",1,0)</f>
        <v>0</v>
      </c>
      <c r="AF611" s="8">
        <f>YEAR(RawSalesTable[[#This Row],[Order_Date]])</f>
        <v>2025</v>
      </c>
      <c r="AG611" s="8">
        <f>MONTH(RawSalesTable[[#This Row],[Order_Date]])</f>
        <v>11</v>
      </c>
      <c r="AH611" s="8" t="str">
        <f>TEXT(RawSalesTable[[#This Row],[Order_Date]],"mmmm")</f>
        <v>novembre</v>
      </c>
      <c r="AI611" s="8" t="str">
        <f>IF(RawSalesTable[[#This Row],[Month_Number]]&lt;=3,"Q1",IF(RawSalesTable[[#This Row],[Month_Number]]&lt;=6,"Q2",IF(RawSalesTable[[#This Row],[Month_Number]]&lt;=9,"Q3","Q4")))</f>
        <v>Q4</v>
      </c>
      <c r="AJ611" s="13">
        <f>DATE(YEAR(RawSalesTable[[#This Row],[Order_Date]]),MONTH(RawSalesTable[[#This Row],[Order_Date]]),1)</f>
        <v>45962</v>
      </c>
      <c r="AK611" s="8" t="str">
        <f>VLOOKUP(RawSalesTable[[#This Row],[Customer_ID_clean]],CustomersTable[],4,FALSE)</f>
        <v>British Columbia</v>
      </c>
    </row>
    <row r="612" spans="1:37">
      <c r="A612" t="s">
        <v>1050</v>
      </c>
      <c r="B612" s="3">
        <v>45971</v>
      </c>
      <c r="C612" t="s">
        <v>335</v>
      </c>
      <c r="D612" t="s">
        <v>143</v>
      </c>
      <c r="E612" t="s">
        <v>1051</v>
      </c>
      <c r="F612" t="s">
        <v>87</v>
      </c>
      <c r="G612" t="s">
        <v>183</v>
      </c>
      <c r="H612" t="s">
        <v>89</v>
      </c>
      <c r="I612">
        <v>1</v>
      </c>
      <c r="J612" s="2">
        <v>275.77999999999997</v>
      </c>
      <c r="K612" s="4">
        <v>0.05</v>
      </c>
      <c r="L612" t="s">
        <v>106</v>
      </c>
      <c r="M612">
        <v>4</v>
      </c>
      <c r="N612" t="s">
        <v>91</v>
      </c>
      <c r="O612" t="str">
        <f>SUBSTITUTE(PROPER(TRIM(RawSalesTable[[#This Row],[Channel_Raw]])), "Market Place", "Marketplace")</f>
        <v>Online</v>
      </c>
      <c r="P612" t="str">
        <f>TRIM(RawSalesTable[[#This Row],[Store_Raw]])</f>
        <v>Online Fulfillment</v>
      </c>
      <c r="Q612" t="str">
        <f>IF(TRIM(RawSalesTable[[#This Row],[Payment_Method_Raw]])="","Non renseigné",SUBSTITUTE(TRIM(RawSalesTable[[#This Row],[Payment_Method_Raw]]),"CC","Credit Card"))</f>
        <v>Credit Card</v>
      </c>
      <c r="R612" s="8" t="str">
        <f>UPPER(PROPER(RawSalesTable[[#This Row],[Customer_ID]]))</f>
        <v>C0037</v>
      </c>
      <c r="S612" s="8" t="str">
        <f>TRIM(LEFT(RawSalesTable[[#This Row],[Customer_Info]],FIND(",",RawSalesTable[[#This Row],[Customer_Info]]) -1))</f>
        <v>Lucas Scott</v>
      </c>
      <c r="T612" s="8" t="str">
        <f>TRIM(MID(RawSalesTable[[#This Row],[Customer_Info]],FIND(",",RawSalesTable[[#This Row],[Customer_Info]])+1,FIND(",",RawSalesTable[[#This Row],[Customer_Info]],FIND(",",RawSalesTable[[#This Row],[Customer_Info]])+1)-FIND(",",RawSalesTable[[#This Row],[Customer_Info]])-1))</f>
        <v>Victoria</v>
      </c>
      <c r="U612" s="8" t="str">
        <f>TRIM(RIGHT(RawSalesTable[[#This Row],[Customer_Info]], LEN(RawSalesTable[[#This Row],[Customer_Info]])-FIND(",",RawSalesTable[[#This Row],[Customer_Info]],FIND(",",RawSalesTable[[#This Row],[Customer_Info]])+1)))</f>
        <v>Small Business</v>
      </c>
      <c r="V612" s="8" t="str">
        <f>VLOOKUP(RawSalesTable[[#This Row],[Product_ID]],ProductsTable[],2,FALSE)</f>
        <v>Water Bottle</v>
      </c>
      <c r="W612" s="8" t="str">
        <f>VLOOKUP(RawSalesTable[[#This Row],[Product_ID]],ProductsTable[],3,FALSE)</f>
        <v>Accessories</v>
      </c>
      <c r="X612" s="8">
        <f>VLOOKUP(RawSalesTable[[#This Row],[Product_ID]],ProductsTable[],5,FALSE)</f>
        <v>119.16</v>
      </c>
      <c r="Y612" s="8">
        <f>RawSalesTable[[#This Row],[Quantity]]*RawSalesTable[[#This Row],[Unit_Price]]</f>
        <v>275.77999999999997</v>
      </c>
      <c r="Z612" s="8">
        <f>RawSalesTable[[#This Row],[Gross_Sales]]*RawSalesTable[[#This Row],[Discount_Pct]]</f>
        <v>13.789</v>
      </c>
      <c r="AA612" s="8">
        <f>RawSalesTable[[#This Row],[Gross_Sales]]-RawSalesTable[[#This Row],[Discount_Amount]]</f>
        <v>261.99099999999999</v>
      </c>
      <c r="AB612" s="8">
        <f>RawSalesTable[[#This Row],[Unit_Cost]]*RawSalesTable[[#This Row],[Quantity]]</f>
        <v>119.16</v>
      </c>
      <c r="AC612" s="8">
        <f>RawSalesTable[[#This Row],[Net_Sales]]-RawSalesTable[[#This Row],[Total_Cost]]</f>
        <v>142.83099999999999</v>
      </c>
      <c r="AD612" s="9">
        <f>RawSalesTable[[#This Row],[Profit]]/RawSalesTable[[#This Row],[Net_Sales]]</f>
        <v>0.54517521594253238</v>
      </c>
      <c r="AE612" s="8">
        <f>IF(RawSalesTable[[#This Row],[Return_Status]]="Yes",1,0)</f>
        <v>0</v>
      </c>
      <c r="AF612" s="8">
        <f>YEAR(RawSalesTable[[#This Row],[Order_Date]])</f>
        <v>2025</v>
      </c>
      <c r="AG612" s="8">
        <f>MONTH(RawSalesTable[[#This Row],[Order_Date]])</f>
        <v>11</v>
      </c>
      <c r="AH612" s="8" t="str">
        <f>TEXT(RawSalesTable[[#This Row],[Order_Date]],"mmmm")</f>
        <v>novembre</v>
      </c>
      <c r="AI612" s="8" t="str">
        <f>IF(RawSalesTable[[#This Row],[Month_Number]]&lt;=3,"Q1",IF(RawSalesTable[[#This Row],[Month_Number]]&lt;=6,"Q2",IF(RawSalesTable[[#This Row],[Month_Number]]&lt;=9,"Q3","Q4")))</f>
        <v>Q4</v>
      </c>
      <c r="AJ612" s="13">
        <f>DATE(YEAR(RawSalesTable[[#This Row],[Order_Date]]),MONTH(RawSalesTable[[#This Row],[Order_Date]]),1)</f>
        <v>45962</v>
      </c>
      <c r="AK612" s="8" t="str">
        <f>VLOOKUP(RawSalesTable[[#This Row],[Customer_ID_clean]],CustomersTable[],4,FALSE)</f>
        <v>British Columbia</v>
      </c>
    </row>
    <row r="613" spans="1:37">
      <c r="A613" t="s">
        <v>1052</v>
      </c>
      <c r="B613" s="3">
        <v>45842</v>
      </c>
      <c r="C613" t="s">
        <v>257</v>
      </c>
      <c r="D613" t="s">
        <v>346</v>
      </c>
      <c r="E613" t="s">
        <v>258</v>
      </c>
      <c r="F613" t="s">
        <v>116</v>
      </c>
      <c r="G613" t="s">
        <v>122</v>
      </c>
      <c r="H613" t="s">
        <v>97</v>
      </c>
      <c r="I613">
        <v>1</v>
      </c>
      <c r="J613" s="2">
        <v>241.92</v>
      </c>
      <c r="K613" s="4">
        <v>0.1</v>
      </c>
      <c r="L613" t="s">
        <v>106</v>
      </c>
      <c r="M613">
        <v>0</v>
      </c>
      <c r="N613" t="s">
        <v>91</v>
      </c>
      <c r="O613" t="str">
        <f>SUBSTITUTE(PROPER(TRIM(RawSalesTable[[#This Row],[Channel_Raw]])), "Market Place", "Marketplace")</f>
        <v>Retail Store</v>
      </c>
      <c r="P613" t="str">
        <f>TRIM(RawSalesTable[[#This Row],[Store_Raw]])</f>
        <v>Toronto Downtown</v>
      </c>
      <c r="Q613" t="str">
        <f>IF(TRIM(RawSalesTable[[#This Row],[Payment_Method_Raw]])="","Non renseigné",SUBSTITUTE(TRIM(RawSalesTable[[#This Row],[Payment_Method_Raw]]),"CC","Credit Card"))</f>
        <v>Credit Card</v>
      </c>
      <c r="R613" s="8" t="str">
        <f>UPPER(PROPER(RawSalesTable[[#This Row],[Customer_ID]]))</f>
        <v>C0068</v>
      </c>
      <c r="S613" s="8" t="str">
        <f>TRIM(LEFT(RawSalesTable[[#This Row],[Customer_Info]],FIND(",",RawSalesTable[[#This Row],[Customer_Info]]) -1))</f>
        <v>Yasmine Martin</v>
      </c>
      <c r="T613" s="8" t="str">
        <f>TRIM(MID(RawSalesTable[[#This Row],[Customer_Info]],FIND(",",RawSalesTable[[#This Row],[Customer_Info]])+1,FIND(",",RawSalesTable[[#This Row],[Customer_Info]],FIND(",",RawSalesTable[[#This Row],[Customer_Info]])+1)-FIND(",",RawSalesTable[[#This Row],[Customer_Info]])-1))</f>
        <v>Calgary</v>
      </c>
      <c r="U613" s="8" t="str">
        <f>TRIM(RIGHT(RawSalesTable[[#This Row],[Customer_Info]], LEN(RawSalesTable[[#This Row],[Customer_Info]])-FIND(",",RawSalesTable[[#This Row],[Customer_Info]],FIND(",",RawSalesTable[[#This Row],[Customer_Info]])+1)))</f>
        <v>Consumer</v>
      </c>
      <c r="V613" s="8" t="str">
        <f>VLOOKUP(RawSalesTable[[#This Row],[Product_ID]],ProductsTable[],2,FALSE)</f>
        <v>Pull-up Bar</v>
      </c>
      <c r="W613" s="8" t="str">
        <f>VLOOKUP(RawSalesTable[[#This Row],[Product_ID]],ProductsTable[],3,FALSE)</f>
        <v>Fitness</v>
      </c>
      <c r="X613" s="8">
        <f>VLOOKUP(RawSalesTable[[#This Row],[Product_ID]],ProductsTable[],5,FALSE)</f>
        <v>125.4</v>
      </c>
      <c r="Y613" s="8">
        <f>RawSalesTable[[#This Row],[Quantity]]*RawSalesTable[[#This Row],[Unit_Price]]</f>
        <v>241.92</v>
      </c>
      <c r="Z613" s="8">
        <f>RawSalesTable[[#This Row],[Gross_Sales]]*RawSalesTable[[#This Row],[Discount_Pct]]</f>
        <v>24.192</v>
      </c>
      <c r="AA613" s="8">
        <f>RawSalesTable[[#This Row],[Gross_Sales]]-RawSalesTable[[#This Row],[Discount_Amount]]</f>
        <v>217.72799999999998</v>
      </c>
      <c r="AB613" s="8">
        <f>RawSalesTable[[#This Row],[Unit_Cost]]*RawSalesTable[[#This Row],[Quantity]]</f>
        <v>125.4</v>
      </c>
      <c r="AC613" s="8">
        <f>RawSalesTable[[#This Row],[Net_Sales]]-RawSalesTable[[#This Row],[Total_Cost]]</f>
        <v>92.327999999999975</v>
      </c>
      <c r="AD613" s="9">
        <f>RawSalesTable[[#This Row],[Profit]]/RawSalesTable[[#This Row],[Net_Sales]]</f>
        <v>0.42405202821869481</v>
      </c>
      <c r="AE613" s="8">
        <f>IF(RawSalesTable[[#This Row],[Return_Status]]="Yes",1,0)</f>
        <v>0</v>
      </c>
      <c r="AF613" s="8">
        <f>YEAR(RawSalesTable[[#This Row],[Order_Date]])</f>
        <v>2025</v>
      </c>
      <c r="AG613" s="8">
        <f>MONTH(RawSalesTable[[#This Row],[Order_Date]])</f>
        <v>7</v>
      </c>
      <c r="AH613" s="8" t="str">
        <f>TEXT(RawSalesTable[[#This Row],[Order_Date]],"mmmm")</f>
        <v>juillet</v>
      </c>
      <c r="AI613" s="8" t="str">
        <f>IF(RawSalesTable[[#This Row],[Month_Number]]&lt;=3,"Q1",IF(RawSalesTable[[#This Row],[Month_Number]]&lt;=6,"Q2",IF(RawSalesTable[[#This Row],[Month_Number]]&lt;=9,"Q3","Q4")))</f>
        <v>Q3</v>
      </c>
      <c r="AJ613" s="13">
        <f>DATE(YEAR(RawSalesTable[[#This Row],[Order_Date]]),MONTH(RawSalesTable[[#This Row],[Order_Date]]),1)</f>
        <v>45839</v>
      </c>
      <c r="AK613" s="8" t="str">
        <f>VLOOKUP(RawSalesTable[[#This Row],[Customer_ID_clean]],CustomersTable[],4,FALSE)</f>
        <v>Alberta</v>
      </c>
    </row>
    <row r="614" spans="1:37">
      <c r="A614" t="s">
        <v>1053</v>
      </c>
      <c r="B614" s="3">
        <v>45763</v>
      </c>
      <c r="C614" t="s">
        <v>613</v>
      </c>
      <c r="D614" t="s">
        <v>109</v>
      </c>
      <c r="E614" t="s">
        <v>614</v>
      </c>
      <c r="F614" t="s">
        <v>111</v>
      </c>
      <c r="G614" t="s">
        <v>104</v>
      </c>
      <c r="H614" t="s">
        <v>89</v>
      </c>
      <c r="I614">
        <v>2</v>
      </c>
      <c r="J614" s="2">
        <v>209.11</v>
      </c>
      <c r="K614" s="4">
        <v>0.05</v>
      </c>
      <c r="L614" t="s">
        <v>98</v>
      </c>
      <c r="M614">
        <v>8</v>
      </c>
      <c r="N614" t="s">
        <v>91</v>
      </c>
      <c r="O614" t="str">
        <f>SUBSTITUTE(PROPER(TRIM(RawSalesTable[[#This Row],[Channel_Raw]])), "Market Place", "Marketplace")</f>
        <v>Online</v>
      </c>
      <c r="P614" t="str">
        <f>TRIM(RawSalesTable[[#This Row],[Store_Raw]])</f>
        <v>Montreal Central</v>
      </c>
      <c r="Q614" t="str">
        <f>IF(TRIM(RawSalesTable[[#This Row],[Payment_Method_Raw]])="","Non renseigné",SUBSTITUTE(TRIM(RawSalesTable[[#This Row],[Payment_Method_Raw]]),"CC","Credit Card"))</f>
        <v>Debit Card</v>
      </c>
      <c r="R614" s="8" t="str">
        <f>UPPER(PROPER(RawSalesTable[[#This Row],[Customer_ID]]))</f>
        <v>C0060</v>
      </c>
      <c r="S614" s="8" t="str">
        <f>TRIM(LEFT(RawSalesTable[[#This Row],[Customer_Info]],FIND(",",RawSalesTable[[#This Row],[Customer_Info]]) -1))</f>
        <v>Sarah Wilson</v>
      </c>
      <c r="T614" s="8" t="str">
        <f>TRIM(MID(RawSalesTable[[#This Row],[Customer_Info]],FIND(",",RawSalesTable[[#This Row],[Customer_Info]])+1,FIND(",",RawSalesTable[[#This Row],[Customer_Info]],FIND(",",RawSalesTable[[#This Row],[Customer_Info]])+1)-FIND(",",RawSalesTable[[#This Row],[Customer_Info]])-1))</f>
        <v>Quebec City</v>
      </c>
      <c r="U614" s="8" t="str">
        <f>TRIM(RIGHT(RawSalesTable[[#This Row],[Customer_Info]], LEN(RawSalesTable[[#This Row],[Customer_Info]])-FIND(",",RawSalesTable[[#This Row],[Customer_Info]],FIND(",",RawSalesTable[[#This Row],[Customer_Info]])+1)))</f>
        <v>Corporate</v>
      </c>
      <c r="V614" s="8" t="str">
        <f>VLOOKUP(RawSalesTable[[#This Row],[Product_ID]],ProductsTable[],2,FALSE)</f>
        <v>Gym Bag</v>
      </c>
      <c r="W614" s="8" t="str">
        <f>VLOOKUP(RawSalesTable[[#This Row],[Product_ID]],ProductsTable[],3,FALSE)</f>
        <v>Fitness</v>
      </c>
      <c r="X614" s="8">
        <f>VLOOKUP(RawSalesTable[[#This Row],[Product_ID]],ProductsTable[],5,FALSE)</f>
        <v>132.72</v>
      </c>
      <c r="Y614" s="8">
        <f>RawSalesTable[[#This Row],[Quantity]]*RawSalesTable[[#This Row],[Unit_Price]]</f>
        <v>418.22</v>
      </c>
      <c r="Z614" s="8">
        <f>RawSalesTable[[#This Row],[Gross_Sales]]*RawSalesTable[[#This Row],[Discount_Pct]]</f>
        <v>20.911000000000001</v>
      </c>
      <c r="AA614" s="8">
        <f>RawSalesTable[[#This Row],[Gross_Sales]]-RawSalesTable[[#This Row],[Discount_Amount]]</f>
        <v>397.30900000000003</v>
      </c>
      <c r="AB614" s="8">
        <f>RawSalesTable[[#This Row],[Unit_Cost]]*RawSalesTable[[#This Row],[Quantity]]</f>
        <v>265.44</v>
      </c>
      <c r="AC614" s="8">
        <f>RawSalesTable[[#This Row],[Net_Sales]]-RawSalesTable[[#This Row],[Total_Cost]]</f>
        <v>131.86900000000003</v>
      </c>
      <c r="AD614" s="9">
        <f>RawSalesTable[[#This Row],[Profit]]/RawSalesTable[[#This Row],[Net_Sales]]</f>
        <v>0.33190539353500681</v>
      </c>
      <c r="AE614" s="8">
        <f>IF(RawSalesTable[[#This Row],[Return_Status]]="Yes",1,0)</f>
        <v>0</v>
      </c>
      <c r="AF614" s="8">
        <f>YEAR(RawSalesTable[[#This Row],[Order_Date]])</f>
        <v>2025</v>
      </c>
      <c r="AG614" s="8">
        <f>MONTH(RawSalesTable[[#This Row],[Order_Date]])</f>
        <v>4</v>
      </c>
      <c r="AH614" s="8" t="str">
        <f>TEXT(RawSalesTable[[#This Row],[Order_Date]],"mmmm")</f>
        <v>avril</v>
      </c>
      <c r="AI614" s="8" t="str">
        <f>IF(RawSalesTable[[#This Row],[Month_Number]]&lt;=3,"Q1",IF(RawSalesTable[[#This Row],[Month_Number]]&lt;=6,"Q2",IF(RawSalesTable[[#This Row],[Month_Number]]&lt;=9,"Q3","Q4")))</f>
        <v>Q2</v>
      </c>
      <c r="AJ614" s="13">
        <f>DATE(YEAR(RawSalesTable[[#This Row],[Order_Date]]),MONTH(RawSalesTable[[#This Row],[Order_Date]]),1)</f>
        <v>45748</v>
      </c>
      <c r="AK614" s="8" t="str">
        <f>VLOOKUP(RawSalesTable[[#This Row],[Customer_ID_clean]],CustomersTable[],4,FALSE)</f>
        <v>Quebec</v>
      </c>
    </row>
    <row r="615" spans="1:37">
      <c r="A615" t="s">
        <v>1054</v>
      </c>
      <c r="B615" s="3">
        <v>45780</v>
      </c>
      <c r="C615" t="s">
        <v>273</v>
      </c>
      <c r="D615" t="s">
        <v>303</v>
      </c>
      <c r="E615" t="s">
        <v>274</v>
      </c>
      <c r="F615" t="s">
        <v>103</v>
      </c>
      <c r="G615" t="s">
        <v>117</v>
      </c>
      <c r="H615" t="s">
        <v>89</v>
      </c>
      <c r="I615">
        <v>1</v>
      </c>
      <c r="J615" s="2">
        <v>156.22</v>
      </c>
      <c r="K615" s="4">
        <v>0.25</v>
      </c>
      <c r="L615" t="s">
        <v>90</v>
      </c>
      <c r="M615">
        <v>8</v>
      </c>
      <c r="N615" t="s">
        <v>147</v>
      </c>
      <c r="O615" t="str">
        <f>SUBSTITUTE(PROPER(TRIM(RawSalesTable[[#This Row],[Channel_Raw]])), "Market Place", "Marketplace")</f>
        <v>Online</v>
      </c>
      <c r="P615" t="str">
        <f>TRIM(RawSalesTable[[#This Row],[Store_Raw]])</f>
        <v>Vancouver West</v>
      </c>
      <c r="Q615" t="str">
        <f>IF(TRIM(RawSalesTable[[#This Row],[Payment_Method_Raw]])="","Non renseigné",SUBSTITUTE(TRIM(RawSalesTable[[#This Row],[Payment_Method_Raw]]),"CC","Credit Card"))</f>
        <v>PayPal</v>
      </c>
      <c r="R615" s="8" t="str">
        <f>UPPER(PROPER(RawSalesTable[[#This Row],[Customer_ID]]))</f>
        <v>C0066</v>
      </c>
      <c r="S615" s="8" t="str">
        <f>TRIM(LEFT(RawSalesTable[[#This Row],[Customer_Info]],FIND(",",RawSalesTable[[#This Row],[Customer_Info]]) -1))</f>
        <v>Noah Clark</v>
      </c>
      <c r="T615" s="8" t="str">
        <f>TRIM(MID(RawSalesTable[[#This Row],[Customer_Info]],FIND(",",RawSalesTable[[#This Row],[Customer_Info]])+1,FIND(",",RawSalesTable[[#This Row],[Customer_Info]],FIND(",",RawSalesTable[[#This Row],[Customer_Info]])+1)-FIND(",",RawSalesTable[[#This Row],[Customer_Info]])-1))</f>
        <v>Laval</v>
      </c>
      <c r="U615" s="8" t="str">
        <f>TRIM(RIGHT(RawSalesTable[[#This Row],[Customer_Info]], LEN(RawSalesTable[[#This Row],[Customer_Info]])-FIND(",",RawSalesTable[[#This Row],[Customer_Info]],FIND(",",RawSalesTable[[#This Row],[Customer_Info]])+1)))</f>
        <v>Consumer</v>
      </c>
      <c r="V615" s="8" t="str">
        <f>VLOOKUP(RawSalesTable[[#This Row],[Product_ID]],ProductsTable[],2,FALSE)</f>
        <v>Power Bank</v>
      </c>
      <c r="W615" s="8" t="str">
        <f>VLOOKUP(RawSalesTable[[#This Row],[Product_ID]],ProductsTable[],3,FALSE)</f>
        <v>Accessories</v>
      </c>
      <c r="X615" s="8">
        <f>VLOOKUP(RawSalesTable[[#This Row],[Product_ID]],ProductsTable[],5,FALSE)</f>
        <v>76.97</v>
      </c>
      <c r="Y615" s="8">
        <f>RawSalesTable[[#This Row],[Quantity]]*RawSalesTable[[#This Row],[Unit_Price]]</f>
        <v>156.22</v>
      </c>
      <c r="Z615" s="8">
        <f>RawSalesTable[[#This Row],[Gross_Sales]]*RawSalesTable[[#This Row],[Discount_Pct]]</f>
        <v>39.055</v>
      </c>
      <c r="AA615" s="8">
        <f>RawSalesTable[[#This Row],[Gross_Sales]]-RawSalesTable[[#This Row],[Discount_Amount]]</f>
        <v>117.16499999999999</v>
      </c>
      <c r="AB615" s="8">
        <f>RawSalesTable[[#This Row],[Unit_Cost]]*RawSalesTable[[#This Row],[Quantity]]</f>
        <v>76.97</v>
      </c>
      <c r="AC615" s="8">
        <f>RawSalesTable[[#This Row],[Net_Sales]]-RawSalesTable[[#This Row],[Total_Cost]]</f>
        <v>40.194999999999993</v>
      </c>
      <c r="AD615" s="9">
        <f>RawSalesTable[[#This Row],[Profit]]/RawSalesTable[[#This Row],[Net_Sales]]</f>
        <v>0.34306320146801517</v>
      </c>
      <c r="AE615" s="8">
        <f>IF(RawSalesTable[[#This Row],[Return_Status]]="Yes",1,0)</f>
        <v>1</v>
      </c>
      <c r="AF615" s="8">
        <f>YEAR(RawSalesTable[[#This Row],[Order_Date]])</f>
        <v>2025</v>
      </c>
      <c r="AG615" s="8">
        <f>MONTH(RawSalesTable[[#This Row],[Order_Date]])</f>
        <v>5</v>
      </c>
      <c r="AH615" s="8" t="str">
        <f>TEXT(RawSalesTable[[#This Row],[Order_Date]],"mmmm")</f>
        <v>mai</v>
      </c>
      <c r="AI615" s="8" t="str">
        <f>IF(RawSalesTable[[#This Row],[Month_Number]]&lt;=3,"Q1",IF(RawSalesTable[[#This Row],[Month_Number]]&lt;=6,"Q2",IF(RawSalesTable[[#This Row],[Month_Number]]&lt;=9,"Q3","Q4")))</f>
        <v>Q2</v>
      </c>
      <c r="AJ615" s="13">
        <f>DATE(YEAR(RawSalesTable[[#This Row],[Order_Date]]),MONTH(RawSalesTable[[#This Row],[Order_Date]]),1)</f>
        <v>45778</v>
      </c>
      <c r="AK615" s="8" t="str">
        <f>VLOOKUP(RawSalesTable[[#This Row],[Customer_ID_clean]],CustomersTable[],4,FALSE)</f>
        <v>Quebec</v>
      </c>
    </row>
    <row r="616" spans="1:37">
      <c r="A616" t="s">
        <v>1055</v>
      </c>
      <c r="B616" s="3">
        <v>45946</v>
      </c>
      <c r="C616" t="s">
        <v>209</v>
      </c>
      <c r="D616" t="s">
        <v>217</v>
      </c>
      <c r="E616" t="s">
        <v>211</v>
      </c>
      <c r="F616" t="s">
        <v>116</v>
      </c>
      <c r="G616" t="s">
        <v>104</v>
      </c>
      <c r="H616" t="s">
        <v>97</v>
      </c>
      <c r="I616">
        <v>4</v>
      </c>
      <c r="J616" s="2">
        <v>100.23</v>
      </c>
      <c r="K616" s="4">
        <v>0.05</v>
      </c>
      <c r="L616" t="s">
        <v>98</v>
      </c>
      <c r="M616">
        <v>0</v>
      </c>
      <c r="N616" t="s">
        <v>91</v>
      </c>
      <c r="O616" t="str">
        <f>SUBSTITUTE(PROPER(TRIM(RawSalesTable[[#This Row],[Channel_Raw]])), "Market Place", "Marketplace")</f>
        <v>Retail Store</v>
      </c>
      <c r="P616" t="str">
        <f>TRIM(RawSalesTable[[#This Row],[Store_Raw]])</f>
        <v>Toronto Downtown</v>
      </c>
      <c r="Q616" t="str">
        <f>IF(TRIM(RawSalesTable[[#This Row],[Payment_Method_Raw]])="","Non renseigné",SUBSTITUTE(TRIM(RawSalesTable[[#This Row],[Payment_Method_Raw]]),"CC","Credit Card"))</f>
        <v>Debit Card</v>
      </c>
      <c r="R616" s="8" t="str">
        <f>UPPER(PROPER(RawSalesTable[[#This Row],[Customer_ID]]))</f>
        <v>C0005</v>
      </c>
      <c r="S616" s="8" t="str">
        <f>TRIM(LEFT(RawSalesTable[[#This Row],[Customer_Info]],FIND(",",RawSalesTable[[#This Row],[Customer_Info]]) -1))</f>
        <v>Yasmine Taylor</v>
      </c>
      <c r="T616" s="8" t="str">
        <f>TRIM(MID(RawSalesTable[[#This Row],[Customer_Info]],FIND(",",RawSalesTable[[#This Row],[Customer_Info]])+1,FIND(",",RawSalesTable[[#This Row],[Customer_Info]],FIND(",",RawSalesTable[[#This Row],[Customer_Info]])+1)-FIND(",",RawSalesTable[[#This Row],[Customer_Info]])-1))</f>
        <v>Calgary</v>
      </c>
      <c r="U616" s="8" t="str">
        <f>TRIM(RIGHT(RawSalesTable[[#This Row],[Customer_Info]], LEN(RawSalesTable[[#This Row],[Customer_Info]])-FIND(",",RawSalesTable[[#This Row],[Customer_Info]],FIND(",",RawSalesTable[[#This Row],[Customer_Info]])+1)))</f>
        <v>Consumer</v>
      </c>
      <c r="V616" s="8" t="str">
        <f>VLOOKUP(RawSalesTable[[#This Row],[Product_ID]],ProductsTable[],2,FALSE)</f>
        <v>USB-C Hub</v>
      </c>
      <c r="W616" s="8" t="str">
        <f>VLOOKUP(RawSalesTable[[#This Row],[Product_ID]],ProductsTable[],3,FALSE)</f>
        <v>Electronics</v>
      </c>
      <c r="X616" s="8">
        <f>VLOOKUP(RawSalesTable[[#This Row],[Product_ID]],ProductsTable[],5,FALSE)</f>
        <v>72</v>
      </c>
      <c r="Y616" s="8">
        <f>RawSalesTable[[#This Row],[Quantity]]*RawSalesTable[[#This Row],[Unit_Price]]</f>
        <v>400.92</v>
      </c>
      <c r="Z616" s="8">
        <f>RawSalesTable[[#This Row],[Gross_Sales]]*RawSalesTable[[#This Row],[Discount_Pct]]</f>
        <v>20.046000000000003</v>
      </c>
      <c r="AA616" s="8">
        <f>RawSalesTable[[#This Row],[Gross_Sales]]-RawSalesTable[[#This Row],[Discount_Amount]]</f>
        <v>380.87400000000002</v>
      </c>
      <c r="AB616" s="8">
        <f>RawSalesTable[[#This Row],[Unit_Cost]]*RawSalesTable[[#This Row],[Quantity]]</f>
        <v>288</v>
      </c>
      <c r="AC616" s="8">
        <f>RawSalesTable[[#This Row],[Net_Sales]]-RawSalesTable[[#This Row],[Total_Cost]]</f>
        <v>92.874000000000024</v>
      </c>
      <c r="AD616" s="9">
        <f>RawSalesTable[[#This Row],[Profit]]/RawSalesTable[[#This Row],[Net_Sales]]</f>
        <v>0.24384442098961867</v>
      </c>
      <c r="AE616" s="8">
        <f>IF(RawSalesTable[[#This Row],[Return_Status]]="Yes",1,0)</f>
        <v>0</v>
      </c>
      <c r="AF616" s="8">
        <f>YEAR(RawSalesTable[[#This Row],[Order_Date]])</f>
        <v>2025</v>
      </c>
      <c r="AG616" s="8">
        <f>MONTH(RawSalesTable[[#This Row],[Order_Date]])</f>
        <v>10</v>
      </c>
      <c r="AH616" s="8" t="str">
        <f>TEXT(RawSalesTable[[#This Row],[Order_Date]],"mmmm")</f>
        <v>octobre</v>
      </c>
      <c r="AI616" s="8" t="str">
        <f>IF(RawSalesTable[[#This Row],[Month_Number]]&lt;=3,"Q1",IF(RawSalesTable[[#This Row],[Month_Number]]&lt;=6,"Q2",IF(RawSalesTable[[#This Row],[Month_Number]]&lt;=9,"Q3","Q4")))</f>
        <v>Q4</v>
      </c>
      <c r="AJ616" s="13">
        <f>DATE(YEAR(RawSalesTable[[#This Row],[Order_Date]]),MONTH(RawSalesTable[[#This Row],[Order_Date]]),1)</f>
        <v>45931</v>
      </c>
      <c r="AK616" s="8" t="str">
        <f>VLOOKUP(RawSalesTable[[#This Row],[Customer_ID_clean]],CustomersTable[],4,FALSE)</f>
        <v>Alberta</v>
      </c>
    </row>
    <row r="617" spans="1:37">
      <c r="A617" t="s">
        <v>1056</v>
      </c>
      <c r="B617" s="3">
        <v>45918</v>
      </c>
      <c r="C617" t="s">
        <v>216</v>
      </c>
      <c r="D617" t="s">
        <v>503</v>
      </c>
      <c r="E617" t="s">
        <v>218</v>
      </c>
      <c r="F617" t="s">
        <v>111</v>
      </c>
      <c r="G617" t="s">
        <v>96</v>
      </c>
      <c r="H617" t="s">
        <v>89</v>
      </c>
      <c r="I617">
        <v>1</v>
      </c>
      <c r="J617" s="2">
        <v>126.75</v>
      </c>
      <c r="K617" s="4">
        <v>0</v>
      </c>
      <c r="L617" t="s">
        <v>90</v>
      </c>
      <c r="M617">
        <v>6</v>
      </c>
      <c r="N617" t="s">
        <v>91</v>
      </c>
      <c r="O617" t="str">
        <f>SUBSTITUTE(PROPER(TRIM(RawSalesTable[[#This Row],[Channel_Raw]])), "Market Place", "Marketplace")</f>
        <v>Online</v>
      </c>
      <c r="P617" t="str">
        <f>TRIM(RawSalesTable[[#This Row],[Store_Raw]])</f>
        <v>Montreal Central</v>
      </c>
      <c r="Q617" t="str">
        <f>IF(TRIM(RawSalesTable[[#This Row],[Payment_Method_Raw]])="","Non renseigné",SUBSTITUTE(TRIM(RawSalesTable[[#This Row],[Payment_Method_Raw]]),"CC","Credit Card"))</f>
        <v>PayPal</v>
      </c>
      <c r="R617" s="8" t="str">
        <f>UPPER(PROPER(RawSalesTable[[#This Row],[Customer_ID]]))</f>
        <v>C0065</v>
      </c>
      <c r="S617" s="8" t="str">
        <f>TRIM(LEFT(RawSalesTable[[#This Row],[Customer_Info]],FIND(",",RawSalesTable[[#This Row],[Customer_Info]]) -1))</f>
        <v>Mia Wilson</v>
      </c>
      <c r="T617" s="8" t="str">
        <f>TRIM(MID(RawSalesTable[[#This Row],[Customer_Info]],FIND(",",RawSalesTable[[#This Row],[Customer_Info]])+1,FIND(",",RawSalesTable[[#This Row],[Customer_Info]],FIND(",",RawSalesTable[[#This Row],[Customer_Info]])+1)-FIND(",",RawSalesTable[[#This Row],[Customer_Info]])-1))</f>
        <v>Quebec City</v>
      </c>
      <c r="U617" s="8" t="str">
        <f>TRIM(RIGHT(RawSalesTable[[#This Row],[Customer_Info]], LEN(RawSalesTable[[#This Row],[Customer_Info]])-FIND(",",RawSalesTable[[#This Row],[Customer_Info]],FIND(",",RawSalesTable[[#This Row],[Customer_Info]])+1)))</f>
        <v>Consumer</v>
      </c>
      <c r="V617" s="8" t="str">
        <f>VLOOKUP(RawSalesTable[[#This Row],[Product_ID]],ProductsTable[],2,FALSE)</f>
        <v>Whiteboard</v>
      </c>
      <c r="W617" s="8" t="str">
        <f>VLOOKUP(RawSalesTable[[#This Row],[Product_ID]],ProductsTable[],3,FALSE)</f>
        <v>Office</v>
      </c>
      <c r="X617" s="8">
        <f>VLOOKUP(RawSalesTable[[#This Row],[Product_ID]],ProductsTable[],5,FALSE)</f>
        <v>85.73</v>
      </c>
      <c r="Y617" s="8">
        <f>RawSalesTable[[#This Row],[Quantity]]*RawSalesTable[[#This Row],[Unit_Price]]</f>
        <v>126.75</v>
      </c>
      <c r="Z617" s="8">
        <f>RawSalesTable[[#This Row],[Gross_Sales]]*RawSalesTable[[#This Row],[Discount_Pct]]</f>
        <v>0</v>
      </c>
      <c r="AA617" s="8">
        <f>RawSalesTable[[#This Row],[Gross_Sales]]-RawSalesTable[[#This Row],[Discount_Amount]]</f>
        <v>126.75</v>
      </c>
      <c r="AB617" s="8">
        <f>RawSalesTable[[#This Row],[Unit_Cost]]*RawSalesTable[[#This Row],[Quantity]]</f>
        <v>85.73</v>
      </c>
      <c r="AC617" s="8">
        <f>RawSalesTable[[#This Row],[Net_Sales]]-RawSalesTable[[#This Row],[Total_Cost]]</f>
        <v>41.019999999999996</v>
      </c>
      <c r="AD617" s="9">
        <f>RawSalesTable[[#This Row],[Profit]]/RawSalesTable[[#This Row],[Net_Sales]]</f>
        <v>0.32362919132149898</v>
      </c>
      <c r="AE617" s="8">
        <f>IF(RawSalesTable[[#This Row],[Return_Status]]="Yes",1,0)</f>
        <v>0</v>
      </c>
      <c r="AF617" s="8">
        <f>YEAR(RawSalesTable[[#This Row],[Order_Date]])</f>
        <v>2025</v>
      </c>
      <c r="AG617" s="8">
        <f>MONTH(RawSalesTable[[#This Row],[Order_Date]])</f>
        <v>9</v>
      </c>
      <c r="AH617" s="8" t="str">
        <f>TEXT(RawSalesTable[[#This Row],[Order_Date]],"mmmm")</f>
        <v>septembre</v>
      </c>
      <c r="AI617" s="8" t="str">
        <f>IF(RawSalesTable[[#This Row],[Month_Number]]&lt;=3,"Q1",IF(RawSalesTable[[#This Row],[Month_Number]]&lt;=6,"Q2",IF(RawSalesTable[[#This Row],[Month_Number]]&lt;=9,"Q3","Q4")))</f>
        <v>Q3</v>
      </c>
      <c r="AJ617" s="13">
        <f>DATE(YEAR(RawSalesTable[[#This Row],[Order_Date]]),MONTH(RawSalesTable[[#This Row],[Order_Date]]),1)</f>
        <v>45901</v>
      </c>
      <c r="AK617" s="8" t="str">
        <f>VLOOKUP(RawSalesTable[[#This Row],[Customer_ID_clean]],CustomersTable[],4,FALSE)</f>
        <v>Quebec</v>
      </c>
    </row>
    <row r="618" spans="1:37">
      <c r="A618" t="s">
        <v>1057</v>
      </c>
      <c r="B618" s="3">
        <v>45728</v>
      </c>
      <c r="C618" t="s">
        <v>379</v>
      </c>
      <c r="D618" t="s">
        <v>190</v>
      </c>
      <c r="E618" t="s">
        <v>380</v>
      </c>
      <c r="F618" t="s">
        <v>111</v>
      </c>
      <c r="G618" t="s">
        <v>117</v>
      </c>
      <c r="H618" t="s">
        <v>97</v>
      </c>
      <c r="I618">
        <v>1</v>
      </c>
      <c r="J618" s="2">
        <v>286.02</v>
      </c>
      <c r="K618" s="4">
        <v>0.25</v>
      </c>
      <c r="L618" t="s">
        <v>106</v>
      </c>
      <c r="M618">
        <v>0</v>
      </c>
      <c r="N618" t="s">
        <v>91</v>
      </c>
      <c r="O618" t="str">
        <f>SUBSTITUTE(PROPER(TRIM(RawSalesTable[[#This Row],[Channel_Raw]])), "Market Place", "Marketplace")</f>
        <v>Retail Store</v>
      </c>
      <c r="P618" t="str">
        <f>TRIM(RawSalesTable[[#This Row],[Store_Raw]])</f>
        <v>Montreal Central</v>
      </c>
      <c r="Q618" t="str">
        <f>IF(TRIM(RawSalesTable[[#This Row],[Payment_Method_Raw]])="","Non renseigné",SUBSTITUTE(TRIM(RawSalesTable[[#This Row],[Payment_Method_Raw]]),"CC","Credit Card"))</f>
        <v>Credit Card</v>
      </c>
      <c r="R618" s="8" t="str">
        <f>UPPER(PROPER(RawSalesTable[[#This Row],[Customer_ID]]))</f>
        <v>C0072</v>
      </c>
      <c r="S618" s="8" t="str">
        <f>TRIM(LEFT(RawSalesTable[[#This Row],[Customer_Info]],FIND(",",RawSalesTable[[#This Row],[Customer_Info]]) -1))</f>
        <v>Ryan Bennett</v>
      </c>
      <c r="T618" s="8" t="str">
        <f>TRIM(MID(RawSalesTable[[#This Row],[Customer_Info]],FIND(",",RawSalesTable[[#This Row],[Customer_Info]])+1,FIND(",",RawSalesTable[[#This Row],[Customer_Info]],FIND(",",RawSalesTable[[#This Row],[Customer_Info]])+1)-FIND(",",RawSalesTable[[#This Row],[Customer_Info]])-1))</f>
        <v>Montreal</v>
      </c>
      <c r="U618" s="8" t="str">
        <f>TRIM(RIGHT(RawSalesTable[[#This Row],[Customer_Info]], LEN(RawSalesTable[[#This Row],[Customer_Info]])-FIND(",",RawSalesTable[[#This Row],[Customer_Info]],FIND(",",RawSalesTable[[#This Row],[Customer_Info]])+1)))</f>
        <v>Corporate</v>
      </c>
      <c r="V618" s="8" t="str">
        <f>VLOOKUP(RawSalesTable[[#This Row],[Product_ID]],ProductsTable[],2,FALSE)</f>
        <v>Webcam</v>
      </c>
      <c r="W618" s="8" t="str">
        <f>VLOOKUP(RawSalesTable[[#This Row],[Product_ID]],ProductsTable[],3,FALSE)</f>
        <v>Electronics</v>
      </c>
      <c r="X618" s="8">
        <f>VLOOKUP(RawSalesTable[[#This Row],[Product_ID]],ProductsTable[],5,FALSE)</f>
        <v>154.72999999999999</v>
      </c>
      <c r="Y618" s="8">
        <f>RawSalesTable[[#This Row],[Quantity]]*RawSalesTable[[#This Row],[Unit_Price]]</f>
        <v>286.02</v>
      </c>
      <c r="Z618" s="8">
        <f>RawSalesTable[[#This Row],[Gross_Sales]]*RawSalesTable[[#This Row],[Discount_Pct]]</f>
        <v>71.504999999999995</v>
      </c>
      <c r="AA618" s="8">
        <f>RawSalesTable[[#This Row],[Gross_Sales]]-RawSalesTable[[#This Row],[Discount_Amount]]</f>
        <v>214.51499999999999</v>
      </c>
      <c r="AB618" s="8">
        <f>RawSalesTable[[#This Row],[Unit_Cost]]*RawSalesTable[[#This Row],[Quantity]]</f>
        <v>154.72999999999999</v>
      </c>
      <c r="AC618" s="8">
        <f>RawSalesTable[[#This Row],[Net_Sales]]-RawSalesTable[[#This Row],[Total_Cost]]</f>
        <v>59.784999999999997</v>
      </c>
      <c r="AD618" s="9">
        <f>RawSalesTable[[#This Row],[Profit]]/RawSalesTable[[#This Row],[Net_Sales]]</f>
        <v>0.27869845931519943</v>
      </c>
      <c r="AE618" s="8">
        <f>IF(RawSalesTable[[#This Row],[Return_Status]]="Yes",1,0)</f>
        <v>0</v>
      </c>
      <c r="AF618" s="8">
        <f>YEAR(RawSalesTable[[#This Row],[Order_Date]])</f>
        <v>2025</v>
      </c>
      <c r="AG618" s="8">
        <f>MONTH(RawSalesTable[[#This Row],[Order_Date]])</f>
        <v>3</v>
      </c>
      <c r="AH618" s="8" t="str">
        <f>TEXT(RawSalesTable[[#This Row],[Order_Date]],"mmmm")</f>
        <v>mars</v>
      </c>
      <c r="AI618" s="8" t="str">
        <f>IF(RawSalesTable[[#This Row],[Month_Number]]&lt;=3,"Q1",IF(RawSalesTable[[#This Row],[Month_Number]]&lt;=6,"Q2",IF(RawSalesTable[[#This Row],[Month_Number]]&lt;=9,"Q3","Q4")))</f>
        <v>Q1</v>
      </c>
      <c r="AJ618" s="13">
        <f>DATE(YEAR(RawSalesTable[[#This Row],[Order_Date]]),MONTH(RawSalesTable[[#This Row],[Order_Date]]),1)</f>
        <v>45717</v>
      </c>
      <c r="AK618" s="8" t="str">
        <f>VLOOKUP(RawSalesTable[[#This Row],[Customer_ID_clean]],CustomersTable[],4,FALSE)</f>
        <v>Quebec</v>
      </c>
    </row>
    <row r="619" spans="1:37">
      <c r="A619" t="s">
        <v>1058</v>
      </c>
      <c r="B619" s="3">
        <v>45837</v>
      </c>
      <c r="C619" t="s">
        <v>371</v>
      </c>
      <c r="D619" t="s">
        <v>418</v>
      </c>
      <c r="E619" t="s">
        <v>372</v>
      </c>
      <c r="F619" t="s">
        <v>111</v>
      </c>
      <c r="G619" t="s">
        <v>104</v>
      </c>
      <c r="H619" t="s">
        <v>97</v>
      </c>
      <c r="I619">
        <v>5</v>
      </c>
      <c r="J619" s="2">
        <v>374.98</v>
      </c>
      <c r="K619" s="4">
        <v>0.15</v>
      </c>
      <c r="L619" t="s">
        <v>353</v>
      </c>
      <c r="M619">
        <v>4</v>
      </c>
      <c r="N619" t="s">
        <v>91</v>
      </c>
      <c r="O619" t="str">
        <f>SUBSTITUTE(PROPER(TRIM(RawSalesTable[[#This Row],[Channel_Raw]])), "Market Place", "Marketplace")</f>
        <v>Retail Store</v>
      </c>
      <c r="P619" t="str">
        <f>TRIM(RawSalesTable[[#This Row],[Store_Raw]])</f>
        <v>Montreal Central</v>
      </c>
      <c r="Q619" t="str">
        <f>IF(TRIM(RawSalesTable[[#This Row],[Payment_Method_Raw]])="","Non renseigné",SUBSTITUTE(TRIM(RawSalesTable[[#This Row],[Payment_Method_Raw]]),"CC","Credit Card"))</f>
        <v>Credit Card</v>
      </c>
      <c r="R619" s="8" t="str">
        <f>UPPER(PROPER(RawSalesTable[[#This Row],[Customer_ID]]))</f>
        <v>C0049</v>
      </c>
      <c r="S619" s="8" t="str">
        <f>TRIM(LEFT(RawSalesTable[[#This Row],[Customer_Info]],FIND(",",RawSalesTable[[#This Row],[Customer_Info]]) -1))</f>
        <v>Olivia Scott</v>
      </c>
      <c r="T619" s="8" t="str">
        <f>TRIM(MID(RawSalesTable[[#This Row],[Customer_Info]],FIND(",",RawSalesTable[[#This Row],[Customer_Info]])+1,FIND(",",RawSalesTable[[#This Row],[Customer_Info]],FIND(",",RawSalesTable[[#This Row],[Customer_Info]])+1)-FIND(",",RawSalesTable[[#This Row],[Customer_Info]])-1))</f>
        <v>Quebec City</v>
      </c>
      <c r="U619" s="8" t="str">
        <f>TRIM(RIGHT(RawSalesTable[[#This Row],[Customer_Info]], LEN(RawSalesTable[[#This Row],[Customer_Info]])-FIND(",",RawSalesTable[[#This Row],[Customer_Info]],FIND(",",RawSalesTable[[#This Row],[Customer_Info]])+1)))</f>
        <v>Consumer</v>
      </c>
      <c r="V619" s="8" t="str">
        <f>VLOOKUP(RawSalesTable[[#This Row],[Product_ID]],ProductsTable[],2,FALSE)</f>
        <v>Foam Roller</v>
      </c>
      <c r="W619" s="8" t="str">
        <f>VLOOKUP(RawSalesTable[[#This Row],[Product_ID]],ProductsTable[],3,FALSE)</f>
        <v>Fitness</v>
      </c>
      <c r="X619" s="8">
        <f>VLOOKUP(RawSalesTable[[#This Row],[Product_ID]],ProductsTable[],5,FALSE)</f>
        <v>212.02</v>
      </c>
      <c r="Y619" s="8">
        <f>RawSalesTable[[#This Row],[Quantity]]*RawSalesTable[[#This Row],[Unit_Price]]</f>
        <v>1874.9</v>
      </c>
      <c r="Z619" s="8">
        <f>RawSalesTable[[#This Row],[Gross_Sales]]*RawSalesTable[[#This Row],[Discount_Pct]]</f>
        <v>281.23500000000001</v>
      </c>
      <c r="AA619" s="8">
        <f>RawSalesTable[[#This Row],[Gross_Sales]]-RawSalesTable[[#This Row],[Discount_Amount]]</f>
        <v>1593.665</v>
      </c>
      <c r="AB619" s="8">
        <f>RawSalesTable[[#This Row],[Unit_Cost]]*RawSalesTable[[#This Row],[Quantity]]</f>
        <v>1060.1000000000001</v>
      </c>
      <c r="AC619" s="8">
        <f>RawSalesTable[[#This Row],[Net_Sales]]-RawSalesTable[[#This Row],[Total_Cost]]</f>
        <v>533.56499999999983</v>
      </c>
      <c r="AD619" s="9">
        <f>RawSalesTable[[#This Row],[Profit]]/RawSalesTable[[#This Row],[Net_Sales]]</f>
        <v>0.33480373855233053</v>
      </c>
      <c r="AE619" s="8">
        <f>IF(RawSalesTable[[#This Row],[Return_Status]]="Yes",1,0)</f>
        <v>0</v>
      </c>
      <c r="AF619" s="8">
        <f>YEAR(RawSalesTable[[#This Row],[Order_Date]])</f>
        <v>2025</v>
      </c>
      <c r="AG619" s="8">
        <f>MONTH(RawSalesTable[[#This Row],[Order_Date]])</f>
        <v>6</v>
      </c>
      <c r="AH619" s="8" t="str">
        <f>TEXT(RawSalesTable[[#This Row],[Order_Date]],"mmmm")</f>
        <v>juin</v>
      </c>
      <c r="AI619" s="8" t="str">
        <f>IF(RawSalesTable[[#This Row],[Month_Number]]&lt;=3,"Q1",IF(RawSalesTable[[#This Row],[Month_Number]]&lt;=6,"Q2",IF(RawSalesTable[[#This Row],[Month_Number]]&lt;=9,"Q3","Q4")))</f>
        <v>Q2</v>
      </c>
      <c r="AJ619" s="13">
        <f>DATE(YEAR(RawSalesTable[[#This Row],[Order_Date]]),MONTH(RawSalesTable[[#This Row],[Order_Date]]),1)</f>
        <v>45809</v>
      </c>
      <c r="AK619" s="8" t="str">
        <f>VLOOKUP(RawSalesTable[[#This Row],[Customer_ID_clean]],CustomersTable[],4,FALSE)</f>
        <v>Quebec</v>
      </c>
    </row>
    <row r="620" spans="1:37">
      <c r="A620" t="s">
        <v>1059</v>
      </c>
      <c r="B620" s="3">
        <v>45986</v>
      </c>
      <c r="C620" t="s">
        <v>156</v>
      </c>
      <c r="D620" t="s">
        <v>277</v>
      </c>
      <c r="E620" t="s">
        <v>158</v>
      </c>
      <c r="F620" t="s">
        <v>87</v>
      </c>
      <c r="G620" t="s">
        <v>96</v>
      </c>
      <c r="H620" t="s">
        <v>97</v>
      </c>
      <c r="I620">
        <v>2</v>
      </c>
      <c r="J620" s="2">
        <v>375.13</v>
      </c>
      <c r="K620" s="4">
        <v>0.1</v>
      </c>
      <c r="L620" t="s">
        <v>106</v>
      </c>
      <c r="M620">
        <v>1</v>
      </c>
      <c r="N620" t="s">
        <v>91</v>
      </c>
      <c r="O620" t="str">
        <f>SUBSTITUTE(PROPER(TRIM(RawSalesTable[[#This Row],[Channel_Raw]])), "Market Place", "Marketplace")</f>
        <v>Retail Store</v>
      </c>
      <c r="P620" t="str">
        <f>TRIM(RawSalesTable[[#This Row],[Store_Raw]])</f>
        <v>Online Fulfillment</v>
      </c>
      <c r="Q620" t="str">
        <f>IF(TRIM(RawSalesTable[[#This Row],[Payment_Method_Raw]])="","Non renseigné",SUBSTITUTE(TRIM(RawSalesTable[[#This Row],[Payment_Method_Raw]]),"CC","Credit Card"))</f>
        <v>Credit Card</v>
      </c>
      <c r="R620" s="8" t="str">
        <f>UPPER(PROPER(RawSalesTable[[#This Row],[Customer_ID]]))</f>
        <v>C0112</v>
      </c>
      <c r="S620" s="8" t="str">
        <f>TRIM(LEFT(RawSalesTable[[#This Row],[Customer_Info]],FIND(",",RawSalesTable[[#This Row],[Customer_Info]]) -1))</f>
        <v>Ava Bennett</v>
      </c>
      <c r="T620" s="8" t="str">
        <f>TRIM(MID(RawSalesTable[[#This Row],[Customer_Info]],FIND(",",RawSalesTable[[#This Row],[Customer_Info]])+1,FIND(",",RawSalesTable[[#This Row],[Customer_Info]],FIND(",",RawSalesTable[[#This Row],[Customer_Info]])+1)-FIND(",",RawSalesTable[[#This Row],[Customer_Info]])-1))</f>
        <v>Halifax</v>
      </c>
      <c r="U620" s="8" t="str">
        <f>TRIM(RIGHT(RawSalesTable[[#This Row],[Customer_Info]], LEN(RawSalesTable[[#This Row],[Customer_Info]])-FIND(",",RawSalesTable[[#This Row],[Customer_Info]],FIND(",",RawSalesTable[[#This Row],[Customer_Info]])+1)))</f>
        <v>Consumer</v>
      </c>
      <c r="V620" s="8" t="str">
        <f>VLOOKUP(RawSalesTable[[#This Row],[Product_ID]],ProductsTable[],2,FALSE)</f>
        <v>Headphones</v>
      </c>
      <c r="W620" s="8" t="str">
        <f>VLOOKUP(RawSalesTable[[#This Row],[Product_ID]],ProductsTable[],3,FALSE)</f>
        <v>Electronics</v>
      </c>
      <c r="X620" s="8">
        <f>VLOOKUP(RawSalesTable[[#This Row],[Product_ID]],ProductsTable[],5,FALSE)</f>
        <v>254.6</v>
      </c>
      <c r="Y620" s="8">
        <f>RawSalesTable[[#This Row],[Quantity]]*RawSalesTable[[#This Row],[Unit_Price]]</f>
        <v>750.26</v>
      </c>
      <c r="Z620" s="8">
        <f>RawSalesTable[[#This Row],[Gross_Sales]]*RawSalesTable[[#This Row],[Discount_Pct]]</f>
        <v>75.025999999999996</v>
      </c>
      <c r="AA620" s="8">
        <f>RawSalesTable[[#This Row],[Gross_Sales]]-RawSalesTable[[#This Row],[Discount_Amount]]</f>
        <v>675.23400000000004</v>
      </c>
      <c r="AB620" s="8">
        <f>RawSalesTable[[#This Row],[Unit_Cost]]*RawSalesTable[[#This Row],[Quantity]]</f>
        <v>509.2</v>
      </c>
      <c r="AC620" s="8">
        <f>RawSalesTable[[#This Row],[Net_Sales]]-RawSalesTable[[#This Row],[Total_Cost]]</f>
        <v>166.03400000000005</v>
      </c>
      <c r="AD620" s="9">
        <f>RawSalesTable[[#This Row],[Profit]]/RawSalesTable[[#This Row],[Net_Sales]]</f>
        <v>0.24589105406422077</v>
      </c>
      <c r="AE620" s="8">
        <f>IF(RawSalesTable[[#This Row],[Return_Status]]="Yes",1,0)</f>
        <v>0</v>
      </c>
      <c r="AF620" s="8">
        <f>YEAR(RawSalesTable[[#This Row],[Order_Date]])</f>
        <v>2025</v>
      </c>
      <c r="AG620" s="8">
        <f>MONTH(RawSalesTable[[#This Row],[Order_Date]])</f>
        <v>11</v>
      </c>
      <c r="AH620" s="8" t="str">
        <f>TEXT(RawSalesTable[[#This Row],[Order_Date]],"mmmm")</f>
        <v>novembre</v>
      </c>
      <c r="AI620" s="8" t="str">
        <f>IF(RawSalesTable[[#This Row],[Month_Number]]&lt;=3,"Q1",IF(RawSalesTable[[#This Row],[Month_Number]]&lt;=6,"Q2",IF(RawSalesTable[[#This Row],[Month_Number]]&lt;=9,"Q3","Q4")))</f>
        <v>Q4</v>
      </c>
      <c r="AJ620" s="13">
        <f>DATE(YEAR(RawSalesTable[[#This Row],[Order_Date]]),MONTH(RawSalesTable[[#This Row],[Order_Date]]),1)</f>
        <v>45962</v>
      </c>
      <c r="AK620" s="8" t="str">
        <f>VLOOKUP(RawSalesTable[[#This Row],[Customer_ID_clean]],CustomersTable[],4,FALSE)</f>
        <v>Nova Scotia</v>
      </c>
    </row>
    <row r="621" spans="1:37">
      <c r="A621" t="s">
        <v>1060</v>
      </c>
      <c r="B621" s="3">
        <v>45938</v>
      </c>
      <c r="C621" t="s">
        <v>84</v>
      </c>
      <c r="D621" t="s">
        <v>109</v>
      </c>
      <c r="E621" t="s">
        <v>86</v>
      </c>
      <c r="F621" t="s">
        <v>111</v>
      </c>
      <c r="G621" t="s">
        <v>88</v>
      </c>
      <c r="H621" t="s">
        <v>89</v>
      </c>
      <c r="I621">
        <v>2</v>
      </c>
      <c r="J621" s="2">
        <v>198.16</v>
      </c>
      <c r="K621" s="4">
        <v>0.25</v>
      </c>
      <c r="L621" t="s">
        <v>106</v>
      </c>
      <c r="M621">
        <v>1</v>
      </c>
      <c r="N621" t="s">
        <v>91</v>
      </c>
      <c r="O621" t="str">
        <f>SUBSTITUTE(PROPER(TRIM(RawSalesTable[[#This Row],[Channel_Raw]])), "Market Place", "Marketplace")</f>
        <v>Online</v>
      </c>
      <c r="P621" t="str">
        <f>TRIM(RawSalesTable[[#This Row],[Store_Raw]])</f>
        <v>Montreal Central</v>
      </c>
      <c r="Q621" t="str">
        <f>IF(TRIM(RawSalesTable[[#This Row],[Payment_Method_Raw]])="","Non renseigné",SUBSTITUTE(TRIM(RawSalesTable[[#This Row],[Payment_Method_Raw]]),"CC","Credit Card"))</f>
        <v>Credit Card</v>
      </c>
      <c r="R621" s="8" t="str">
        <f>UPPER(PROPER(RawSalesTable[[#This Row],[Customer_ID]]))</f>
        <v>C0113</v>
      </c>
      <c r="S621" s="8" t="str">
        <f>TRIM(LEFT(RawSalesTable[[#This Row],[Customer_Info]],FIND(",",RawSalesTable[[#This Row],[Customer_Info]]) -1))</f>
        <v>Olivia Johnson</v>
      </c>
      <c r="T621" s="8" t="str">
        <f>TRIM(MID(RawSalesTable[[#This Row],[Customer_Info]],FIND(",",RawSalesTable[[#This Row],[Customer_Info]])+1,FIND(",",RawSalesTable[[#This Row],[Customer_Info]],FIND(",",RawSalesTable[[#This Row],[Customer_Info]])+1)-FIND(",",RawSalesTable[[#This Row],[Customer_Info]])-1))</f>
        <v>Surrey</v>
      </c>
      <c r="U621" s="8" t="str">
        <f>TRIM(RIGHT(RawSalesTable[[#This Row],[Customer_Info]], LEN(RawSalesTable[[#This Row],[Customer_Info]])-FIND(",",RawSalesTable[[#This Row],[Customer_Info]],FIND(",",RawSalesTable[[#This Row],[Customer_Info]])+1)))</f>
        <v>Consumer</v>
      </c>
      <c r="V621" s="8" t="str">
        <f>VLOOKUP(RawSalesTable[[#This Row],[Product_ID]],ProductsTable[],2,FALSE)</f>
        <v>Gym Bag</v>
      </c>
      <c r="W621" s="8" t="str">
        <f>VLOOKUP(RawSalesTable[[#This Row],[Product_ID]],ProductsTable[],3,FALSE)</f>
        <v>Fitness</v>
      </c>
      <c r="X621" s="8">
        <f>VLOOKUP(RawSalesTable[[#This Row],[Product_ID]],ProductsTable[],5,FALSE)</f>
        <v>132.72</v>
      </c>
      <c r="Y621" s="8">
        <f>RawSalesTable[[#This Row],[Quantity]]*RawSalesTable[[#This Row],[Unit_Price]]</f>
        <v>396.32</v>
      </c>
      <c r="Z621" s="8">
        <f>RawSalesTable[[#This Row],[Gross_Sales]]*RawSalesTable[[#This Row],[Discount_Pct]]</f>
        <v>99.08</v>
      </c>
      <c r="AA621" s="8">
        <f>RawSalesTable[[#This Row],[Gross_Sales]]-RawSalesTable[[#This Row],[Discount_Amount]]</f>
        <v>297.24</v>
      </c>
      <c r="AB621" s="8">
        <f>RawSalesTable[[#This Row],[Unit_Cost]]*RawSalesTable[[#This Row],[Quantity]]</f>
        <v>265.44</v>
      </c>
      <c r="AC621" s="8">
        <f>RawSalesTable[[#This Row],[Net_Sales]]-RawSalesTable[[#This Row],[Total_Cost]]</f>
        <v>31.800000000000011</v>
      </c>
      <c r="AD621" s="9">
        <f>RawSalesTable[[#This Row],[Profit]]/RawSalesTable[[#This Row],[Net_Sales]]</f>
        <v>0.10698425514735571</v>
      </c>
      <c r="AE621" s="8">
        <f>IF(RawSalesTable[[#This Row],[Return_Status]]="Yes",1,0)</f>
        <v>0</v>
      </c>
      <c r="AF621" s="8">
        <f>YEAR(RawSalesTable[[#This Row],[Order_Date]])</f>
        <v>2025</v>
      </c>
      <c r="AG621" s="8">
        <f>MONTH(RawSalesTable[[#This Row],[Order_Date]])</f>
        <v>10</v>
      </c>
      <c r="AH621" s="8" t="str">
        <f>TEXT(RawSalesTable[[#This Row],[Order_Date]],"mmmm")</f>
        <v>octobre</v>
      </c>
      <c r="AI621" s="8" t="str">
        <f>IF(RawSalesTable[[#This Row],[Month_Number]]&lt;=3,"Q1",IF(RawSalesTable[[#This Row],[Month_Number]]&lt;=6,"Q2",IF(RawSalesTable[[#This Row],[Month_Number]]&lt;=9,"Q3","Q4")))</f>
        <v>Q4</v>
      </c>
      <c r="AJ621" s="13">
        <f>DATE(YEAR(RawSalesTable[[#This Row],[Order_Date]]),MONTH(RawSalesTable[[#This Row],[Order_Date]]),1)</f>
        <v>45931</v>
      </c>
      <c r="AK621" s="8" t="str">
        <f>VLOOKUP(RawSalesTable[[#This Row],[Customer_ID_clean]],CustomersTable[],4,FALSE)</f>
        <v>British Columbia</v>
      </c>
    </row>
    <row r="622" spans="1:37">
      <c r="A622" t="s">
        <v>1061</v>
      </c>
      <c r="B622" s="3">
        <v>45725</v>
      </c>
      <c r="C622" t="s">
        <v>164</v>
      </c>
      <c r="D622" t="s">
        <v>252</v>
      </c>
      <c r="E622" t="s">
        <v>166</v>
      </c>
      <c r="F622" t="s">
        <v>145</v>
      </c>
      <c r="G622" t="s">
        <v>88</v>
      </c>
      <c r="H622" t="s">
        <v>97</v>
      </c>
      <c r="I622">
        <v>1</v>
      </c>
      <c r="J622" s="2">
        <v>262.02999999999997</v>
      </c>
      <c r="K622" s="4">
        <v>0.2</v>
      </c>
      <c r="L622" t="s">
        <v>98</v>
      </c>
      <c r="M622">
        <v>3</v>
      </c>
      <c r="N622" t="s">
        <v>91</v>
      </c>
      <c r="O622" t="str">
        <f>SUBSTITUTE(PROPER(TRIM(RawSalesTable[[#This Row],[Channel_Raw]])), "Market Place", "Marketplace")</f>
        <v>Retail Store</v>
      </c>
      <c r="P622" t="str">
        <f>TRIM(RawSalesTable[[#This Row],[Store_Raw]])</f>
        <v>Calgary North</v>
      </c>
      <c r="Q622" t="str">
        <f>IF(TRIM(RawSalesTable[[#This Row],[Payment_Method_Raw]])="","Non renseigné",SUBSTITUTE(TRIM(RawSalesTable[[#This Row],[Payment_Method_Raw]]),"CC","Credit Card"))</f>
        <v>Debit Card</v>
      </c>
      <c r="R622" s="8" t="str">
        <f>UPPER(PROPER(RawSalesTable[[#This Row],[Customer_ID]]))</f>
        <v>C0032</v>
      </c>
      <c r="S622" s="8" t="str">
        <f>TRIM(LEFT(RawSalesTable[[#This Row],[Customer_Info]],FIND(",",RawSalesTable[[#This Row],[Customer_Info]]) -1))</f>
        <v>Nora Bennett</v>
      </c>
      <c r="T622" s="8" t="str">
        <f>TRIM(MID(RawSalesTable[[#This Row],[Customer_Info]],FIND(",",RawSalesTable[[#This Row],[Customer_Info]])+1,FIND(",",RawSalesTable[[#This Row],[Customer_Info]],FIND(",",RawSalesTable[[#This Row],[Customer_Info]])+1)-FIND(",",RawSalesTable[[#This Row],[Customer_Info]])-1))</f>
        <v>Surrey</v>
      </c>
      <c r="U622" s="8" t="str">
        <f>TRIM(RIGHT(RawSalesTable[[#This Row],[Customer_Info]], LEN(RawSalesTable[[#This Row],[Customer_Info]])-FIND(",",RawSalesTable[[#This Row],[Customer_Info]],FIND(",",RawSalesTable[[#This Row],[Customer_Info]])+1)))</f>
        <v>Consumer</v>
      </c>
      <c r="V622" s="8" t="str">
        <f>VLOOKUP(RawSalesTable[[#This Row],[Product_ID]],ProductsTable[],2,FALSE)</f>
        <v>Vacuum</v>
      </c>
      <c r="W622" s="8" t="str">
        <f>VLOOKUP(RawSalesTable[[#This Row],[Product_ID]],ProductsTable[],3,FALSE)</f>
        <v>Home</v>
      </c>
      <c r="X622" s="8">
        <f>VLOOKUP(RawSalesTable[[#This Row],[Product_ID]],ProductsTable[],5,FALSE)</f>
        <v>186.94</v>
      </c>
      <c r="Y622" s="8">
        <f>RawSalesTable[[#This Row],[Quantity]]*RawSalesTable[[#This Row],[Unit_Price]]</f>
        <v>262.02999999999997</v>
      </c>
      <c r="Z622" s="8">
        <f>RawSalesTable[[#This Row],[Gross_Sales]]*RawSalesTable[[#This Row],[Discount_Pct]]</f>
        <v>52.405999999999999</v>
      </c>
      <c r="AA622" s="8">
        <f>RawSalesTable[[#This Row],[Gross_Sales]]-RawSalesTable[[#This Row],[Discount_Amount]]</f>
        <v>209.62399999999997</v>
      </c>
      <c r="AB622" s="8">
        <f>RawSalesTable[[#This Row],[Unit_Cost]]*RawSalesTable[[#This Row],[Quantity]]</f>
        <v>186.94</v>
      </c>
      <c r="AC622" s="8">
        <f>RawSalesTable[[#This Row],[Net_Sales]]-RawSalesTable[[#This Row],[Total_Cost]]</f>
        <v>22.683999999999969</v>
      </c>
      <c r="AD622" s="9">
        <f>RawSalesTable[[#This Row],[Profit]]/RawSalesTable[[#This Row],[Net_Sales]]</f>
        <v>0.10821280006106158</v>
      </c>
      <c r="AE622" s="8">
        <f>IF(RawSalesTable[[#This Row],[Return_Status]]="Yes",1,0)</f>
        <v>0</v>
      </c>
      <c r="AF622" s="8">
        <f>YEAR(RawSalesTable[[#This Row],[Order_Date]])</f>
        <v>2025</v>
      </c>
      <c r="AG622" s="8">
        <f>MONTH(RawSalesTable[[#This Row],[Order_Date]])</f>
        <v>3</v>
      </c>
      <c r="AH622" s="8" t="str">
        <f>TEXT(RawSalesTable[[#This Row],[Order_Date]],"mmmm")</f>
        <v>mars</v>
      </c>
      <c r="AI622" s="8" t="str">
        <f>IF(RawSalesTable[[#This Row],[Month_Number]]&lt;=3,"Q1",IF(RawSalesTable[[#This Row],[Month_Number]]&lt;=6,"Q2",IF(RawSalesTable[[#This Row],[Month_Number]]&lt;=9,"Q3","Q4")))</f>
        <v>Q1</v>
      </c>
      <c r="AJ622" s="13">
        <f>DATE(YEAR(RawSalesTable[[#This Row],[Order_Date]]),MONTH(RawSalesTable[[#This Row],[Order_Date]]),1)</f>
        <v>45717</v>
      </c>
      <c r="AK622" s="8" t="str">
        <f>VLOOKUP(RawSalesTable[[#This Row],[Customer_ID_clean]],CustomersTable[],4,FALSE)</f>
        <v>British Columbia</v>
      </c>
    </row>
    <row r="623" spans="1:37">
      <c r="A623" t="s">
        <v>1062</v>
      </c>
      <c r="B623" s="3">
        <v>45676</v>
      </c>
      <c r="C623" t="s">
        <v>343</v>
      </c>
      <c r="D623" t="s">
        <v>210</v>
      </c>
      <c r="E623" t="s">
        <v>344</v>
      </c>
      <c r="F623" t="s">
        <v>87</v>
      </c>
      <c r="G623" t="s">
        <v>96</v>
      </c>
      <c r="H623" t="s">
        <v>89</v>
      </c>
      <c r="I623">
        <v>4</v>
      </c>
      <c r="J623" s="2">
        <v>302</v>
      </c>
      <c r="K623" s="4">
        <v>0.05</v>
      </c>
      <c r="L623" t="s">
        <v>90</v>
      </c>
      <c r="M623">
        <v>6</v>
      </c>
      <c r="N623" t="s">
        <v>91</v>
      </c>
      <c r="O623" t="str">
        <f>SUBSTITUTE(PROPER(TRIM(RawSalesTable[[#This Row],[Channel_Raw]])), "Market Place", "Marketplace")</f>
        <v>Online</v>
      </c>
      <c r="P623" t="str">
        <f>TRIM(RawSalesTable[[#This Row],[Store_Raw]])</f>
        <v>Online Fulfillment</v>
      </c>
      <c r="Q623" t="str">
        <f>IF(TRIM(RawSalesTable[[#This Row],[Payment_Method_Raw]])="","Non renseigné",SUBSTITUTE(TRIM(RawSalesTable[[#This Row],[Payment_Method_Raw]]),"CC","Credit Card"))</f>
        <v>PayPal</v>
      </c>
      <c r="R623" s="8" t="str">
        <f>UPPER(PROPER(RawSalesTable[[#This Row],[Customer_ID]]))</f>
        <v>C0114</v>
      </c>
      <c r="S623" s="8" t="str">
        <f>TRIM(LEFT(RawSalesTable[[#This Row],[Customer_Info]],FIND(",",RawSalesTable[[#This Row],[Customer_Info]]) -1))</f>
        <v>Olivia Johnson</v>
      </c>
      <c r="T623" s="8" t="str">
        <f>TRIM(MID(RawSalesTable[[#This Row],[Customer_Info]],FIND(",",RawSalesTable[[#This Row],[Customer_Info]])+1,FIND(",",RawSalesTable[[#This Row],[Customer_Info]],FIND(",",RawSalesTable[[#This Row],[Customer_Info]])+1)-FIND(",",RawSalesTable[[#This Row],[Customer_Info]])-1))</f>
        <v>Ottawa</v>
      </c>
      <c r="U623" s="8" t="str">
        <f>TRIM(RIGHT(RawSalesTable[[#This Row],[Customer_Info]], LEN(RawSalesTable[[#This Row],[Customer_Info]])-FIND(",",RawSalesTable[[#This Row],[Customer_Info]],FIND(",",RawSalesTable[[#This Row],[Customer_Info]])+1)))</f>
        <v>Consumer</v>
      </c>
      <c r="V623" s="8" t="str">
        <f>VLOOKUP(RawSalesTable[[#This Row],[Product_ID]],ProductsTable[],2,FALSE)</f>
        <v>Desk Pad</v>
      </c>
      <c r="W623" s="8" t="str">
        <f>VLOOKUP(RawSalesTable[[#This Row],[Product_ID]],ProductsTable[],3,FALSE)</f>
        <v>Accessories</v>
      </c>
      <c r="X623" s="8">
        <f>VLOOKUP(RawSalesTable[[#This Row],[Product_ID]],ProductsTable[],5,FALSE)</f>
        <v>177.57</v>
      </c>
      <c r="Y623" s="8">
        <f>RawSalesTable[[#This Row],[Quantity]]*RawSalesTable[[#This Row],[Unit_Price]]</f>
        <v>1208</v>
      </c>
      <c r="Z623" s="8">
        <f>RawSalesTable[[#This Row],[Gross_Sales]]*RawSalesTable[[#This Row],[Discount_Pct]]</f>
        <v>60.400000000000006</v>
      </c>
      <c r="AA623" s="8">
        <f>RawSalesTable[[#This Row],[Gross_Sales]]-RawSalesTable[[#This Row],[Discount_Amount]]</f>
        <v>1147.5999999999999</v>
      </c>
      <c r="AB623" s="8">
        <f>RawSalesTable[[#This Row],[Unit_Cost]]*RawSalesTable[[#This Row],[Quantity]]</f>
        <v>710.28</v>
      </c>
      <c r="AC623" s="8">
        <f>RawSalesTable[[#This Row],[Net_Sales]]-RawSalesTable[[#This Row],[Total_Cost]]</f>
        <v>437.31999999999994</v>
      </c>
      <c r="AD623" s="9">
        <f>RawSalesTable[[#This Row],[Profit]]/RawSalesTable[[#This Row],[Net_Sales]]</f>
        <v>0.38107354478912508</v>
      </c>
      <c r="AE623" s="8">
        <f>IF(RawSalesTable[[#This Row],[Return_Status]]="Yes",1,0)</f>
        <v>0</v>
      </c>
      <c r="AF623" s="8">
        <f>YEAR(RawSalesTable[[#This Row],[Order_Date]])</f>
        <v>2025</v>
      </c>
      <c r="AG623" s="8">
        <f>MONTH(RawSalesTable[[#This Row],[Order_Date]])</f>
        <v>1</v>
      </c>
      <c r="AH623" s="8" t="str">
        <f>TEXT(RawSalesTable[[#This Row],[Order_Date]],"mmmm")</f>
        <v>janvier</v>
      </c>
      <c r="AI623" s="8" t="str">
        <f>IF(RawSalesTable[[#This Row],[Month_Number]]&lt;=3,"Q1",IF(RawSalesTable[[#This Row],[Month_Number]]&lt;=6,"Q2",IF(RawSalesTable[[#This Row],[Month_Number]]&lt;=9,"Q3","Q4")))</f>
        <v>Q1</v>
      </c>
      <c r="AJ623" s="13">
        <f>DATE(YEAR(RawSalesTable[[#This Row],[Order_Date]]),MONTH(RawSalesTable[[#This Row],[Order_Date]]),1)</f>
        <v>45658</v>
      </c>
      <c r="AK623" s="8" t="str">
        <f>VLOOKUP(RawSalesTable[[#This Row],[Customer_ID_clean]],CustomersTable[],4,FALSE)</f>
        <v>Ontario</v>
      </c>
    </row>
    <row r="624" spans="1:37">
      <c r="A624" t="s">
        <v>1063</v>
      </c>
      <c r="B624" s="3">
        <v>45827</v>
      </c>
      <c r="C624" t="s">
        <v>220</v>
      </c>
      <c r="D624" t="s">
        <v>221</v>
      </c>
      <c r="E624" t="s">
        <v>222</v>
      </c>
      <c r="F624" t="s">
        <v>103</v>
      </c>
      <c r="G624" t="s">
        <v>130</v>
      </c>
      <c r="H624" t="s">
        <v>105</v>
      </c>
      <c r="I624">
        <v>2</v>
      </c>
      <c r="J624" s="2">
        <v>28.79</v>
      </c>
      <c r="K624" s="4">
        <v>0.05</v>
      </c>
      <c r="L624" t="s">
        <v>90</v>
      </c>
      <c r="M624">
        <v>4</v>
      </c>
      <c r="N624" t="s">
        <v>91</v>
      </c>
      <c r="O624" t="str">
        <f>SUBSTITUTE(PROPER(TRIM(RawSalesTable[[#This Row],[Channel_Raw]])), "Market Place", "Marketplace")</f>
        <v>Marketplace</v>
      </c>
      <c r="P624" t="str">
        <f>TRIM(RawSalesTable[[#This Row],[Store_Raw]])</f>
        <v>Vancouver West</v>
      </c>
      <c r="Q624" t="str">
        <f>IF(TRIM(RawSalesTable[[#This Row],[Payment_Method_Raw]])="","Non renseigné",SUBSTITUTE(TRIM(RawSalesTable[[#This Row],[Payment_Method_Raw]]),"CC","Credit Card"))</f>
        <v>PayPal</v>
      </c>
      <c r="R624" s="8" t="str">
        <f>UPPER(PROPER(RawSalesTable[[#This Row],[Customer_ID]]))</f>
        <v>C0067</v>
      </c>
      <c r="S624" s="8" t="str">
        <f>TRIM(LEFT(RawSalesTable[[#This Row],[Customer_Info]],FIND(",",RawSalesTable[[#This Row],[Customer_Info]]) -1))</f>
        <v>Leo Bennett</v>
      </c>
      <c r="T624" s="8" t="str">
        <f>TRIM(MID(RawSalesTable[[#This Row],[Customer_Info]],FIND(",",RawSalesTable[[#This Row],[Customer_Info]])+1,FIND(",",RawSalesTable[[#This Row],[Customer_Info]],FIND(",",RawSalesTable[[#This Row],[Customer_Info]])+1)-FIND(",",RawSalesTable[[#This Row],[Customer_Info]])-1))</f>
        <v>Mississauga</v>
      </c>
      <c r="U624" s="8" t="str">
        <f>TRIM(RIGHT(RawSalesTable[[#This Row],[Customer_Info]], LEN(RawSalesTable[[#This Row],[Customer_Info]])-FIND(",",RawSalesTable[[#This Row],[Customer_Info]],FIND(",",RawSalesTable[[#This Row],[Customer_Info]])+1)))</f>
        <v>Consumer</v>
      </c>
      <c r="V624" s="8" t="str">
        <f>VLOOKUP(RawSalesTable[[#This Row],[Product_ID]],ProductsTable[],2,FALSE)</f>
        <v>Air Fryer</v>
      </c>
      <c r="W624" s="8" t="str">
        <f>VLOOKUP(RawSalesTable[[#This Row],[Product_ID]],ProductsTable[],3,FALSE)</f>
        <v>Home</v>
      </c>
      <c r="X624" s="8">
        <f>VLOOKUP(RawSalesTable[[#This Row],[Product_ID]],ProductsTable[],5,FALSE)</f>
        <v>14.58</v>
      </c>
      <c r="Y624" s="8">
        <f>RawSalesTable[[#This Row],[Quantity]]*RawSalesTable[[#This Row],[Unit_Price]]</f>
        <v>57.58</v>
      </c>
      <c r="Z624" s="8">
        <f>RawSalesTable[[#This Row],[Gross_Sales]]*RawSalesTable[[#This Row],[Discount_Pct]]</f>
        <v>2.879</v>
      </c>
      <c r="AA624" s="8">
        <f>RawSalesTable[[#This Row],[Gross_Sales]]-RawSalesTable[[#This Row],[Discount_Amount]]</f>
        <v>54.701000000000001</v>
      </c>
      <c r="AB624" s="8">
        <f>RawSalesTable[[#This Row],[Unit_Cost]]*RawSalesTable[[#This Row],[Quantity]]</f>
        <v>29.16</v>
      </c>
      <c r="AC624" s="8">
        <f>RawSalesTable[[#This Row],[Net_Sales]]-RawSalesTable[[#This Row],[Total_Cost]]</f>
        <v>25.541</v>
      </c>
      <c r="AD624" s="9">
        <f>RawSalesTable[[#This Row],[Profit]]/RawSalesTable[[#This Row],[Net_Sales]]</f>
        <v>0.4669201659933091</v>
      </c>
      <c r="AE624" s="8">
        <f>IF(RawSalesTable[[#This Row],[Return_Status]]="Yes",1,0)</f>
        <v>0</v>
      </c>
      <c r="AF624" s="8">
        <f>YEAR(RawSalesTable[[#This Row],[Order_Date]])</f>
        <v>2025</v>
      </c>
      <c r="AG624" s="8">
        <f>MONTH(RawSalesTable[[#This Row],[Order_Date]])</f>
        <v>6</v>
      </c>
      <c r="AH624" s="8" t="str">
        <f>TEXT(RawSalesTable[[#This Row],[Order_Date]],"mmmm")</f>
        <v>juin</v>
      </c>
      <c r="AI624" s="8" t="str">
        <f>IF(RawSalesTable[[#This Row],[Month_Number]]&lt;=3,"Q1",IF(RawSalesTable[[#This Row],[Month_Number]]&lt;=6,"Q2",IF(RawSalesTable[[#This Row],[Month_Number]]&lt;=9,"Q3","Q4")))</f>
        <v>Q2</v>
      </c>
      <c r="AJ624" s="13">
        <f>DATE(YEAR(RawSalesTable[[#This Row],[Order_Date]]),MONTH(RawSalesTable[[#This Row],[Order_Date]]),1)</f>
        <v>45809</v>
      </c>
      <c r="AK624" s="8" t="str">
        <f>VLOOKUP(RawSalesTable[[#This Row],[Customer_ID_clean]],CustomersTable[],4,FALSE)</f>
        <v>Ontario</v>
      </c>
    </row>
    <row r="625" spans="1:37">
      <c r="A625" t="s">
        <v>1064</v>
      </c>
      <c r="B625" s="3">
        <v>45749</v>
      </c>
      <c r="C625" t="s">
        <v>414</v>
      </c>
      <c r="D625" t="s">
        <v>418</v>
      </c>
      <c r="E625" t="s">
        <v>415</v>
      </c>
      <c r="F625" t="s">
        <v>103</v>
      </c>
      <c r="G625" t="s">
        <v>88</v>
      </c>
      <c r="H625" t="s">
        <v>105</v>
      </c>
      <c r="I625">
        <v>1</v>
      </c>
      <c r="J625" s="2">
        <v>342.07</v>
      </c>
      <c r="K625" s="4">
        <v>0.05</v>
      </c>
      <c r="L625" t="s">
        <v>106</v>
      </c>
      <c r="M625">
        <v>9</v>
      </c>
      <c r="N625" t="s">
        <v>91</v>
      </c>
      <c r="O625" t="str">
        <f>SUBSTITUTE(PROPER(TRIM(RawSalesTable[[#This Row],[Channel_Raw]])), "Market Place", "Marketplace")</f>
        <v>Marketplace</v>
      </c>
      <c r="P625" t="str">
        <f>TRIM(RawSalesTable[[#This Row],[Store_Raw]])</f>
        <v>Vancouver West</v>
      </c>
      <c r="Q625" t="str">
        <f>IF(TRIM(RawSalesTable[[#This Row],[Payment_Method_Raw]])="","Non renseigné",SUBSTITUTE(TRIM(RawSalesTable[[#This Row],[Payment_Method_Raw]]),"CC","Credit Card"))</f>
        <v>Credit Card</v>
      </c>
      <c r="R625" s="8" t="str">
        <f>UPPER(PROPER(RawSalesTable[[#This Row],[Customer_ID]]))</f>
        <v>C0052</v>
      </c>
      <c r="S625" s="8" t="str">
        <f>TRIM(LEFT(RawSalesTable[[#This Row],[Customer_Info]],FIND(",",RawSalesTable[[#This Row],[Customer_Info]]) -1))</f>
        <v>Liam Bennett</v>
      </c>
      <c r="T625" s="8" t="str">
        <f>TRIM(MID(RawSalesTable[[#This Row],[Customer_Info]],FIND(",",RawSalesTable[[#This Row],[Customer_Info]])+1,FIND(",",RawSalesTable[[#This Row],[Customer_Info]],FIND(",",RawSalesTable[[#This Row],[Customer_Info]])+1)-FIND(",",RawSalesTable[[#This Row],[Customer_Info]])-1))</f>
        <v>Edmonton</v>
      </c>
      <c r="U625" s="8" t="str">
        <f>TRIM(RIGHT(RawSalesTable[[#This Row],[Customer_Info]], LEN(RawSalesTable[[#This Row],[Customer_Info]])-FIND(",",RawSalesTable[[#This Row],[Customer_Info]],FIND(",",RawSalesTable[[#This Row],[Customer_Info]])+1)))</f>
        <v>Corporate</v>
      </c>
      <c r="V625" s="8" t="str">
        <f>VLOOKUP(RawSalesTable[[#This Row],[Product_ID]],ProductsTable[],2,FALSE)</f>
        <v>Foam Roller</v>
      </c>
      <c r="W625" s="8" t="str">
        <f>VLOOKUP(RawSalesTable[[#This Row],[Product_ID]],ProductsTable[],3,FALSE)</f>
        <v>Fitness</v>
      </c>
      <c r="X625" s="8">
        <f>VLOOKUP(RawSalesTable[[#This Row],[Product_ID]],ProductsTable[],5,FALSE)</f>
        <v>212.02</v>
      </c>
      <c r="Y625" s="8">
        <f>RawSalesTable[[#This Row],[Quantity]]*RawSalesTable[[#This Row],[Unit_Price]]</f>
        <v>342.07</v>
      </c>
      <c r="Z625" s="8">
        <f>RawSalesTable[[#This Row],[Gross_Sales]]*RawSalesTable[[#This Row],[Discount_Pct]]</f>
        <v>17.1035</v>
      </c>
      <c r="AA625" s="8">
        <f>RawSalesTable[[#This Row],[Gross_Sales]]-RawSalesTable[[#This Row],[Discount_Amount]]</f>
        <v>324.9665</v>
      </c>
      <c r="AB625" s="8">
        <f>RawSalesTable[[#This Row],[Unit_Cost]]*RawSalesTable[[#This Row],[Quantity]]</f>
        <v>212.02</v>
      </c>
      <c r="AC625" s="8">
        <f>RawSalesTable[[#This Row],[Net_Sales]]-RawSalesTable[[#This Row],[Total_Cost]]</f>
        <v>112.94649999999999</v>
      </c>
      <c r="AD625" s="9">
        <f>RawSalesTable[[#This Row],[Profit]]/RawSalesTable[[#This Row],[Net_Sales]]</f>
        <v>0.34756351808571034</v>
      </c>
      <c r="AE625" s="8">
        <f>IF(RawSalesTable[[#This Row],[Return_Status]]="Yes",1,0)</f>
        <v>0</v>
      </c>
      <c r="AF625" s="8">
        <f>YEAR(RawSalesTable[[#This Row],[Order_Date]])</f>
        <v>2025</v>
      </c>
      <c r="AG625" s="8">
        <f>MONTH(RawSalesTable[[#This Row],[Order_Date]])</f>
        <v>4</v>
      </c>
      <c r="AH625" s="8" t="str">
        <f>TEXT(RawSalesTable[[#This Row],[Order_Date]],"mmmm")</f>
        <v>avril</v>
      </c>
      <c r="AI625" s="8" t="str">
        <f>IF(RawSalesTable[[#This Row],[Month_Number]]&lt;=3,"Q1",IF(RawSalesTable[[#This Row],[Month_Number]]&lt;=6,"Q2",IF(RawSalesTable[[#This Row],[Month_Number]]&lt;=9,"Q3","Q4")))</f>
        <v>Q2</v>
      </c>
      <c r="AJ625" s="13">
        <f>DATE(YEAR(RawSalesTable[[#This Row],[Order_Date]]),MONTH(RawSalesTable[[#This Row],[Order_Date]]),1)</f>
        <v>45748</v>
      </c>
      <c r="AK625" s="8" t="str">
        <f>VLOOKUP(RawSalesTable[[#This Row],[Customer_ID_clean]],CustomersTable[],4,FALSE)</f>
        <v>Alberta</v>
      </c>
    </row>
    <row r="626" spans="1:37">
      <c r="A626" t="s">
        <v>1065</v>
      </c>
      <c r="B626" s="3">
        <v>46010</v>
      </c>
      <c r="C626" t="s">
        <v>216</v>
      </c>
      <c r="D626" t="s">
        <v>174</v>
      </c>
      <c r="E626" t="s">
        <v>218</v>
      </c>
      <c r="F626" t="s">
        <v>87</v>
      </c>
      <c r="G626" t="s">
        <v>96</v>
      </c>
      <c r="H626" t="s">
        <v>89</v>
      </c>
      <c r="I626">
        <v>2</v>
      </c>
      <c r="J626" s="2">
        <v>38.06</v>
      </c>
      <c r="K626" s="4">
        <v>0</v>
      </c>
      <c r="L626" t="s">
        <v>146</v>
      </c>
      <c r="M626">
        <v>5</v>
      </c>
      <c r="N626" t="s">
        <v>91</v>
      </c>
      <c r="O626" t="str">
        <f>SUBSTITUTE(PROPER(TRIM(RawSalesTable[[#This Row],[Channel_Raw]])), "Market Place", "Marketplace")</f>
        <v>Online</v>
      </c>
      <c r="P626" t="str">
        <f>TRIM(RawSalesTable[[#This Row],[Store_Raw]])</f>
        <v>Online Fulfillment</v>
      </c>
      <c r="Q626" t="str">
        <f>IF(TRIM(RawSalesTable[[#This Row],[Payment_Method_Raw]])="","Non renseigné",SUBSTITUTE(TRIM(RawSalesTable[[#This Row],[Payment_Method_Raw]]),"CC","Credit Card"))</f>
        <v>Gift Card</v>
      </c>
      <c r="R626" s="8" t="str">
        <f>UPPER(PROPER(RawSalesTable[[#This Row],[Customer_ID]]))</f>
        <v>C0065</v>
      </c>
      <c r="S626" s="8" t="str">
        <f>TRIM(LEFT(RawSalesTable[[#This Row],[Customer_Info]],FIND(",",RawSalesTable[[#This Row],[Customer_Info]]) -1))</f>
        <v>Mia Wilson</v>
      </c>
      <c r="T626" s="8" t="str">
        <f>TRIM(MID(RawSalesTable[[#This Row],[Customer_Info]],FIND(",",RawSalesTable[[#This Row],[Customer_Info]])+1,FIND(",",RawSalesTable[[#This Row],[Customer_Info]],FIND(",",RawSalesTable[[#This Row],[Customer_Info]])+1)-FIND(",",RawSalesTable[[#This Row],[Customer_Info]])-1))</f>
        <v>Quebec City</v>
      </c>
      <c r="U626" s="8" t="str">
        <f>TRIM(RIGHT(RawSalesTable[[#This Row],[Customer_Info]], LEN(RawSalesTable[[#This Row],[Customer_Info]])-FIND(",",RawSalesTable[[#This Row],[Customer_Info]],FIND(",",RawSalesTable[[#This Row],[Customer_Info]])+1)))</f>
        <v>Consumer</v>
      </c>
      <c r="V626" s="8" t="str">
        <f>VLOOKUP(RawSalesTable[[#This Row],[Product_ID]],ProductsTable[],2,FALSE)</f>
        <v>Keyboard</v>
      </c>
      <c r="W626" s="8" t="str">
        <f>VLOOKUP(RawSalesTable[[#This Row],[Product_ID]],ProductsTable[],3,FALSE)</f>
        <v>Electronics</v>
      </c>
      <c r="X626" s="8">
        <f>VLOOKUP(RawSalesTable[[#This Row],[Product_ID]],ProductsTable[],5,FALSE)</f>
        <v>23.5</v>
      </c>
      <c r="Y626" s="8">
        <f>RawSalesTable[[#This Row],[Quantity]]*RawSalesTable[[#This Row],[Unit_Price]]</f>
        <v>76.12</v>
      </c>
      <c r="Z626" s="8">
        <f>RawSalesTable[[#This Row],[Gross_Sales]]*RawSalesTable[[#This Row],[Discount_Pct]]</f>
        <v>0</v>
      </c>
      <c r="AA626" s="8">
        <f>RawSalesTable[[#This Row],[Gross_Sales]]-RawSalesTable[[#This Row],[Discount_Amount]]</f>
        <v>76.12</v>
      </c>
      <c r="AB626" s="8">
        <f>RawSalesTable[[#This Row],[Unit_Cost]]*RawSalesTable[[#This Row],[Quantity]]</f>
        <v>47</v>
      </c>
      <c r="AC626" s="8">
        <f>RawSalesTable[[#This Row],[Net_Sales]]-RawSalesTable[[#This Row],[Total_Cost]]</f>
        <v>29.120000000000005</v>
      </c>
      <c r="AD626" s="9">
        <f>RawSalesTable[[#This Row],[Profit]]/RawSalesTable[[#This Row],[Net_Sales]]</f>
        <v>0.38255386232264849</v>
      </c>
      <c r="AE626" s="8">
        <f>IF(RawSalesTable[[#This Row],[Return_Status]]="Yes",1,0)</f>
        <v>0</v>
      </c>
      <c r="AF626" s="8">
        <f>YEAR(RawSalesTable[[#This Row],[Order_Date]])</f>
        <v>2025</v>
      </c>
      <c r="AG626" s="8">
        <f>MONTH(RawSalesTable[[#This Row],[Order_Date]])</f>
        <v>12</v>
      </c>
      <c r="AH626" s="8" t="str">
        <f>TEXT(RawSalesTable[[#This Row],[Order_Date]],"mmmm")</f>
        <v>décembre</v>
      </c>
      <c r="AI626" s="8" t="str">
        <f>IF(RawSalesTable[[#This Row],[Month_Number]]&lt;=3,"Q1",IF(RawSalesTable[[#This Row],[Month_Number]]&lt;=6,"Q2",IF(RawSalesTable[[#This Row],[Month_Number]]&lt;=9,"Q3","Q4")))</f>
        <v>Q4</v>
      </c>
      <c r="AJ626" s="13">
        <f>DATE(YEAR(RawSalesTable[[#This Row],[Order_Date]]),MONTH(RawSalesTable[[#This Row],[Order_Date]]),1)</f>
        <v>45992</v>
      </c>
      <c r="AK626" s="8" t="str">
        <f>VLOOKUP(RawSalesTable[[#This Row],[Customer_ID_clean]],CustomersTable[],4,FALSE)</f>
        <v>Quebec</v>
      </c>
    </row>
    <row r="627" spans="1:37">
      <c r="A627" t="s">
        <v>1066</v>
      </c>
      <c r="B627" s="3">
        <v>45662</v>
      </c>
      <c r="C627" t="s">
        <v>156</v>
      </c>
      <c r="D627" t="s">
        <v>136</v>
      </c>
      <c r="E627" t="s">
        <v>973</v>
      </c>
      <c r="F627" t="s">
        <v>145</v>
      </c>
      <c r="G627" t="s">
        <v>104</v>
      </c>
      <c r="H627" t="s">
        <v>97</v>
      </c>
      <c r="I627">
        <v>4</v>
      </c>
      <c r="J627" s="2">
        <v>155.75</v>
      </c>
      <c r="K627" s="4">
        <v>0.1</v>
      </c>
      <c r="L627" t="s">
        <v>106</v>
      </c>
      <c r="M627">
        <v>1</v>
      </c>
      <c r="N627" t="s">
        <v>91</v>
      </c>
      <c r="O627" t="str">
        <f>SUBSTITUTE(PROPER(TRIM(RawSalesTable[[#This Row],[Channel_Raw]])), "Market Place", "Marketplace")</f>
        <v>Retail Store</v>
      </c>
      <c r="P627" t="str">
        <f>TRIM(RawSalesTable[[#This Row],[Store_Raw]])</f>
        <v>Calgary North</v>
      </c>
      <c r="Q627" t="str">
        <f>IF(TRIM(RawSalesTable[[#This Row],[Payment_Method_Raw]])="","Non renseigné",SUBSTITUTE(TRIM(RawSalesTable[[#This Row],[Payment_Method_Raw]]),"CC","Credit Card"))</f>
        <v>Credit Card</v>
      </c>
      <c r="R627" s="8" t="str">
        <f>UPPER(PROPER(RawSalesTable[[#This Row],[Customer_ID]]))</f>
        <v>C0112</v>
      </c>
      <c r="S627" s="8" t="str">
        <f>TRIM(LEFT(RawSalesTable[[#This Row],[Customer_Info]],FIND(",",RawSalesTable[[#This Row],[Customer_Info]]) -1))</f>
        <v>Ava Bennett</v>
      </c>
      <c r="T627" s="8" t="str">
        <f>TRIM(MID(RawSalesTable[[#This Row],[Customer_Info]],FIND(",",RawSalesTable[[#This Row],[Customer_Info]])+1,FIND(",",RawSalesTable[[#This Row],[Customer_Info]],FIND(",",RawSalesTable[[#This Row],[Customer_Info]])+1)-FIND(",",RawSalesTable[[#This Row],[Customer_Info]])-1))</f>
        <v>Halifax</v>
      </c>
      <c r="U627" s="8" t="str">
        <f>TRIM(RIGHT(RawSalesTable[[#This Row],[Customer_Info]], LEN(RawSalesTable[[#This Row],[Customer_Info]])-FIND(",",RawSalesTable[[#This Row],[Customer_Info]],FIND(",",RawSalesTable[[#This Row],[Customer_Info]])+1)))</f>
        <v>Consumer</v>
      </c>
      <c r="V627" s="8" t="str">
        <f>VLOOKUP(RawSalesTable[[#This Row],[Product_ID]],ProductsTable[],2,FALSE)</f>
        <v>Mouse</v>
      </c>
      <c r="W627" s="8" t="str">
        <f>VLOOKUP(RawSalesTable[[#This Row],[Product_ID]],ProductsTable[],3,FALSE)</f>
        <v>Electronics</v>
      </c>
      <c r="X627" s="8">
        <f>VLOOKUP(RawSalesTable[[#This Row],[Product_ID]],ProductsTable[],5,FALSE)</f>
        <v>106.4</v>
      </c>
      <c r="Y627" s="8">
        <f>RawSalesTable[[#This Row],[Quantity]]*RawSalesTable[[#This Row],[Unit_Price]]</f>
        <v>623</v>
      </c>
      <c r="Z627" s="8">
        <f>RawSalesTable[[#This Row],[Gross_Sales]]*RawSalesTable[[#This Row],[Discount_Pct]]</f>
        <v>62.300000000000004</v>
      </c>
      <c r="AA627" s="8">
        <f>RawSalesTable[[#This Row],[Gross_Sales]]-RawSalesTable[[#This Row],[Discount_Amount]]</f>
        <v>560.70000000000005</v>
      </c>
      <c r="AB627" s="8">
        <f>RawSalesTable[[#This Row],[Unit_Cost]]*RawSalesTable[[#This Row],[Quantity]]</f>
        <v>425.6</v>
      </c>
      <c r="AC627" s="8">
        <f>RawSalesTable[[#This Row],[Net_Sales]]-RawSalesTable[[#This Row],[Total_Cost]]</f>
        <v>135.10000000000002</v>
      </c>
      <c r="AD627" s="9">
        <f>RawSalesTable[[#This Row],[Profit]]/RawSalesTable[[#This Row],[Net_Sales]]</f>
        <v>0.24094881398252188</v>
      </c>
      <c r="AE627" s="8">
        <f>IF(RawSalesTable[[#This Row],[Return_Status]]="Yes",1,0)</f>
        <v>0</v>
      </c>
      <c r="AF627" s="8">
        <f>YEAR(RawSalesTable[[#This Row],[Order_Date]])</f>
        <v>2025</v>
      </c>
      <c r="AG627" s="8">
        <f>MONTH(RawSalesTable[[#This Row],[Order_Date]])</f>
        <v>1</v>
      </c>
      <c r="AH627" s="8" t="str">
        <f>TEXT(RawSalesTable[[#This Row],[Order_Date]],"mmmm")</f>
        <v>janvier</v>
      </c>
      <c r="AI627" s="8" t="str">
        <f>IF(RawSalesTable[[#This Row],[Month_Number]]&lt;=3,"Q1",IF(RawSalesTable[[#This Row],[Month_Number]]&lt;=6,"Q2",IF(RawSalesTable[[#This Row],[Month_Number]]&lt;=9,"Q3","Q4")))</f>
        <v>Q1</v>
      </c>
      <c r="AJ627" s="13">
        <f>DATE(YEAR(RawSalesTable[[#This Row],[Order_Date]]),MONTH(RawSalesTable[[#This Row],[Order_Date]]),1)</f>
        <v>45658</v>
      </c>
      <c r="AK627" s="8" t="str">
        <f>VLOOKUP(RawSalesTable[[#This Row],[Customer_ID_clean]],CustomersTable[],4,FALSE)</f>
        <v>Nova Scotia</v>
      </c>
    </row>
    <row r="628" spans="1:37">
      <c r="A628" t="s">
        <v>1067</v>
      </c>
      <c r="B628" s="3">
        <v>45786</v>
      </c>
      <c r="C628" t="s">
        <v>466</v>
      </c>
      <c r="D628" t="s">
        <v>738</v>
      </c>
      <c r="E628" t="s">
        <v>467</v>
      </c>
      <c r="F628" t="s">
        <v>111</v>
      </c>
      <c r="G628" t="s">
        <v>130</v>
      </c>
      <c r="H628" t="s">
        <v>89</v>
      </c>
      <c r="I628">
        <v>4</v>
      </c>
      <c r="J628" s="2">
        <v>319.06</v>
      </c>
      <c r="K628" s="4">
        <v>0.1</v>
      </c>
      <c r="L628" t="s">
        <v>106</v>
      </c>
      <c r="M628">
        <v>2</v>
      </c>
      <c r="N628" t="s">
        <v>91</v>
      </c>
      <c r="O628" t="str">
        <f>SUBSTITUTE(PROPER(TRIM(RawSalesTable[[#This Row],[Channel_Raw]])), "Market Place", "Marketplace")</f>
        <v>Online</v>
      </c>
      <c r="P628" t="str">
        <f>TRIM(RawSalesTable[[#This Row],[Store_Raw]])</f>
        <v>Montreal Central</v>
      </c>
      <c r="Q628" t="str">
        <f>IF(TRIM(RawSalesTable[[#This Row],[Payment_Method_Raw]])="","Non renseigné",SUBSTITUTE(TRIM(RawSalesTable[[#This Row],[Payment_Method_Raw]]),"CC","Credit Card"))</f>
        <v>Credit Card</v>
      </c>
      <c r="R628" s="8" t="str">
        <f>UPPER(PROPER(RawSalesTable[[#This Row],[Customer_ID]]))</f>
        <v>C0096</v>
      </c>
      <c r="S628" s="8" t="str">
        <f>TRIM(LEFT(RawSalesTable[[#This Row],[Customer_Info]],FIND(",",RawSalesTable[[#This Row],[Customer_Info]]) -1))</f>
        <v>Ryan Roy</v>
      </c>
      <c r="T628" s="8" t="str">
        <f>TRIM(MID(RawSalesTable[[#This Row],[Customer_Info]],FIND(",",RawSalesTable[[#This Row],[Customer_Info]])+1,FIND(",",RawSalesTable[[#This Row],[Customer_Info]],FIND(",",RawSalesTable[[#This Row],[Customer_Info]])+1)-FIND(",",RawSalesTable[[#This Row],[Customer_Info]])-1))</f>
        <v>Laval</v>
      </c>
      <c r="U628" s="8" t="str">
        <f>TRIM(RIGHT(RawSalesTable[[#This Row],[Customer_Info]], LEN(RawSalesTable[[#This Row],[Customer_Info]])-FIND(",",RawSalesTable[[#This Row],[Customer_Info]],FIND(",",RawSalesTable[[#This Row],[Customer_Info]])+1)))</f>
        <v>Corporate</v>
      </c>
      <c r="V628" s="8" t="str">
        <f>VLOOKUP(RawSalesTable[[#This Row],[Product_ID]],ProductsTable[],2,FALSE)</f>
        <v>Printer</v>
      </c>
      <c r="W628" s="8" t="str">
        <f>VLOOKUP(RawSalesTable[[#This Row],[Product_ID]],ProductsTable[],3,FALSE)</f>
        <v>Office</v>
      </c>
      <c r="X628" s="8">
        <f>VLOOKUP(RawSalesTable[[#This Row],[Product_ID]],ProductsTable[],5,FALSE)</f>
        <v>156.75</v>
      </c>
      <c r="Y628" s="8">
        <f>RawSalesTable[[#This Row],[Quantity]]*RawSalesTable[[#This Row],[Unit_Price]]</f>
        <v>1276.24</v>
      </c>
      <c r="Z628" s="8">
        <f>RawSalesTable[[#This Row],[Gross_Sales]]*RawSalesTable[[#This Row],[Discount_Pct]]</f>
        <v>127.62400000000001</v>
      </c>
      <c r="AA628" s="8">
        <f>RawSalesTable[[#This Row],[Gross_Sales]]-RawSalesTable[[#This Row],[Discount_Amount]]</f>
        <v>1148.616</v>
      </c>
      <c r="AB628" s="8">
        <f>RawSalesTable[[#This Row],[Unit_Cost]]*RawSalesTable[[#This Row],[Quantity]]</f>
        <v>627</v>
      </c>
      <c r="AC628" s="8">
        <f>RawSalesTable[[#This Row],[Net_Sales]]-RawSalesTable[[#This Row],[Total_Cost]]</f>
        <v>521.61599999999999</v>
      </c>
      <c r="AD628" s="9">
        <f>RawSalesTable[[#This Row],[Profit]]/RawSalesTable[[#This Row],[Net_Sales]]</f>
        <v>0.45412566079525274</v>
      </c>
      <c r="AE628" s="8">
        <f>IF(RawSalesTable[[#This Row],[Return_Status]]="Yes",1,0)</f>
        <v>0</v>
      </c>
      <c r="AF628" s="8">
        <f>YEAR(RawSalesTable[[#This Row],[Order_Date]])</f>
        <v>2025</v>
      </c>
      <c r="AG628" s="8">
        <f>MONTH(RawSalesTable[[#This Row],[Order_Date]])</f>
        <v>5</v>
      </c>
      <c r="AH628" s="8" t="str">
        <f>TEXT(RawSalesTable[[#This Row],[Order_Date]],"mmmm")</f>
        <v>mai</v>
      </c>
      <c r="AI628" s="8" t="str">
        <f>IF(RawSalesTable[[#This Row],[Month_Number]]&lt;=3,"Q1",IF(RawSalesTable[[#This Row],[Month_Number]]&lt;=6,"Q2",IF(RawSalesTable[[#This Row],[Month_Number]]&lt;=9,"Q3","Q4")))</f>
        <v>Q2</v>
      </c>
      <c r="AJ628" s="13">
        <f>DATE(YEAR(RawSalesTable[[#This Row],[Order_Date]]),MONTH(RawSalesTable[[#This Row],[Order_Date]]),1)</f>
        <v>45778</v>
      </c>
      <c r="AK628" s="8" t="str">
        <f>VLOOKUP(RawSalesTable[[#This Row],[Customer_ID_clean]],CustomersTable[],4,FALSE)</f>
        <v>Quebec</v>
      </c>
    </row>
    <row r="629" spans="1:37">
      <c r="A629" t="s">
        <v>1068</v>
      </c>
      <c r="B629" s="3">
        <v>45893</v>
      </c>
      <c r="C629" t="s">
        <v>564</v>
      </c>
      <c r="D629" t="s">
        <v>190</v>
      </c>
      <c r="E629" t="s">
        <v>1069</v>
      </c>
      <c r="F629" t="s">
        <v>111</v>
      </c>
      <c r="G629" t="s">
        <v>122</v>
      </c>
      <c r="H629" t="s">
        <v>89</v>
      </c>
      <c r="I629">
        <v>2</v>
      </c>
      <c r="J629" s="2">
        <v>296.08</v>
      </c>
      <c r="K629" s="4">
        <v>0</v>
      </c>
      <c r="L629" t="s">
        <v>441</v>
      </c>
      <c r="M629">
        <v>1</v>
      </c>
      <c r="N629" t="s">
        <v>91</v>
      </c>
      <c r="O629" t="str">
        <f>SUBSTITUTE(PROPER(TRIM(RawSalesTable[[#This Row],[Channel_Raw]])), "Market Place", "Marketplace")</f>
        <v>Online</v>
      </c>
      <c r="P629" t="str">
        <f>TRIM(RawSalesTable[[#This Row],[Store_Raw]])</f>
        <v>Montreal Central</v>
      </c>
      <c r="Q629" t="str">
        <f>IF(TRIM(RawSalesTable[[#This Row],[Payment_Method_Raw]])="","Non renseigné",SUBSTITUTE(TRIM(RawSalesTable[[#This Row],[Payment_Method_Raw]]),"CC","Credit Card"))</f>
        <v>credit card</v>
      </c>
      <c r="R629" s="8" t="str">
        <f>UPPER(PROPER(RawSalesTable[[#This Row],[Customer_ID]]))</f>
        <v>C0095</v>
      </c>
      <c r="S629" s="8" t="str">
        <f>TRIM(LEFT(RawSalesTable[[#This Row],[Customer_Info]],FIND(",",RawSalesTable[[#This Row],[Customer_Info]]) -1))</f>
        <v>Maya White</v>
      </c>
      <c r="T629" s="8" t="str">
        <f>TRIM(MID(RawSalesTable[[#This Row],[Customer_Info]],FIND(",",RawSalesTable[[#This Row],[Customer_Info]])+1,FIND(",",RawSalesTable[[#This Row],[Customer_Info]],FIND(",",RawSalesTable[[#This Row],[Customer_Info]])+1)-FIND(",",RawSalesTable[[#This Row],[Customer_Info]])-1))</f>
        <v>Quebec City</v>
      </c>
      <c r="U629" s="8" t="str">
        <f>TRIM(RIGHT(RawSalesTable[[#This Row],[Customer_Info]], LEN(RawSalesTable[[#This Row],[Customer_Info]])-FIND(",",RawSalesTable[[#This Row],[Customer_Info]],FIND(",",RawSalesTable[[#This Row],[Customer_Info]])+1)))</f>
        <v>Corporate</v>
      </c>
      <c r="V629" s="8" t="str">
        <f>VLOOKUP(RawSalesTable[[#This Row],[Product_ID]],ProductsTable[],2,FALSE)</f>
        <v>Webcam</v>
      </c>
      <c r="W629" s="8" t="str">
        <f>VLOOKUP(RawSalesTable[[#This Row],[Product_ID]],ProductsTable[],3,FALSE)</f>
        <v>Electronics</v>
      </c>
      <c r="X629" s="8">
        <f>VLOOKUP(RawSalesTable[[#This Row],[Product_ID]],ProductsTable[],5,FALSE)</f>
        <v>154.72999999999999</v>
      </c>
      <c r="Y629" s="8">
        <f>RawSalesTable[[#This Row],[Quantity]]*RawSalesTable[[#This Row],[Unit_Price]]</f>
        <v>592.16</v>
      </c>
      <c r="Z629" s="8">
        <f>RawSalesTable[[#This Row],[Gross_Sales]]*RawSalesTable[[#This Row],[Discount_Pct]]</f>
        <v>0</v>
      </c>
      <c r="AA629" s="8">
        <f>RawSalesTable[[#This Row],[Gross_Sales]]-RawSalesTable[[#This Row],[Discount_Amount]]</f>
        <v>592.16</v>
      </c>
      <c r="AB629" s="8">
        <f>RawSalesTable[[#This Row],[Unit_Cost]]*RawSalesTable[[#This Row],[Quantity]]</f>
        <v>309.45999999999998</v>
      </c>
      <c r="AC629" s="8">
        <f>RawSalesTable[[#This Row],[Net_Sales]]-RawSalesTable[[#This Row],[Total_Cost]]</f>
        <v>282.7</v>
      </c>
      <c r="AD629" s="9">
        <f>RawSalesTable[[#This Row],[Profit]]/RawSalesTable[[#This Row],[Net_Sales]]</f>
        <v>0.47740475547149419</v>
      </c>
      <c r="AE629" s="8">
        <f>IF(RawSalesTable[[#This Row],[Return_Status]]="Yes",1,0)</f>
        <v>0</v>
      </c>
      <c r="AF629" s="8">
        <f>YEAR(RawSalesTable[[#This Row],[Order_Date]])</f>
        <v>2025</v>
      </c>
      <c r="AG629" s="8">
        <f>MONTH(RawSalesTable[[#This Row],[Order_Date]])</f>
        <v>8</v>
      </c>
      <c r="AH629" s="8" t="str">
        <f>TEXT(RawSalesTable[[#This Row],[Order_Date]],"mmmm")</f>
        <v>août</v>
      </c>
      <c r="AI629" s="8" t="str">
        <f>IF(RawSalesTable[[#This Row],[Month_Number]]&lt;=3,"Q1",IF(RawSalesTable[[#This Row],[Month_Number]]&lt;=6,"Q2",IF(RawSalesTable[[#This Row],[Month_Number]]&lt;=9,"Q3","Q4")))</f>
        <v>Q3</v>
      </c>
      <c r="AJ629" s="13">
        <f>DATE(YEAR(RawSalesTable[[#This Row],[Order_Date]]),MONTH(RawSalesTable[[#This Row],[Order_Date]]),1)</f>
        <v>45870</v>
      </c>
      <c r="AK629" s="8" t="str">
        <f>VLOOKUP(RawSalesTable[[#This Row],[Customer_ID_clean]],CustomersTable[],4,FALSE)</f>
        <v>Quebec</v>
      </c>
    </row>
    <row r="630" spans="1:37">
      <c r="A630" t="s">
        <v>1070</v>
      </c>
      <c r="B630" s="3">
        <v>45780</v>
      </c>
      <c r="C630" t="s">
        <v>613</v>
      </c>
      <c r="D630" t="s">
        <v>277</v>
      </c>
      <c r="E630" t="s">
        <v>710</v>
      </c>
      <c r="F630" t="s">
        <v>103</v>
      </c>
      <c r="G630" t="s">
        <v>130</v>
      </c>
      <c r="H630" t="s">
        <v>246</v>
      </c>
      <c r="I630">
        <v>1</v>
      </c>
      <c r="J630" s="2">
        <v>376.61</v>
      </c>
      <c r="K630" s="4">
        <v>0.05</v>
      </c>
      <c r="L630" t="s">
        <v>98</v>
      </c>
      <c r="M630">
        <v>1</v>
      </c>
      <c r="N630" t="s">
        <v>91</v>
      </c>
      <c r="O630" t="str">
        <f>SUBSTITUTE(PROPER(TRIM(RawSalesTable[[#This Row],[Channel_Raw]])), "Market Place", "Marketplace")</f>
        <v>Retail Store</v>
      </c>
      <c r="P630" t="str">
        <f>TRIM(RawSalesTable[[#This Row],[Store_Raw]])</f>
        <v>Vancouver West</v>
      </c>
      <c r="Q630" t="str">
        <f>IF(TRIM(RawSalesTable[[#This Row],[Payment_Method_Raw]])="","Non renseigné",SUBSTITUTE(TRIM(RawSalesTable[[#This Row],[Payment_Method_Raw]]),"CC","Credit Card"))</f>
        <v>Debit Card</v>
      </c>
      <c r="R630" s="8" t="str">
        <f>UPPER(PROPER(RawSalesTable[[#This Row],[Customer_ID]]))</f>
        <v>C0060</v>
      </c>
      <c r="S630" s="8" t="str">
        <f>TRIM(LEFT(RawSalesTable[[#This Row],[Customer_Info]],FIND(",",RawSalesTable[[#This Row],[Customer_Info]]) -1))</f>
        <v>Sarah Wilson</v>
      </c>
      <c r="T630" s="8" t="str">
        <f>TRIM(MID(RawSalesTable[[#This Row],[Customer_Info]],FIND(",",RawSalesTable[[#This Row],[Customer_Info]])+1,FIND(",",RawSalesTable[[#This Row],[Customer_Info]],FIND(",",RawSalesTable[[#This Row],[Customer_Info]])+1)-FIND(",",RawSalesTable[[#This Row],[Customer_Info]])-1))</f>
        <v>Quebec City</v>
      </c>
      <c r="U630" s="8" t="str">
        <f>TRIM(RIGHT(RawSalesTable[[#This Row],[Customer_Info]], LEN(RawSalesTable[[#This Row],[Customer_Info]])-FIND(",",RawSalesTable[[#This Row],[Customer_Info]],FIND(",",RawSalesTable[[#This Row],[Customer_Info]])+1)))</f>
        <v>Corporate</v>
      </c>
      <c r="V630" s="8" t="str">
        <f>VLOOKUP(RawSalesTable[[#This Row],[Product_ID]],ProductsTable[],2,FALSE)</f>
        <v>Headphones</v>
      </c>
      <c r="W630" s="8" t="str">
        <f>VLOOKUP(RawSalesTable[[#This Row],[Product_ID]],ProductsTable[],3,FALSE)</f>
        <v>Electronics</v>
      </c>
      <c r="X630" s="8">
        <f>VLOOKUP(RawSalesTable[[#This Row],[Product_ID]],ProductsTable[],5,FALSE)</f>
        <v>254.6</v>
      </c>
      <c r="Y630" s="8">
        <f>RawSalesTable[[#This Row],[Quantity]]*RawSalesTable[[#This Row],[Unit_Price]]</f>
        <v>376.61</v>
      </c>
      <c r="Z630" s="8">
        <f>RawSalesTable[[#This Row],[Gross_Sales]]*RawSalesTable[[#This Row],[Discount_Pct]]</f>
        <v>18.830500000000001</v>
      </c>
      <c r="AA630" s="8">
        <f>RawSalesTable[[#This Row],[Gross_Sales]]-RawSalesTable[[#This Row],[Discount_Amount]]</f>
        <v>357.77949999999998</v>
      </c>
      <c r="AB630" s="8">
        <f>RawSalesTable[[#This Row],[Unit_Cost]]*RawSalesTable[[#This Row],[Quantity]]</f>
        <v>254.6</v>
      </c>
      <c r="AC630" s="8">
        <f>RawSalesTable[[#This Row],[Net_Sales]]-RawSalesTable[[#This Row],[Total_Cost]]</f>
        <v>103.17949999999999</v>
      </c>
      <c r="AD630" s="9">
        <f>RawSalesTable[[#This Row],[Profit]]/RawSalesTable[[#This Row],[Net_Sales]]</f>
        <v>0.28838851862669601</v>
      </c>
      <c r="AE630" s="8">
        <f>IF(RawSalesTable[[#This Row],[Return_Status]]="Yes",1,0)</f>
        <v>0</v>
      </c>
      <c r="AF630" s="8">
        <f>YEAR(RawSalesTable[[#This Row],[Order_Date]])</f>
        <v>2025</v>
      </c>
      <c r="AG630" s="8">
        <f>MONTH(RawSalesTable[[#This Row],[Order_Date]])</f>
        <v>5</v>
      </c>
      <c r="AH630" s="8" t="str">
        <f>TEXT(RawSalesTable[[#This Row],[Order_Date]],"mmmm")</f>
        <v>mai</v>
      </c>
      <c r="AI630" s="8" t="str">
        <f>IF(RawSalesTable[[#This Row],[Month_Number]]&lt;=3,"Q1",IF(RawSalesTable[[#This Row],[Month_Number]]&lt;=6,"Q2",IF(RawSalesTable[[#This Row],[Month_Number]]&lt;=9,"Q3","Q4")))</f>
        <v>Q2</v>
      </c>
      <c r="AJ630" s="13">
        <f>DATE(YEAR(RawSalesTable[[#This Row],[Order_Date]]),MONTH(RawSalesTable[[#This Row],[Order_Date]]),1)</f>
        <v>45778</v>
      </c>
      <c r="AK630" s="8" t="str">
        <f>VLOOKUP(RawSalesTable[[#This Row],[Customer_ID_clean]],CustomersTable[],4,FALSE)</f>
        <v>Quebec</v>
      </c>
    </row>
    <row r="631" spans="1:37">
      <c r="A631" t="s">
        <v>1071</v>
      </c>
      <c r="B631" s="3">
        <v>45791</v>
      </c>
      <c r="C631" t="s">
        <v>438</v>
      </c>
      <c r="D631" t="s">
        <v>231</v>
      </c>
      <c r="E631" t="s">
        <v>439</v>
      </c>
      <c r="F631" t="s">
        <v>103</v>
      </c>
      <c r="G631" t="s">
        <v>117</v>
      </c>
      <c r="H631" t="s">
        <v>97</v>
      </c>
      <c r="I631">
        <v>2</v>
      </c>
      <c r="J631" s="2">
        <v>364.47</v>
      </c>
      <c r="K631" s="4">
        <v>0.25</v>
      </c>
      <c r="L631" t="s">
        <v>106</v>
      </c>
      <c r="M631">
        <v>4</v>
      </c>
      <c r="N631" t="s">
        <v>91</v>
      </c>
      <c r="O631" t="str">
        <f>SUBSTITUTE(PROPER(TRIM(RawSalesTable[[#This Row],[Channel_Raw]])), "Market Place", "Marketplace")</f>
        <v>Retail Store</v>
      </c>
      <c r="P631" t="str">
        <f>TRIM(RawSalesTable[[#This Row],[Store_Raw]])</f>
        <v>Vancouver West</v>
      </c>
      <c r="Q631" t="str">
        <f>IF(TRIM(RawSalesTable[[#This Row],[Payment_Method_Raw]])="","Non renseigné",SUBSTITUTE(TRIM(RawSalesTable[[#This Row],[Payment_Method_Raw]]),"CC","Credit Card"))</f>
        <v>Credit Card</v>
      </c>
      <c r="R631" s="8" t="str">
        <f>UPPER(PROPER(RawSalesTable[[#This Row],[Customer_ID]]))</f>
        <v>C0028</v>
      </c>
      <c r="S631" s="8" t="str">
        <f>TRIM(LEFT(RawSalesTable[[#This Row],[Customer_Info]],FIND(",",RawSalesTable[[#This Row],[Customer_Info]]) -1))</f>
        <v>Mia Clark</v>
      </c>
      <c r="T631" s="8" t="str">
        <f>TRIM(MID(RawSalesTable[[#This Row],[Customer_Info]],FIND(",",RawSalesTable[[#This Row],[Customer_Info]])+1,FIND(",",RawSalesTable[[#This Row],[Customer_Info]],FIND(",",RawSalesTable[[#This Row],[Customer_Info]])+1)-FIND(",",RawSalesTable[[#This Row],[Customer_Info]])-1))</f>
        <v>Victoria</v>
      </c>
      <c r="U631" s="8" t="str">
        <f>TRIM(RIGHT(RawSalesTable[[#This Row],[Customer_Info]], LEN(RawSalesTable[[#This Row],[Customer_Info]])-FIND(",",RawSalesTable[[#This Row],[Customer_Info]],FIND(",",RawSalesTable[[#This Row],[Customer_Info]])+1)))</f>
        <v>Consumer</v>
      </c>
      <c r="V631" s="8" t="str">
        <f>VLOOKUP(RawSalesTable[[#This Row],[Product_ID]],ProductsTable[],2,FALSE)</f>
        <v>Cable Set</v>
      </c>
      <c r="W631" s="8" t="str">
        <f>VLOOKUP(RawSalesTable[[#This Row],[Product_ID]],ProductsTable[],3,FALSE)</f>
        <v>Accessories</v>
      </c>
      <c r="X631" s="8">
        <f>VLOOKUP(RawSalesTable[[#This Row],[Product_ID]],ProductsTable[],5,FALSE)</f>
        <v>200.16</v>
      </c>
      <c r="Y631" s="8">
        <f>RawSalesTable[[#This Row],[Quantity]]*RawSalesTable[[#This Row],[Unit_Price]]</f>
        <v>728.94</v>
      </c>
      <c r="Z631" s="8">
        <f>RawSalesTable[[#This Row],[Gross_Sales]]*RawSalesTable[[#This Row],[Discount_Pct]]</f>
        <v>182.23500000000001</v>
      </c>
      <c r="AA631" s="8">
        <f>RawSalesTable[[#This Row],[Gross_Sales]]-RawSalesTable[[#This Row],[Discount_Amount]]</f>
        <v>546.70500000000004</v>
      </c>
      <c r="AB631" s="8">
        <f>RawSalesTable[[#This Row],[Unit_Cost]]*RawSalesTable[[#This Row],[Quantity]]</f>
        <v>400.32</v>
      </c>
      <c r="AC631" s="8">
        <f>RawSalesTable[[#This Row],[Net_Sales]]-RawSalesTable[[#This Row],[Total_Cost]]</f>
        <v>146.38500000000005</v>
      </c>
      <c r="AD631" s="9">
        <f>RawSalesTable[[#This Row],[Profit]]/RawSalesTable[[#This Row],[Net_Sales]]</f>
        <v>0.26775866326446629</v>
      </c>
      <c r="AE631" s="8">
        <f>IF(RawSalesTable[[#This Row],[Return_Status]]="Yes",1,0)</f>
        <v>0</v>
      </c>
      <c r="AF631" s="8">
        <f>YEAR(RawSalesTable[[#This Row],[Order_Date]])</f>
        <v>2025</v>
      </c>
      <c r="AG631" s="8">
        <f>MONTH(RawSalesTable[[#This Row],[Order_Date]])</f>
        <v>5</v>
      </c>
      <c r="AH631" s="8" t="str">
        <f>TEXT(RawSalesTable[[#This Row],[Order_Date]],"mmmm")</f>
        <v>mai</v>
      </c>
      <c r="AI631" s="8" t="str">
        <f>IF(RawSalesTable[[#This Row],[Month_Number]]&lt;=3,"Q1",IF(RawSalesTable[[#This Row],[Month_Number]]&lt;=6,"Q2",IF(RawSalesTable[[#This Row],[Month_Number]]&lt;=9,"Q3","Q4")))</f>
        <v>Q2</v>
      </c>
      <c r="AJ631" s="13">
        <f>DATE(YEAR(RawSalesTable[[#This Row],[Order_Date]]),MONTH(RawSalesTable[[#This Row],[Order_Date]]),1)</f>
        <v>45778</v>
      </c>
      <c r="AK631" s="8" t="str">
        <f>VLOOKUP(RawSalesTable[[#This Row],[Customer_ID_clean]],CustomersTable[],4,FALSE)</f>
        <v>British Columbia</v>
      </c>
    </row>
    <row r="632" spans="1:37">
      <c r="A632" t="s">
        <v>1072</v>
      </c>
      <c r="B632" s="3">
        <v>45749</v>
      </c>
      <c r="C632" t="s">
        <v>113</v>
      </c>
      <c r="D632" t="s">
        <v>157</v>
      </c>
      <c r="E632" t="s">
        <v>1073</v>
      </c>
      <c r="F632" t="s">
        <v>145</v>
      </c>
      <c r="G632" t="s">
        <v>104</v>
      </c>
      <c r="H632" t="s">
        <v>89</v>
      </c>
      <c r="I632">
        <v>2</v>
      </c>
      <c r="J632" s="2">
        <v>309.31</v>
      </c>
      <c r="K632" s="4">
        <v>0.2</v>
      </c>
      <c r="L632" t="s">
        <v>90</v>
      </c>
      <c r="M632">
        <v>1</v>
      </c>
      <c r="N632" t="s">
        <v>91</v>
      </c>
      <c r="O632" t="str">
        <f>SUBSTITUTE(PROPER(TRIM(RawSalesTable[[#This Row],[Channel_Raw]])), "Market Place", "Marketplace")</f>
        <v>Online</v>
      </c>
      <c r="P632" t="str">
        <f>TRIM(RawSalesTable[[#This Row],[Store_Raw]])</f>
        <v>Calgary North</v>
      </c>
      <c r="Q632" t="str">
        <f>IF(TRIM(RawSalesTable[[#This Row],[Payment_Method_Raw]])="","Non renseigné",SUBSTITUTE(TRIM(RawSalesTable[[#This Row],[Payment_Method_Raw]]),"CC","Credit Card"))</f>
        <v>PayPal</v>
      </c>
      <c r="R632" s="8" t="str">
        <f>UPPER(PROPER(RawSalesTable[[#This Row],[Customer_ID]]))</f>
        <v>C0083</v>
      </c>
      <c r="S632" s="8" t="str">
        <f>TRIM(LEFT(RawSalesTable[[#This Row],[Customer_Info]],FIND(",",RawSalesTable[[#This Row],[Customer_Info]]) -1))</f>
        <v>Amine King</v>
      </c>
      <c r="T632" s="8" t="str">
        <f>TRIM(MID(RawSalesTable[[#This Row],[Customer_Info]],FIND(",",RawSalesTable[[#This Row],[Customer_Info]])+1,FIND(",",RawSalesTable[[#This Row],[Customer_Info]],FIND(",",RawSalesTable[[#This Row],[Customer_Info]])+1)-FIND(",",RawSalesTable[[#This Row],[Customer_Info]])-1))</f>
        <v>Edmonton</v>
      </c>
      <c r="U632" s="8" t="str">
        <f>TRIM(RIGHT(RawSalesTable[[#This Row],[Customer_Info]], LEN(RawSalesTable[[#This Row],[Customer_Info]])-FIND(",",RawSalesTable[[#This Row],[Customer_Info]],FIND(",",RawSalesTable[[#This Row],[Customer_Info]])+1)))</f>
        <v>Consumer</v>
      </c>
      <c r="V632" s="8" t="str">
        <f>VLOOKUP(RawSalesTable[[#This Row],[Product_ID]],ProductsTable[],2,FALSE)</f>
        <v>Notebook</v>
      </c>
      <c r="W632" s="8" t="str">
        <f>VLOOKUP(RawSalesTable[[#This Row],[Product_ID]],ProductsTable[],3,FALSE)</f>
        <v>Office</v>
      </c>
      <c r="X632" s="8">
        <f>VLOOKUP(RawSalesTable[[#This Row],[Product_ID]],ProductsTable[],5,FALSE)</f>
        <v>176.13</v>
      </c>
      <c r="Y632" s="8">
        <f>RawSalesTable[[#This Row],[Quantity]]*RawSalesTable[[#This Row],[Unit_Price]]</f>
        <v>618.62</v>
      </c>
      <c r="Z632" s="8">
        <f>RawSalesTable[[#This Row],[Gross_Sales]]*RawSalesTable[[#This Row],[Discount_Pct]]</f>
        <v>123.724</v>
      </c>
      <c r="AA632" s="8">
        <f>RawSalesTable[[#This Row],[Gross_Sales]]-RawSalesTable[[#This Row],[Discount_Amount]]</f>
        <v>494.89600000000002</v>
      </c>
      <c r="AB632" s="8">
        <f>RawSalesTable[[#This Row],[Unit_Cost]]*RawSalesTable[[#This Row],[Quantity]]</f>
        <v>352.26</v>
      </c>
      <c r="AC632" s="8">
        <f>RawSalesTable[[#This Row],[Net_Sales]]-RawSalesTable[[#This Row],[Total_Cost]]</f>
        <v>142.63600000000002</v>
      </c>
      <c r="AD632" s="9">
        <f>RawSalesTable[[#This Row],[Profit]]/RawSalesTable[[#This Row],[Net_Sales]]</f>
        <v>0.28821408942484888</v>
      </c>
      <c r="AE632" s="8">
        <f>IF(RawSalesTable[[#This Row],[Return_Status]]="Yes",1,0)</f>
        <v>0</v>
      </c>
      <c r="AF632" s="8">
        <f>YEAR(RawSalesTable[[#This Row],[Order_Date]])</f>
        <v>2025</v>
      </c>
      <c r="AG632" s="8">
        <f>MONTH(RawSalesTable[[#This Row],[Order_Date]])</f>
        <v>4</v>
      </c>
      <c r="AH632" s="8" t="str">
        <f>TEXT(RawSalesTable[[#This Row],[Order_Date]],"mmmm")</f>
        <v>avril</v>
      </c>
      <c r="AI632" s="8" t="str">
        <f>IF(RawSalesTable[[#This Row],[Month_Number]]&lt;=3,"Q1",IF(RawSalesTable[[#This Row],[Month_Number]]&lt;=6,"Q2",IF(RawSalesTable[[#This Row],[Month_Number]]&lt;=9,"Q3","Q4")))</f>
        <v>Q2</v>
      </c>
      <c r="AJ632" s="13">
        <f>DATE(YEAR(RawSalesTable[[#This Row],[Order_Date]]),MONTH(RawSalesTable[[#This Row],[Order_Date]]),1)</f>
        <v>45748</v>
      </c>
      <c r="AK632" s="8" t="str">
        <f>VLOOKUP(RawSalesTable[[#This Row],[Customer_ID_clean]],CustomersTable[],4,FALSE)</f>
        <v>Alberta</v>
      </c>
    </row>
    <row r="633" spans="1:37">
      <c r="A633" t="s">
        <v>1074</v>
      </c>
      <c r="B633" s="3">
        <v>45953</v>
      </c>
      <c r="C633" t="s">
        <v>335</v>
      </c>
      <c r="D633" t="s">
        <v>231</v>
      </c>
      <c r="E633" t="s">
        <v>336</v>
      </c>
      <c r="F633" t="s">
        <v>87</v>
      </c>
      <c r="G633" t="s">
        <v>122</v>
      </c>
      <c r="H633" t="s">
        <v>89</v>
      </c>
      <c r="I633">
        <v>1</v>
      </c>
      <c r="J633" s="2">
        <v>370.32</v>
      </c>
      <c r="K633" s="4">
        <v>0</v>
      </c>
      <c r="L633" t="s">
        <v>98</v>
      </c>
      <c r="M633">
        <v>5</v>
      </c>
      <c r="N633" t="s">
        <v>91</v>
      </c>
      <c r="O633" t="str">
        <f>SUBSTITUTE(PROPER(TRIM(RawSalesTable[[#This Row],[Channel_Raw]])), "Market Place", "Marketplace")</f>
        <v>Online</v>
      </c>
      <c r="P633" t="str">
        <f>TRIM(RawSalesTable[[#This Row],[Store_Raw]])</f>
        <v>Online Fulfillment</v>
      </c>
      <c r="Q633" t="str">
        <f>IF(TRIM(RawSalesTable[[#This Row],[Payment_Method_Raw]])="","Non renseigné",SUBSTITUTE(TRIM(RawSalesTable[[#This Row],[Payment_Method_Raw]]),"CC","Credit Card"))</f>
        <v>Debit Card</v>
      </c>
      <c r="R633" s="8" t="str">
        <f>UPPER(PROPER(RawSalesTable[[#This Row],[Customer_ID]]))</f>
        <v>C0037</v>
      </c>
      <c r="S633" s="8" t="str">
        <f>TRIM(LEFT(RawSalesTable[[#This Row],[Customer_Info]],FIND(",",RawSalesTable[[#This Row],[Customer_Info]]) -1))</f>
        <v>Lucas Scott</v>
      </c>
      <c r="T633" s="8" t="str">
        <f>TRIM(MID(RawSalesTable[[#This Row],[Customer_Info]],FIND(",",RawSalesTable[[#This Row],[Customer_Info]])+1,FIND(",",RawSalesTable[[#This Row],[Customer_Info]],FIND(",",RawSalesTable[[#This Row],[Customer_Info]])+1)-FIND(",",RawSalesTable[[#This Row],[Customer_Info]])-1))</f>
        <v>Victoria</v>
      </c>
      <c r="U633" s="8" t="str">
        <f>TRIM(RIGHT(RawSalesTable[[#This Row],[Customer_Info]], LEN(RawSalesTable[[#This Row],[Customer_Info]])-FIND(",",RawSalesTable[[#This Row],[Customer_Info]],FIND(",",RawSalesTable[[#This Row],[Customer_Info]])+1)))</f>
        <v>Small Business</v>
      </c>
      <c r="V633" s="8" t="str">
        <f>VLOOKUP(RawSalesTable[[#This Row],[Product_ID]],ProductsTable[],2,FALSE)</f>
        <v>Cable Set</v>
      </c>
      <c r="W633" s="8" t="str">
        <f>VLOOKUP(RawSalesTable[[#This Row],[Product_ID]],ProductsTable[],3,FALSE)</f>
        <v>Accessories</v>
      </c>
      <c r="X633" s="8">
        <f>VLOOKUP(RawSalesTable[[#This Row],[Product_ID]],ProductsTable[],5,FALSE)</f>
        <v>200.16</v>
      </c>
      <c r="Y633" s="8">
        <f>RawSalesTable[[#This Row],[Quantity]]*RawSalesTable[[#This Row],[Unit_Price]]</f>
        <v>370.32</v>
      </c>
      <c r="Z633" s="8">
        <f>RawSalesTable[[#This Row],[Gross_Sales]]*RawSalesTable[[#This Row],[Discount_Pct]]</f>
        <v>0</v>
      </c>
      <c r="AA633" s="8">
        <f>RawSalesTable[[#This Row],[Gross_Sales]]-RawSalesTable[[#This Row],[Discount_Amount]]</f>
        <v>370.32</v>
      </c>
      <c r="AB633" s="8">
        <f>RawSalesTable[[#This Row],[Unit_Cost]]*RawSalesTable[[#This Row],[Quantity]]</f>
        <v>200.16</v>
      </c>
      <c r="AC633" s="8">
        <f>RawSalesTable[[#This Row],[Net_Sales]]-RawSalesTable[[#This Row],[Total_Cost]]</f>
        <v>170.16</v>
      </c>
      <c r="AD633" s="9">
        <f>RawSalesTable[[#This Row],[Profit]]/RawSalesTable[[#This Row],[Net_Sales]]</f>
        <v>0.4594944912508101</v>
      </c>
      <c r="AE633" s="8">
        <f>IF(RawSalesTable[[#This Row],[Return_Status]]="Yes",1,0)</f>
        <v>0</v>
      </c>
      <c r="AF633" s="8">
        <f>YEAR(RawSalesTable[[#This Row],[Order_Date]])</f>
        <v>2025</v>
      </c>
      <c r="AG633" s="8">
        <f>MONTH(RawSalesTable[[#This Row],[Order_Date]])</f>
        <v>10</v>
      </c>
      <c r="AH633" s="8" t="str">
        <f>TEXT(RawSalesTable[[#This Row],[Order_Date]],"mmmm")</f>
        <v>octobre</v>
      </c>
      <c r="AI633" s="8" t="str">
        <f>IF(RawSalesTable[[#This Row],[Month_Number]]&lt;=3,"Q1",IF(RawSalesTable[[#This Row],[Month_Number]]&lt;=6,"Q2",IF(RawSalesTable[[#This Row],[Month_Number]]&lt;=9,"Q3","Q4")))</f>
        <v>Q4</v>
      </c>
      <c r="AJ633" s="13">
        <f>DATE(YEAR(RawSalesTable[[#This Row],[Order_Date]]),MONTH(RawSalesTable[[#This Row],[Order_Date]]),1)</f>
        <v>45931</v>
      </c>
      <c r="AK633" s="8" t="str">
        <f>VLOOKUP(RawSalesTable[[#This Row],[Customer_ID_clean]],CustomersTable[],4,FALSE)</f>
        <v>British Columbia</v>
      </c>
    </row>
    <row r="634" spans="1:37">
      <c r="A634" t="s">
        <v>1075</v>
      </c>
      <c r="B634" s="3">
        <v>45698</v>
      </c>
      <c r="C634" t="s">
        <v>142</v>
      </c>
      <c r="D634" t="s">
        <v>157</v>
      </c>
      <c r="E634" t="s">
        <v>144</v>
      </c>
      <c r="F634" t="s">
        <v>87</v>
      </c>
      <c r="G634" t="s">
        <v>122</v>
      </c>
      <c r="H634" t="s">
        <v>97</v>
      </c>
      <c r="I634">
        <v>1</v>
      </c>
      <c r="J634" s="2">
        <v>295.52</v>
      </c>
      <c r="K634" s="4">
        <v>0</v>
      </c>
      <c r="L634" t="s">
        <v>98</v>
      </c>
      <c r="M634">
        <v>3</v>
      </c>
      <c r="N634" t="s">
        <v>91</v>
      </c>
      <c r="O634" t="str">
        <f>SUBSTITUTE(PROPER(TRIM(RawSalesTable[[#This Row],[Channel_Raw]])), "Market Place", "Marketplace")</f>
        <v>Retail Store</v>
      </c>
      <c r="P634" t="str">
        <f>TRIM(RawSalesTable[[#This Row],[Store_Raw]])</f>
        <v>Online Fulfillment</v>
      </c>
      <c r="Q634" t="str">
        <f>IF(TRIM(RawSalesTable[[#This Row],[Payment_Method_Raw]])="","Non renseigné",SUBSTITUTE(TRIM(RawSalesTable[[#This Row],[Payment_Method_Raw]]),"CC","Credit Card"))</f>
        <v>Debit Card</v>
      </c>
      <c r="R634" s="8" t="str">
        <f>UPPER(PROPER(RawSalesTable[[#This Row],[Customer_ID]]))</f>
        <v>C0002</v>
      </c>
      <c r="S634" s="8" t="str">
        <f>TRIM(LEFT(RawSalesTable[[#This Row],[Customer_Info]],FIND(",",RawSalesTable[[#This Row],[Customer_Info]]) -1))</f>
        <v>Ryan Johnson</v>
      </c>
      <c r="T634" s="8" t="str">
        <f>TRIM(MID(RawSalesTable[[#This Row],[Customer_Info]],FIND(",",RawSalesTable[[#This Row],[Customer_Info]])+1,FIND(",",RawSalesTable[[#This Row],[Customer_Info]],FIND(",",RawSalesTable[[#This Row],[Customer_Info]])+1)-FIND(",",RawSalesTable[[#This Row],[Customer_Info]])-1))</f>
        <v>Montreal</v>
      </c>
      <c r="U634" s="8" t="str">
        <f>TRIM(RIGHT(RawSalesTable[[#This Row],[Customer_Info]], LEN(RawSalesTable[[#This Row],[Customer_Info]])-FIND(",",RawSalesTable[[#This Row],[Customer_Info]],FIND(",",RawSalesTable[[#This Row],[Customer_Info]])+1)))</f>
        <v>Small Business</v>
      </c>
      <c r="V634" s="8" t="str">
        <f>VLOOKUP(RawSalesTable[[#This Row],[Product_ID]],ProductsTable[],2,FALSE)</f>
        <v>Notebook</v>
      </c>
      <c r="W634" s="8" t="str">
        <f>VLOOKUP(RawSalesTable[[#This Row],[Product_ID]],ProductsTable[],3,FALSE)</f>
        <v>Office</v>
      </c>
      <c r="X634" s="8">
        <f>VLOOKUP(RawSalesTable[[#This Row],[Product_ID]],ProductsTable[],5,FALSE)</f>
        <v>176.13</v>
      </c>
      <c r="Y634" s="8">
        <f>RawSalesTable[[#This Row],[Quantity]]*RawSalesTable[[#This Row],[Unit_Price]]</f>
        <v>295.52</v>
      </c>
      <c r="Z634" s="8">
        <f>RawSalesTable[[#This Row],[Gross_Sales]]*RawSalesTable[[#This Row],[Discount_Pct]]</f>
        <v>0</v>
      </c>
      <c r="AA634" s="8">
        <f>RawSalesTable[[#This Row],[Gross_Sales]]-RawSalesTable[[#This Row],[Discount_Amount]]</f>
        <v>295.52</v>
      </c>
      <c r="AB634" s="8">
        <f>RawSalesTable[[#This Row],[Unit_Cost]]*RawSalesTable[[#This Row],[Quantity]]</f>
        <v>176.13</v>
      </c>
      <c r="AC634" s="8">
        <f>RawSalesTable[[#This Row],[Net_Sales]]-RawSalesTable[[#This Row],[Total_Cost]]</f>
        <v>119.38999999999999</v>
      </c>
      <c r="AD634" s="9">
        <f>RawSalesTable[[#This Row],[Profit]]/RawSalesTable[[#This Row],[Net_Sales]]</f>
        <v>0.40399972929074174</v>
      </c>
      <c r="AE634" s="8">
        <f>IF(RawSalesTable[[#This Row],[Return_Status]]="Yes",1,0)</f>
        <v>0</v>
      </c>
      <c r="AF634" s="8">
        <f>YEAR(RawSalesTable[[#This Row],[Order_Date]])</f>
        <v>2025</v>
      </c>
      <c r="AG634" s="8">
        <f>MONTH(RawSalesTable[[#This Row],[Order_Date]])</f>
        <v>2</v>
      </c>
      <c r="AH634" s="8" t="str">
        <f>TEXT(RawSalesTable[[#This Row],[Order_Date]],"mmmm")</f>
        <v>février</v>
      </c>
      <c r="AI634" s="8" t="str">
        <f>IF(RawSalesTable[[#This Row],[Month_Number]]&lt;=3,"Q1",IF(RawSalesTable[[#This Row],[Month_Number]]&lt;=6,"Q2",IF(RawSalesTable[[#This Row],[Month_Number]]&lt;=9,"Q3","Q4")))</f>
        <v>Q1</v>
      </c>
      <c r="AJ634" s="13">
        <f>DATE(YEAR(RawSalesTable[[#This Row],[Order_Date]]),MONTH(RawSalesTable[[#This Row],[Order_Date]]),1)</f>
        <v>45689</v>
      </c>
      <c r="AK634" s="8" t="str">
        <f>VLOOKUP(RawSalesTable[[#This Row],[Customer_ID_clean]],CustomersTable[],4,FALSE)</f>
        <v>Quebec</v>
      </c>
    </row>
    <row r="635" spans="1:37">
      <c r="A635" t="s">
        <v>1076</v>
      </c>
      <c r="B635" s="3">
        <v>45955</v>
      </c>
      <c r="C635" t="s">
        <v>313</v>
      </c>
      <c r="D635" t="s">
        <v>149</v>
      </c>
      <c r="E635" t="s">
        <v>314</v>
      </c>
      <c r="F635" t="s">
        <v>103</v>
      </c>
      <c r="G635" t="s">
        <v>122</v>
      </c>
      <c r="H635" t="s">
        <v>246</v>
      </c>
      <c r="I635">
        <v>2</v>
      </c>
      <c r="J635" s="2">
        <v>83.8</v>
      </c>
      <c r="K635" s="4">
        <v>0.05</v>
      </c>
      <c r="L635" t="s">
        <v>106</v>
      </c>
      <c r="M635">
        <v>3</v>
      </c>
      <c r="N635" t="s">
        <v>91</v>
      </c>
      <c r="O635" t="str">
        <f>SUBSTITUTE(PROPER(TRIM(RawSalesTable[[#This Row],[Channel_Raw]])), "Market Place", "Marketplace")</f>
        <v>Retail Store</v>
      </c>
      <c r="P635" t="str">
        <f>TRIM(RawSalesTable[[#This Row],[Store_Raw]])</f>
        <v>Vancouver West</v>
      </c>
      <c r="Q635" t="str">
        <f>IF(TRIM(RawSalesTable[[#This Row],[Payment_Method_Raw]])="","Non renseigné",SUBSTITUTE(TRIM(RawSalesTable[[#This Row],[Payment_Method_Raw]]),"CC","Credit Card"))</f>
        <v>Credit Card</v>
      </c>
      <c r="R635" s="8" t="str">
        <f>UPPER(PROPER(RawSalesTable[[#This Row],[Customer_ID]]))</f>
        <v>C0080</v>
      </c>
      <c r="S635" s="8" t="str">
        <f>TRIM(LEFT(RawSalesTable[[#This Row],[Customer_Info]],FIND(",",RawSalesTable[[#This Row],[Customer_Info]]) -1))</f>
        <v>Sarah Smith</v>
      </c>
      <c r="T635" s="8" t="str">
        <f>TRIM(MID(RawSalesTable[[#This Row],[Customer_Info]],FIND(",",RawSalesTable[[#This Row],[Customer_Info]])+1,FIND(",",RawSalesTable[[#This Row],[Customer_Info]],FIND(",",RawSalesTable[[#This Row],[Customer_Info]])+1)-FIND(",",RawSalesTable[[#This Row],[Customer_Info]])-1))</f>
        <v>Mississauga</v>
      </c>
      <c r="U635" s="8" t="str">
        <f>TRIM(RIGHT(RawSalesTable[[#This Row],[Customer_Info]], LEN(RawSalesTable[[#This Row],[Customer_Info]])-FIND(",",RawSalesTable[[#This Row],[Customer_Info]],FIND(",",RawSalesTable[[#This Row],[Customer_Info]])+1)))</f>
        <v>Corporate</v>
      </c>
      <c r="V635" s="8" t="str">
        <f>VLOOKUP(RawSalesTable[[#This Row],[Product_ID]],ProductsTable[],2,FALSE)</f>
        <v>Office Chair</v>
      </c>
      <c r="W635" s="8" t="str">
        <f>VLOOKUP(RawSalesTable[[#This Row],[Product_ID]],ProductsTable[],3,FALSE)</f>
        <v>Office</v>
      </c>
      <c r="X635" s="8">
        <f>VLOOKUP(RawSalesTable[[#This Row],[Product_ID]],ProductsTable[],5,FALSE)</f>
        <v>39.26</v>
      </c>
      <c r="Y635" s="8">
        <f>RawSalesTable[[#This Row],[Quantity]]*RawSalesTable[[#This Row],[Unit_Price]]</f>
        <v>167.6</v>
      </c>
      <c r="Z635" s="8">
        <f>RawSalesTable[[#This Row],[Gross_Sales]]*RawSalesTable[[#This Row],[Discount_Pct]]</f>
        <v>8.3800000000000008</v>
      </c>
      <c r="AA635" s="8">
        <f>RawSalesTable[[#This Row],[Gross_Sales]]-RawSalesTable[[#This Row],[Discount_Amount]]</f>
        <v>159.22</v>
      </c>
      <c r="AB635" s="8">
        <f>RawSalesTable[[#This Row],[Unit_Cost]]*RawSalesTable[[#This Row],[Quantity]]</f>
        <v>78.52</v>
      </c>
      <c r="AC635" s="8">
        <f>RawSalesTable[[#This Row],[Net_Sales]]-RawSalesTable[[#This Row],[Total_Cost]]</f>
        <v>80.7</v>
      </c>
      <c r="AD635" s="9">
        <f>RawSalesTable[[#This Row],[Profit]]/RawSalesTable[[#This Row],[Net_Sales]]</f>
        <v>0.5068458736339656</v>
      </c>
      <c r="AE635" s="8">
        <f>IF(RawSalesTable[[#This Row],[Return_Status]]="Yes",1,0)</f>
        <v>0</v>
      </c>
      <c r="AF635" s="8">
        <f>YEAR(RawSalesTable[[#This Row],[Order_Date]])</f>
        <v>2025</v>
      </c>
      <c r="AG635" s="8">
        <f>MONTH(RawSalesTable[[#This Row],[Order_Date]])</f>
        <v>10</v>
      </c>
      <c r="AH635" s="8" t="str">
        <f>TEXT(RawSalesTable[[#This Row],[Order_Date]],"mmmm")</f>
        <v>octobre</v>
      </c>
      <c r="AI635" s="8" t="str">
        <f>IF(RawSalesTable[[#This Row],[Month_Number]]&lt;=3,"Q1",IF(RawSalesTable[[#This Row],[Month_Number]]&lt;=6,"Q2",IF(RawSalesTable[[#This Row],[Month_Number]]&lt;=9,"Q3","Q4")))</f>
        <v>Q4</v>
      </c>
      <c r="AJ635" s="13">
        <f>DATE(YEAR(RawSalesTable[[#This Row],[Order_Date]]),MONTH(RawSalesTable[[#This Row],[Order_Date]]),1)</f>
        <v>45931</v>
      </c>
      <c r="AK635" s="8" t="str">
        <f>VLOOKUP(RawSalesTable[[#This Row],[Customer_ID_clean]],CustomersTable[],4,FALSE)</f>
        <v>Ontario</v>
      </c>
    </row>
    <row r="636" spans="1:37">
      <c r="A636" t="s">
        <v>1077</v>
      </c>
      <c r="B636" s="3">
        <v>45660</v>
      </c>
      <c r="C636" t="s">
        <v>406</v>
      </c>
      <c r="D636" t="s">
        <v>252</v>
      </c>
      <c r="E636" t="s">
        <v>1078</v>
      </c>
      <c r="F636" t="s">
        <v>116</v>
      </c>
      <c r="G636" t="s">
        <v>104</v>
      </c>
      <c r="H636" t="s">
        <v>308</v>
      </c>
      <c r="I636">
        <v>1</v>
      </c>
      <c r="J636" s="2">
        <v>258</v>
      </c>
      <c r="K636" s="4">
        <v>0.2</v>
      </c>
      <c r="L636" t="s">
        <v>106</v>
      </c>
      <c r="M636">
        <v>8</v>
      </c>
      <c r="N636" t="s">
        <v>91</v>
      </c>
      <c r="O636" t="str">
        <f>SUBSTITUTE(PROPER(TRIM(RawSalesTable[[#This Row],[Channel_Raw]])), "Market Place", "Marketplace")</f>
        <v>Online</v>
      </c>
      <c r="P636" t="str">
        <f>TRIM(RawSalesTable[[#This Row],[Store_Raw]])</f>
        <v>Toronto Downtown</v>
      </c>
      <c r="Q636" t="str">
        <f>IF(TRIM(RawSalesTable[[#This Row],[Payment_Method_Raw]])="","Non renseigné",SUBSTITUTE(TRIM(RawSalesTable[[#This Row],[Payment_Method_Raw]]),"CC","Credit Card"))</f>
        <v>Credit Card</v>
      </c>
      <c r="R636" s="8" t="str">
        <f>UPPER(PROPER(RawSalesTable[[#This Row],[Customer_ID]]))</f>
        <v>C0038</v>
      </c>
      <c r="S636" s="8" t="str">
        <f>TRIM(LEFT(RawSalesTable[[#This Row],[Customer_Info]],FIND(",",RawSalesTable[[#This Row],[Customer_Info]]) -1))</f>
        <v>Noah Brown</v>
      </c>
      <c r="T636" s="8" t="str">
        <f>TRIM(MID(RawSalesTable[[#This Row],[Customer_Info]],FIND(",",RawSalesTable[[#This Row],[Customer_Info]])+1,FIND(",",RawSalesTable[[#This Row],[Customer_Info]],FIND(",",RawSalesTable[[#This Row],[Customer_Info]])+1)-FIND(",",RawSalesTable[[#This Row],[Customer_Info]])-1))</f>
        <v>Montreal</v>
      </c>
      <c r="U636" s="8" t="str">
        <f>TRIM(RIGHT(RawSalesTable[[#This Row],[Customer_Info]], LEN(RawSalesTable[[#This Row],[Customer_Info]])-FIND(",",RawSalesTable[[#This Row],[Customer_Info]],FIND(",",RawSalesTable[[#This Row],[Customer_Info]])+1)))</f>
        <v>Consumer</v>
      </c>
      <c r="V636" s="8" t="str">
        <f>VLOOKUP(RawSalesTable[[#This Row],[Product_ID]],ProductsTable[],2,FALSE)</f>
        <v>Vacuum</v>
      </c>
      <c r="W636" s="8" t="str">
        <f>VLOOKUP(RawSalesTable[[#This Row],[Product_ID]],ProductsTable[],3,FALSE)</f>
        <v>Home</v>
      </c>
      <c r="X636" s="8">
        <f>VLOOKUP(RawSalesTable[[#This Row],[Product_ID]],ProductsTable[],5,FALSE)</f>
        <v>186.94</v>
      </c>
      <c r="Y636" s="8">
        <f>RawSalesTable[[#This Row],[Quantity]]*RawSalesTable[[#This Row],[Unit_Price]]</f>
        <v>258</v>
      </c>
      <c r="Z636" s="8">
        <f>RawSalesTable[[#This Row],[Gross_Sales]]*RawSalesTable[[#This Row],[Discount_Pct]]</f>
        <v>51.6</v>
      </c>
      <c r="AA636" s="8">
        <f>RawSalesTable[[#This Row],[Gross_Sales]]-RawSalesTable[[#This Row],[Discount_Amount]]</f>
        <v>206.4</v>
      </c>
      <c r="AB636" s="8">
        <f>RawSalesTable[[#This Row],[Unit_Cost]]*RawSalesTable[[#This Row],[Quantity]]</f>
        <v>186.94</v>
      </c>
      <c r="AC636" s="8">
        <f>RawSalesTable[[#This Row],[Net_Sales]]-RawSalesTable[[#This Row],[Total_Cost]]</f>
        <v>19.460000000000008</v>
      </c>
      <c r="AD636" s="9">
        <f>RawSalesTable[[#This Row],[Profit]]/RawSalesTable[[#This Row],[Net_Sales]]</f>
        <v>9.4282945736434143E-2</v>
      </c>
      <c r="AE636" s="8">
        <f>IF(RawSalesTable[[#This Row],[Return_Status]]="Yes",1,0)</f>
        <v>0</v>
      </c>
      <c r="AF636" s="8">
        <f>YEAR(RawSalesTable[[#This Row],[Order_Date]])</f>
        <v>2025</v>
      </c>
      <c r="AG636" s="8">
        <f>MONTH(RawSalesTable[[#This Row],[Order_Date]])</f>
        <v>1</v>
      </c>
      <c r="AH636" s="8" t="str">
        <f>TEXT(RawSalesTable[[#This Row],[Order_Date]],"mmmm")</f>
        <v>janvier</v>
      </c>
      <c r="AI636" s="8" t="str">
        <f>IF(RawSalesTable[[#This Row],[Month_Number]]&lt;=3,"Q1",IF(RawSalesTable[[#This Row],[Month_Number]]&lt;=6,"Q2",IF(RawSalesTable[[#This Row],[Month_Number]]&lt;=9,"Q3","Q4")))</f>
        <v>Q1</v>
      </c>
      <c r="AJ636" s="13">
        <f>DATE(YEAR(RawSalesTable[[#This Row],[Order_Date]]),MONTH(RawSalesTable[[#This Row],[Order_Date]]),1)</f>
        <v>45658</v>
      </c>
      <c r="AK636" s="8" t="str">
        <f>VLOOKUP(RawSalesTable[[#This Row],[Customer_ID_clean]],CustomersTable[],4,FALSE)</f>
        <v>Quebec</v>
      </c>
    </row>
    <row r="637" spans="1:37">
      <c r="A637" t="s">
        <v>1079</v>
      </c>
      <c r="B637" s="3">
        <v>45871</v>
      </c>
      <c r="C637" t="s">
        <v>613</v>
      </c>
      <c r="D637" t="s">
        <v>346</v>
      </c>
      <c r="E637" t="s">
        <v>710</v>
      </c>
      <c r="F637" t="s">
        <v>111</v>
      </c>
      <c r="G637" t="s">
        <v>104</v>
      </c>
      <c r="H637" t="s">
        <v>89</v>
      </c>
      <c r="I637">
        <v>1</v>
      </c>
      <c r="J637" s="2">
        <v>247.09</v>
      </c>
      <c r="K637" s="4">
        <v>0.1</v>
      </c>
      <c r="L637" t="s">
        <v>106</v>
      </c>
      <c r="M637">
        <v>4</v>
      </c>
      <c r="N637" t="s">
        <v>91</v>
      </c>
      <c r="O637" t="str">
        <f>SUBSTITUTE(PROPER(TRIM(RawSalesTable[[#This Row],[Channel_Raw]])), "Market Place", "Marketplace")</f>
        <v>Online</v>
      </c>
      <c r="P637" t="str">
        <f>TRIM(RawSalesTable[[#This Row],[Store_Raw]])</f>
        <v>Montreal Central</v>
      </c>
      <c r="Q637" t="str">
        <f>IF(TRIM(RawSalesTable[[#This Row],[Payment_Method_Raw]])="","Non renseigné",SUBSTITUTE(TRIM(RawSalesTable[[#This Row],[Payment_Method_Raw]]),"CC","Credit Card"))</f>
        <v>Credit Card</v>
      </c>
      <c r="R637" s="8" t="str">
        <f>UPPER(PROPER(RawSalesTable[[#This Row],[Customer_ID]]))</f>
        <v>C0060</v>
      </c>
      <c r="S637" s="8" t="str">
        <f>TRIM(LEFT(RawSalesTable[[#This Row],[Customer_Info]],FIND(",",RawSalesTable[[#This Row],[Customer_Info]]) -1))</f>
        <v>Sarah Wilson</v>
      </c>
      <c r="T637" s="8" t="str">
        <f>TRIM(MID(RawSalesTable[[#This Row],[Customer_Info]],FIND(",",RawSalesTable[[#This Row],[Customer_Info]])+1,FIND(",",RawSalesTable[[#This Row],[Customer_Info]],FIND(",",RawSalesTable[[#This Row],[Customer_Info]])+1)-FIND(",",RawSalesTable[[#This Row],[Customer_Info]])-1))</f>
        <v>Quebec City</v>
      </c>
      <c r="U637" s="8" t="str">
        <f>TRIM(RIGHT(RawSalesTable[[#This Row],[Customer_Info]], LEN(RawSalesTable[[#This Row],[Customer_Info]])-FIND(",",RawSalesTable[[#This Row],[Customer_Info]],FIND(",",RawSalesTable[[#This Row],[Customer_Info]])+1)))</f>
        <v>Corporate</v>
      </c>
      <c r="V637" s="8" t="str">
        <f>VLOOKUP(RawSalesTable[[#This Row],[Product_ID]],ProductsTable[],2,FALSE)</f>
        <v>Pull-up Bar</v>
      </c>
      <c r="W637" s="8" t="str">
        <f>VLOOKUP(RawSalesTable[[#This Row],[Product_ID]],ProductsTable[],3,FALSE)</f>
        <v>Fitness</v>
      </c>
      <c r="X637" s="8">
        <f>VLOOKUP(RawSalesTable[[#This Row],[Product_ID]],ProductsTable[],5,FALSE)</f>
        <v>125.4</v>
      </c>
      <c r="Y637" s="8">
        <f>RawSalesTable[[#This Row],[Quantity]]*RawSalesTable[[#This Row],[Unit_Price]]</f>
        <v>247.09</v>
      </c>
      <c r="Z637" s="8">
        <f>RawSalesTable[[#This Row],[Gross_Sales]]*RawSalesTable[[#This Row],[Discount_Pct]]</f>
        <v>24.709000000000003</v>
      </c>
      <c r="AA637" s="8">
        <f>RawSalesTable[[#This Row],[Gross_Sales]]-RawSalesTable[[#This Row],[Discount_Amount]]</f>
        <v>222.381</v>
      </c>
      <c r="AB637" s="8">
        <f>RawSalesTable[[#This Row],[Unit_Cost]]*RawSalesTable[[#This Row],[Quantity]]</f>
        <v>125.4</v>
      </c>
      <c r="AC637" s="8">
        <f>RawSalesTable[[#This Row],[Net_Sales]]-RawSalesTable[[#This Row],[Total_Cost]]</f>
        <v>96.980999999999995</v>
      </c>
      <c r="AD637" s="9">
        <f>RawSalesTable[[#This Row],[Profit]]/RawSalesTable[[#This Row],[Net_Sales]]</f>
        <v>0.43610290447475275</v>
      </c>
      <c r="AE637" s="8">
        <f>IF(RawSalesTable[[#This Row],[Return_Status]]="Yes",1,0)</f>
        <v>0</v>
      </c>
      <c r="AF637" s="8">
        <f>YEAR(RawSalesTable[[#This Row],[Order_Date]])</f>
        <v>2025</v>
      </c>
      <c r="AG637" s="8">
        <f>MONTH(RawSalesTable[[#This Row],[Order_Date]])</f>
        <v>8</v>
      </c>
      <c r="AH637" s="8" t="str">
        <f>TEXT(RawSalesTable[[#This Row],[Order_Date]],"mmmm")</f>
        <v>août</v>
      </c>
      <c r="AI637" s="8" t="str">
        <f>IF(RawSalesTable[[#This Row],[Month_Number]]&lt;=3,"Q1",IF(RawSalesTable[[#This Row],[Month_Number]]&lt;=6,"Q2",IF(RawSalesTable[[#This Row],[Month_Number]]&lt;=9,"Q3","Q4")))</f>
        <v>Q3</v>
      </c>
      <c r="AJ637" s="13">
        <f>DATE(YEAR(RawSalesTable[[#This Row],[Order_Date]]),MONTH(RawSalesTable[[#This Row],[Order_Date]]),1)</f>
        <v>45870</v>
      </c>
      <c r="AK637" s="8" t="str">
        <f>VLOOKUP(RawSalesTable[[#This Row],[Customer_ID_clean]],CustomersTable[],4,FALSE)</f>
        <v>Quebec</v>
      </c>
    </row>
    <row r="638" spans="1:37">
      <c r="A638" t="s">
        <v>1080</v>
      </c>
      <c r="B638" s="3">
        <v>45884</v>
      </c>
      <c r="C638" t="s">
        <v>132</v>
      </c>
      <c r="D638" t="s">
        <v>194</v>
      </c>
      <c r="E638" t="s">
        <v>1081</v>
      </c>
      <c r="F638" t="s">
        <v>116</v>
      </c>
      <c r="G638" t="s">
        <v>96</v>
      </c>
      <c r="H638" t="s">
        <v>89</v>
      </c>
      <c r="I638">
        <v>3</v>
      </c>
      <c r="J638" s="2">
        <v>212.15</v>
      </c>
      <c r="K638" s="4">
        <v>0.05</v>
      </c>
      <c r="L638" t="s">
        <v>106</v>
      </c>
      <c r="M638">
        <v>1</v>
      </c>
      <c r="N638" t="s">
        <v>91</v>
      </c>
      <c r="O638" t="str">
        <f>SUBSTITUTE(PROPER(TRIM(RawSalesTable[[#This Row],[Channel_Raw]])), "Market Place", "Marketplace")</f>
        <v>Online</v>
      </c>
      <c r="P638" t="str">
        <f>TRIM(RawSalesTable[[#This Row],[Store_Raw]])</f>
        <v>Toronto Downtown</v>
      </c>
      <c r="Q638" t="str">
        <f>IF(TRIM(RawSalesTable[[#This Row],[Payment_Method_Raw]])="","Non renseigné",SUBSTITUTE(TRIM(RawSalesTable[[#This Row],[Payment_Method_Raw]]),"CC","Credit Card"))</f>
        <v>Credit Card</v>
      </c>
      <c r="R638" s="8" t="str">
        <f>UPPER(PROPER(RawSalesTable[[#This Row],[Customer_ID]]))</f>
        <v>C0104</v>
      </c>
      <c r="S638" s="8" t="str">
        <f>TRIM(LEFT(RawSalesTable[[#This Row],[Customer_Info]],FIND(",",RawSalesTable[[#This Row],[Customer_Info]]) -1))</f>
        <v>Ava Scott</v>
      </c>
      <c r="T638" s="8" t="str">
        <f>TRIM(MID(RawSalesTable[[#This Row],[Customer_Info]],FIND(",",RawSalesTable[[#This Row],[Customer_Info]])+1,FIND(",",RawSalesTable[[#This Row],[Customer_Info]],FIND(",",RawSalesTable[[#This Row],[Customer_Info]])+1)-FIND(",",RawSalesTable[[#This Row],[Customer_Info]])-1))</f>
        <v>Edmonton</v>
      </c>
      <c r="U638" s="8" t="str">
        <f>TRIM(RIGHT(RawSalesTable[[#This Row],[Customer_Info]], LEN(RawSalesTable[[#This Row],[Customer_Info]])-FIND(",",RawSalesTable[[#This Row],[Customer_Info]],FIND(",",RawSalesTable[[#This Row],[Customer_Info]])+1)))</f>
        <v>Corporate</v>
      </c>
      <c r="V638" s="8" t="str">
        <f>VLOOKUP(RawSalesTable[[#This Row],[Product_ID]],ProductsTable[],2,FALSE)</f>
        <v>Jump Rope</v>
      </c>
      <c r="W638" s="8" t="str">
        <f>VLOOKUP(RawSalesTable[[#This Row],[Product_ID]],ProductsTable[],3,FALSE)</f>
        <v>Fitness</v>
      </c>
      <c r="X638" s="8">
        <f>VLOOKUP(RawSalesTable[[#This Row],[Product_ID]],ProductsTable[],5,FALSE)</f>
        <v>101</v>
      </c>
      <c r="Y638" s="8">
        <f>RawSalesTable[[#This Row],[Quantity]]*RawSalesTable[[#This Row],[Unit_Price]]</f>
        <v>636.45000000000005</v>
      </c>
      <c r="Z638" s="8">
        <f>RawSalesTable[[#This Row],[Gross_Sales]]*RawSalesTable[[#This Row],[Discount_Pct]]</f>
        <v>31.822500000000005</v>
      </c>
      <c r="AA638" s="8">
        <f>RawSalesTable[[#This Row],[Gross_Sales]]-RawSalesTable[[#This Row],[Discount_Amount]]</f>
        <v>604.62750000000005</v>
      </c>
      <c r="AB638" s="8">
        <f>RawSalesTable[[#This Row],[Unit_Cost]]*RawSalesTable[[#This Row],[Quantity]]</f>
        <v>303</v>
      </c>
      <c r="AC638" s="8">
        <f>RawSalesTable[[#This Row],[Net_Sales]]-RawSalesTable[[#This Row],[Total_Cost]]</f>
        <v>301.62750000000005</v>
      </c>
      <c r="AD638" s="9">
        <f>RawSalesTable[[#This Row],[Profit]]/RawSalesTable[[#This Row],[Net_Sales]]</f>
        <v>0.49886500365927788</v>
      </c>
      <c r="AE638" s="8">
        <f>IF(RawSalesTable[[#This Row],[Return_Status]]="Yes",1,0)</f>
        <v>0</v>
      </c>
      <c r="AF638" s="8">
        <f>YEAR(RawSalesTable[[#This Row],[Order_Date]])</f>
        <v>2025</v>
      </c>
      <c r="AG638" s="8">
        <f>MONTH(RawSalesTable[[#This Row],[Order_Date]])</f>
        <v>8</v>
      </c>
      <c r="AH638" s="8" t="str">
        <f>TEXT(RawSalesTable[[#This Row],[Order_Date]],"mmmm")</f>
        <v>août</v>
      </c>
      <c r="AI638" s="8" t="str">
        <f>IF(RawSalesTable[[#This Row],[Month_Number]]&lt;=3,"Q1",IF(RawSalesTable[[#This Row],[Month_Number]]&lt;=6,"Q2",IF(RawSalesTable[[#This Row],[Month_Number]]&lt;=9,"Q3","Q4")))</f>
        <v>Q3</v>
      </c>
      <c r="AJ638" s="13">
        <f>DATE(YEAR(RawSalesTable[[#This Row],[Order_Date]]),MONTH(RawSalesTable[[#This Row],[Order_Date]]),1)</f>
        <v>45870</v>
      </c>
      <c r="AK638" s="8" t="str">
        <f>VLOOKUP(RawSalesTable[[#This Row],[Customer_ID_clean]],CustomersTable[],4,FALSE)</f>
        <v>Alberta</v>
      </c>
    </row>
    <row r="639" spans="1:37">
      <c r="A639" t="s">
        <v>1082</v>
      </c>
      <c r="B639" s="3">
        <v>45853</v>
      </c>
      <c r="C639" t="s">
        <v>494</v>
      </c>
      <c r="D639" t="s">
        <v>152</v>
      </c>
      <c r="E639" t="s">
        <v>495</v>
      </c>
      <c r="F639" t="s">
        <v>103</v>
      </c>
      <c r="G639" t="s">
        <v>171</v>
      </c>
      <c r="H639" t="s">
        <v>228</v>
      </c>
      <c r="I639">
        <v>1</v>
      </c>
      <c r="J639" s="2">
        <v>139.57</v>
      </c>
      <c r="K639" s="4">
        <v>0.25</v>
      </c>
      <c r="L639" t="s">
        <v>106</v>
      </c>
      <c r="M639">
        <v>7</v>
      </c>
      <c r="N639" t="s">
        <v>91</v>
      </c>
      <c r="O639" t="str">
        <f>SUBSTITUTE(PROPER(TRIM(RawSalesTable[[#This Row],[Channel_Raw]])), "Market Place", "Marketplace")</f>
        <v>Online</v>
      </c>
      <c r="P639" t="str">
        <f>TRIM(RawSalesTable[[#This Row],[Store_Raw]])</f>
        <v>Vancouver West</v>
      </c>
      <c r="Q639" t="str">
        <f>IF(TRIM(RawSalesTable[[#This Row],[Payment_Method_Raw]])="","Non renseigné",SUBSTITUTE(TRIM(RawSalesTable[[#This Row],[Payment_Method_Raw]]),"CC","Credit Card"))</f>
        <v>Credit Card</v>
      </c>
      <c r="R639" s="8" t="str">
        <f>UPPER(PROPER(RawSalesTable[[#This Row],[Customer_ID]]))</f>
        <v>C0017</v>
      </c>
      <c r="S639" s="8" t="str">
        <f>TRIM(LEFT(RawSalesTable[[#This Row],[Customer_Info]],FIND(",",RawSalesTable[[#This Row],[Customer_Info]]) -1))</f>
        <v>Yasmine Khan</v>
      </c>
      <c r="T639" s="8" t="str">
        <f>TRIM(MID(RawSalesTable[[#This Row],[Customer_Info]],FIND(",",RawSalesTable[[#This Row],[Customer_Info]])+1,FIND(",",RawSalesTable[[#This Row],[Customer_Info]],FIND(",",RawSalesTable[[#This Row],[Customer_Info]])+1)-FIND(",",RawSalesTable[[#This Row],[Customer_Info]])-1))</f>
        <v>Mississauga</v>
      </c>
      <c r="U639" s="8" t="str">
        <f>TRIM(RIGHT(RawSalesTable[[#This Row],[Customer_Info]], LEN(RawSalesTable[[#This Row],[Customer_Info]])-FIND(",",RawSalesTable[[#This Row],[Customer_Info]],FIND(",",RawSalesTable[[#This Row],[Customer_Info]])+1)))</f>
        <v>Corporate</v>
      </c>
      <c r="V639" s="8" t="str">
        <f>VLOOKUP(RawSalesTable[[#This Row],[Product_ID]],ProductsTable[],2,FALSE)</f>
        <v>Smart Speaker</v>
      </c>
      <c r="W639" s="8" t="str">
        <f>VLOOKUP(RawSalesTable[[#This Row],[Product_ID]],ProductsTable[],3,FALSE)</f>
        <v>Electronics</v>
      </c>
      <c r="X639" s="8">
        <f>VLOOKUP(RawSalesTable[[#This Row],[Product_ID]],ProductsTable[],5,FALSE)</f>
        <v>69</v>
      </c>
      <c r="Y639" s="8">
        <f>RawSalesTable[[#This Row],[Quantity]]*RawSalesTable[[#This Row],[Unit_Price]]</f>
        <v>139.57</v>
      </c>
      <c r="Z639" s="8">
        <f>RawSalesTable[[#This Row],[Gross_Sales]]*RawSalesTable[[#This Row],[Discount_Pct]]</f>
        <v>34.892499999999998</v>
      </c>
      <c r="AA639" s="8">
        <f>RawSalesTable[[#This Row],[Gross_Sales]]-RawSalesTable[[#This Row],[Discount_Amount]]</f>
        <v>104.67749999999999</v>
      </c>
      <c r="AB639" s="8">
        <f>RawSalesTable[[#This Row],[Unit_Cost]]*RawSalesTable[[#This Row],[Quantity]]</f>
        <v>69</v>
      </c>
      <c r="AC639" s="8">
        <f>RawSalesTable[[#This Row],[Net_Sales]]-RawSalesTable[[#This Row],[Total_Cost]]</f>
        <v>35.677499999999995</v>
      </c>
      <c r="AD639" s="9">
        <f>RawSalesTable[[#This Row],[Profit]]/RawSalesTable[[#This Row],[Net_Sales]]</f>
        <v>0.34083255713978644</v>
      </c>
      <c r="AE639" s="8">
        <f>IF(RawSalesTable[[#This Row],[Return_Status]]="Yes",1,0)</f>
        <v>0</v>
      </c>
      <c r="AF639" s="8">
        <f>YEAR(RawSalesTable[[#This Row],[Order_Date]])</f>
        <v>2025</v>
      </c>
      <c r="AG639" s="8">
        <f>MONTH(RawSalesTable[[#This Row],[Order_Date]])</f>
        <v>7</v>
      </c>
      <c r="AH639" s="8" t="str">
        <f>TEXT(RawSalesTable[[#This Row],[Order_Date]],"mmmm")</f>
        <v>juillet</v>
      </c>
      <c r="AI639" s="8" t="str">
        <f>IF(RawSalesTable[[#This Row],[Month_Number]]&lt;=3,"Q1",IF(RawSalesTable[[#This Row],[Month_Number]]&lt;=6,"Q2",IF(RawSalesTable[[#This Row],[Month_Number]]&lt;=9,"Q3","Q4")))</f>
        <v>Q3</v>
      </c>
      <c r="AJ639" s="13">
        <f>DATE(YEAR(RawSalesTable[[#This Row],[Order_Date]]),MONTH(RawSalesTable[[#This Row],[Order_Date]]),1)</f>
        <v>45839</v>
      </c>
      <c r="AK639" s="8" t="str">
        <f>VLOOKUP(RawSalesTable[[#This Row],[Customer_ID_clean]],CustomersTable[],4,FALSE)</f>
        <v>Ontario</v>
      </c>
    </row>
    <row r="640" spans="1:37">
      <c r="A640" t="s">
        <v>1083</v>
      </c>
      <c r="B640" s="3">
        <v>45946</v>
      </c>
      <c r="C640" t="s">
        <v>371</v>
      </c>
      <c r="D640" t="s">
        <v>152</v>
      </c>
      <c r="E640" t="s">
        <v>372</v>
      </c>
      <c r="F640" t="s">
        <v>111</v>
      </c>
      <c r="G640" t="s">
        <v>122</v>
      </c>
      <c r="H640" t="s">
        <v>89</v>
      </c>
      <c r="I640">
        <v>3</v>
      </c>
      <c r="J640" s="2">
        <v>138.75</v>
      </c>
      <c r="K640" s="4">
        <v>0.25</v>
      </c>
      <c r="L640" t="s">
        <v>106</v>
      </c>
      <c r="M640">
        <v>8</v>
      </c>
      <c r="N640" t="s">
        <v>147</v>
      </c>
      <c r="O640" t="str">
        <f>SUBSTITUTE(PROPER(TRIM(RawSalesTable[[#This Row],[Channel_Raw]])), "Market Place", "Marketplace")</f>
        <v>Online</v>
      </c>
      <c r="P640" t="str">
        <f>TRIM(RawSalesTable[[#This Row],[Store_Raw]])</f>
        <v>Montreal Central</v>
      </c>
      <c r="Q640" t="str">
        <f>IF(TRIM(RawSalesTable[[#This Row],[Payment_Method_Raw]])="","Non renseigné",SUBSTITUTE(TRIM(RawSalesTable[[#This Row],[Payment_Method_Raw]]),"CC","Credit Card"))</f>
        <v>Credit Card</v>
      </c>
      <c r="R640" s="8" t="str">
        <f>UPPER(PROPER(RawSalesTable[[#This Row],[Customer_ID]]))</f>
        <v>C0049</v>
      </c>
      <c r="S640" s="8" t="str">
        <f>TRIM(LEFT(RawSalesTable[[#This Row],[Customer_Info]],FIND(",",RawSalesTable[[#This Row],[Customer_Info]]) -1))</f>
        <v>Olivia Scott</v>
      </c>
      <c r="T640" s="8" t="str">
        <f>TRIM(MID(RawSalesTable[[#This Row],[Customer_Info]],FIND(",",RawSalesTable[[#This Row],[Customer_Info]])+1,FIND(",",RawSalesTable[[#This Row],[Customer_Info]],FIND(",",RawSalesTable[[#This Row],[Customer_Info]])+1)-FIND(",",RawSalesTable[[#This Row],[Customer_Info]])-1))</f>
        <v>Quebec City</v>
      </c>
      <c r="U640" s="8" t="str">
        <f>TRIM(RIGHT(RawSalesTable[[#This Row],[Customer_Info]], LEN(RawSalesTable[[#This Row],[Customer_Info]])-FIND(",",RawSalesTable[[#This Row],[Customer_Info]],FIND(",",RawSalesTable[[#This Row],[Customer_Info]])+1)))</f>
        <v>Consumer</v>
      </c>
      <c r="V640" s="8" t="str">
        <f>VLOOKUP(RawSalesTable[[#This Row],[Product_ID]],ProductsTable[],2,FALSE)</f>
        <v>Smart Speaker</v>
      </c>
      <c r="W640" s="8" t="str">
        <f>VLOOKUP(RawSalesTable[[#This Row],[Product_ID]],ProductsTable[],3,FALSE)</f>
        <v>Electronics</v>
      </c>
      <c r="X640" s="8">
        <f>VLOOKUP(RawSalesTable[[#This Row],[Product_ID]],ProductsTable[],5,FALSE)</f>
        <v>69</v>
      </c>
      <c r="Y640" s="8">
        <f>RawSalesTable[[#This Row],[Quantity]]*RawSalesTable[[#This Row],[Unit_Price]]</f>
        <v>416.25</v>
      </c>
      <c r="Z640" s="8">
        <f>RawSalesTable[[#This Row],[Gross_Sales]]*RawSalesTable[[#This Row],[Discount_Pct]]</f>
        <v>104.0625</v>
      </c>
      <c r="AA640" s="8">
        <f>RawSalesTable[[#This Row],[Gross_Sales]]-RawSalesTable[[#This Row],[Discount_Amount]]</f>
        <v>312.1875</v>
      </c>
      <c r="AB640" s="8">
        <f>RawSalesTable[[#This Row],[Unit_Cost]]*RawSalesTable[[#This Row],[Quantity]]</f>
        <v>207</v>
      </c>
      <c r="AC640" s="8">
        <f>RawSalesTable[[#This Row],[Net_Sales]]-RawSalesTable[[#This Row],[Total_Cost]]</f>
        <v>105.1875</v>
      </c>
      <c r="AD640" s="9">
        <f>RawSalesTable[[#This Row],[Profit]]/RawSalesTable[[#This Row],[Net_Sales]]</f>
        <v>0.33693693693693694</v>
      </c>
      <c r="AE640" s="8">
        <f>IF(RawSalesTable[[#This Row],[Return_Status]]="Yes",1,0)</f>
        <v>1</v>
      </c>
      <c r="AF640" s="8">
        <f>YEAR(RawSalesTable[[#This Row],[Order_Date]])</f>
        <v>2025</v>
      </c>
      <c r="AG640" s="8">
        <f>MONTH(RawSalesTable[[#This Row],[Order_Date]])</f>
        <v>10</v>
      </c>
      <c r="AH640" s="8" t="str">
        <f>TEXT(RawSalesTable[[#This Row],[Order_Date]],"mmmm")</f>
        <v>octobre</v>
      </c>
      <c r="AI640" s="8" t="str">
        <f>IF(RawSalesTable[[#This Row],[Month_Number]]&lt;=3,"Q1",IF(RawSalesTable[[#This Row],[Month_Number]]&lt;=6,"Q2",IF(RawSalesTable[[#This Row],[Month_Number]]&lt;=9,"Q3","Q4")))</f>
        <v>Q4</v>
      </c>
      <c r="AJ640" s="13">
        <f>DATE(YEAR(RawSalesTable[[#This Row],[Order_Date]]),MONTH(RawSalesTable[[#This Row],[Order_Date]]),1)</f>
        <v>45931</v>
      </c>
      <c r="AK640" s="8" t="str">
        <f>VLOOKUP(RawSalesTable[[#This Row],[Customer_ID_clean]],CustomersTable[],4,FALSE)</f>
        <v>Quebec</v>
      </c>
    </row>
    <row r="641" spans="1:37">
      <c r="A641" t="s">
        <v>1084</v>
      </c>
      <c r="B641" s="3">
        <v>45898</v>
      </c>
      <c r="C641" t="s">
        <v>497</v>
      </c>
      <c r="D641" t="s">
        <v>133</v>
      </c>
      <c r="E641" t="s">
        <v>498</v>
      </c>
      <c r="F641" t="s">
        <v>87</v>
      </c>
      <c r="G641" t="s">
        <v>171</v>
      </c>
      <c r="H641" t="s">
        <v>89</v>
      </c>
      <c r="I641">
        <v>4</v>
      </c>
      <c r="J641" s="2">
        <v>346.87</v>
      </c>
      <c r="K641" s="4">
        <v>0.05</v>
      </c>
      <c r="L641" t="s">
        <v>106</v>
      </c>
      <c r="M641">
        <v>2</v>
      </c>
      <c r="N641" t="s">
        <v>91</v>
      </c>
      <c r="O641" t="str">
        <f>SUBSTITUTE(PROPER(TRIM(RawSalesTable[[#This Row],[Channel_Raw]])), "Market Place", "Marketplace")</f>
        <v>Online</v>
      </c>
      <c r="P641" t="str">
        <f>TRIM(RawSalesTable[[#This Row],[Store_Raw]])</f>
        <v>Online Fulfillment</v>
      </c>
      <c r="Q641" t="str">
        <f>IF(TRIM(RawSalesTable[[#This Row],[Payment_Method_Raw]])="","Non renseigné",SUBSTITUTE(TRIM(RawSalesTable[[#This Row],[Payment_Method_Raw]]),"CC","Credit Card"))</f>
        <v>Credit Card</v>
      </c>
      <c r="R641" s="8" t="str">
        <f>UPPER(PROPER(RawSalesTable[[#This Row],[Customer_ID]]))</f>
        <v>C0022</v>
      </c>
      <c r="S641" s="8" t="str">
        <f>TRIM(LEFT(RawSalesTable[[#This Row],[Customer_Info]],FIND(",",RawSalesTable[[#This Row],[Customer_Info]]) -1))</f>
        <v>Adam White</v>
      </c>
      <c r="T641" s="8" t="str">
        <f>TRIM(MID(RawSalesTable[[#This Row],[Customer_Info]],FIND(",",RawSalesTable[[#This Row],[Customer_Info]])+1,FIND(",",RawSalesTable[[#This Row],[Customer_Info]],FIND(",",RawSalesTable[[#This Row],[Customer_Info]])+1)-FIND(",",RawSalesTable[[#This Row],[Customer_Info]])-1))</f>
        <v>Victoria</v>
      </c>
      <c r="U641" s="8" t="str">
        <f>TRIM(RIGHT(RawSalesTable[[#This Row],[Customer_Info]], LEN(RawSalesTable[[#This Row],[Customer_Info]])-FIND(",",RawSalesTable[[#This Row],[Customer_Info]],FIND(",",RawSalesTable[[#This Row],[Customer_Info]])+1)))</f>
        <v>Consumer</v>
      </c>
      <c r="V641" s="8" t="str">
        <f>VLOOKUP(RawSalesTable[[#This Row],[Product_ID]],ProductsTable[],2,FALSE)</f>
        <v>Travel Adapter</v>
      </c>
      <c r="W641" s="8" t="str">
        <f>VLOOKUP(RawSalesTable[[#This Row],[Product_ID]],ProductsTable[],3,FALSE)</f>
        <v>Accessories</v>
      </c>
      <c r="X641" s="8">
        <f>VLOOKUP(RawSalesTable[[#This Row],[Product_ID]],ProductsTable[],5,FALSE)</f>
        <v>229.86</v>
      </c>
      <c r="Y641" s="8">
        <f>RawSalesTable[[#This Row],[Quantity]]*RawSalesTable[[#This Row],[Unit_Price]]</f>
        <v>1387.48</v>
      </c>
      <c r="Z641" s="8">
        <f>RawSalesTable[[#This Row],[Gross_Sales]]*RawSalesTable[[#This Row],[Discount_Pct]]</f>
        <v>69.374000000000009</v>
      </c>
      <c r="AA641" s="8">
        <f>RawSalesTable[[#This Row],[Gross_Sales]]-RawSalesTable[[#This Row],[Discount_Amount]]</f>
        <v>1318.106</v>
      </c>
      <c r="AB641" s="8">
        <f>RawSalesTable[[#This Row],[Unit_Cost]]*RawSalesTable[[#This Row],[Quantity]]</f>
        <v>919.44</v>
      </c>
      <c r="AC641" s="8">
        <f>RawSalesTable[[#This Row],[Net_Sales]]-RawSalesTable[[#This Row],[Total_Cost]]</f>
        <v>398.66599999999994</v>
      </c>
      <c r="AD641" s="9">
        <f>RawSalesTable[[#This Row],[Profit]]/RawSalesTable[[#This Row],[Net_Sales]]</f>
        <v>0.30245367216293678</v>
      </c>
      <c r="AE641" s="8">
        <f>IF(RawSalesTable[[#This Row],[Return_Status]]="Yes",1,0)</f>
        <v>0</v>
      </c>
      <c r="AF641" s="8">
        <f>YEAR(RawSalesTable[[#This Row],[Order_Date]])</f>
        <v>2025</v>
      </c>
      <c r="AG641" s="8">
        <f>MONTH(RawSalesTable[[#This Row],[Order_Date]])</f>
        <v>8</v>
      </c>
      <c r="AH641" s="8" t="str">
        <f>TEXT(RawSalesTable[[#This Row],[Order_Date]],"mmmm")</f>
        <v>août</v>
      </c>
      <c r="AI641" s="8" t="str">
        <f>IF(RawSalesTable[[#This Row],[Month_Number]]&lt;=3,"Q1",IF(RawSalesTable[[#This Row],[Month_Number]]&lt;=6,"Q2",IF(RawSalesTable[[#This Row],[Month_Number]]&lt;=9,"Q3","Q4")))</f>
        <v>Q3</v>
      </c>
      <c r="AJ641" s="13">
        <f>DATE(YEAR(RawSalesTable[[#This Row],[Order_Date]]),MONTH(RawSalesTable[[#This Row],[Order_Date]]),1)</f>
        <v>45870</v>
      </c>
      <c r="AK641" s="8" t="str">
        <f>VLOOKUP(RawSalesTable[[#This Row],[Customer_ID_clean]],CustomersTable[],4,FALSE)</f>
        <v>British Columbia</v>
      </c>
    </row>
    <row r="642" spans="1:37">
      <c r="A642" t="s">
        <v>1085</v>
      </c>
      <c r="B642" s="3">
        <v>45997</v>
      </c>
      <c r="C642" t="s">
        <v>653</v>
      </c>
      <c r="D642" t="s">
        <v>101</v>
      </c>
      <c r="E642" t="s">
        <v>654</v>
      </c>
      <c r="F642" t="s">
        <v>111</v>
      </c>
      <c r="G642" t="s">
        <v>171</v>
      </c>
      <c r="H642" t="s">
        <v>89</v>
      </c>
      <c r="I642">
        <v>3</v>
      </c>
      <c r="J642" s="2">
        <v>312.94</v>
      </c>
      <c r="K642" s="4">
        <v>0.1</v>
      </c>
      <c r="L642" t="s">
        <v>98</v>
      </c>
      <c r="M642">
        <v>1</v>
      </c>
      <c r="N642" t="s">
        <v>91</v>
      </c>
      <c r="O642" t="str">
        <f>SUBSTITUTE(PROPER(TRIM(RawSalesTable[[#This Row],[Channel_Raw]])), "Market Place", "Marketplace")</f>
        <v>Online</v>
      </c>
      <c r="P642" t="str">
        <f>TRIM(RawSalesTable[[#This Row],[Store_Raw]])</f>
        <v>Montreal Central</v>
      </c>
      <c r="Q642" t="str">
        <f>IF(TRIM(RawSalesTable[[#This Row],[Payment_Method_Raw]])="","Non renseigné",SUBSTITUTE(TRIM(RawSalesTable[[#This Row],[Payment_Method_Raw]]),"CC","Credit Card"))</f>
        <v>Debit Card</v>
      </c>
      <c r="R642" s="8" t="str">
        <f>UPPER(PROPER(RawSalesTable[[#This Row],[Customer_ID]]))</f>
        <v>C0100</v>
      </c>
      <c r="S642" s="8" t="str">
        <f>TRIM(LEFT(RawSalesTable[[#This Row],[Customer_Info]],FIND(",",RawSalesTable[[#This Row],[Customer_Info]]) -1))</f>
        <v>Yasmine Smith</v>
      </c>
      <c r="T642" s="8" t="str">
        <f>TRIM(MID(RawSalesTable[[#This Row],[Customer_Info]],FIND(",",RawSalesTable[[#This Row],[Customer_Info]])+1,FIND(",",RawSalesTable[[#This Row],[Customer_Info]],FIND(",",RawSalesTable[[#This Row],[Customer_Info]])+1)-FIND(",",RawSalesTable[[#This Row],[Customer_Info]])-1))</f>
        <v>Mississauga</v>
      </c>
      <c r="U642" s="8" t="str">
        <f>TRIM(RIGHT(RawSalesTable[[#This Row],[Customer_Info]], LEN(RawSalesTable[[#This Row],[Customer_Info]])-FIND(",",RawSalesTable[[#This Row],[Customer_Info]],FIND(",",RawSalesTable[[#This Row],[Customer_Info]])+1)))</f>
        <v>Consumer</v>
      </c>
      <c r="V642" s="8" t="str">
        <f>VLOOKUP(RawSalesTable[[#This Row],[Product_ID]],ProductsTable[],2,FALSE)</f>
        <v>Kettle</v>
      </c>
      <c r="W642" s="8" t="str">
        <f>VLOOKUP(RawSalesTable[[#This Row],[Product_ID]],ProductsTable[],3,FALSE)</f>
        <v>Home</v>
      </c>
      <c r="X642" s="8">
        <f>VLOOKUP(RawSalesTable[[#This Row],[Product_ID]],ProductsTable[],5,FALSE)</f>
        <v>139.86000000000001</v>
      </c>
      <c r="Y642" s="8">
        <f>RawSalesTable[[#This Row],[Quantity]]*RawSalesTable[[#This Row],[Unit_Price]]</f>
        <v>938.81999999999994</v>
      </c>
      <c r="Z642" s="8">
        <f>RawSalesTable[[#This Row],[Gross_Sales]]*RawSalesTable[[#This Row],[Discount_Pct]]</f>
        <v>93.882000000000005</v>
      </c>
      <c r="AA642" s="8">
        <f>RawSalesTable[[#This Row],[Gross_Sales]]-RawSalesTable[[#This Row],[Discount_Amount]]</f>
        <v>844.93799999999987</v>
      </c>
      <c r="AB642" s="8">
        <f>RawSalesTable[[#This Row],[Unit_Cost]]*RawSalesTable[[#This Row],[Quantity]]</f>
        <v>419.58000000000004</v>
      </c>
      <c r="AC642" s="8">
        <f>RawSalesTable[[#This Row],[Net_Sales]]-RawSalesTable[[#This Row],[Total_Cost]]</f>
        <v>425.35799999999983</v>
      </c>
      <c r="AD642" s="9">
        <f>RawSalesTable[[#This Row],[Profit]]/RawSalesTable[[#This Row],[Net_Sales]]</f>
        <v>0.50341918578641265</v>
      </c>
      <c r="AE642" s="8">
        <f>IF(RawSalesTable[[#This Row],[Return_Status]]="Yes",1,0)</f>
        <v>0</v>
      </c>
      <c r="AF642" s="8">
        <f>YEAR(RawSalesTable[[#This Row],[Order_Date]])</f>
        <v>2025</v>
      </c>
      <c r="AG642" s="8">
        <f>MONTH(RawSalesTable[[#This Row],[Order_Date]])</f>
        <v>12</v>
      </c>
      <c r="AH642" s="8" t="str">
        <f>TEXT(RawSalesTable[[#This Row],[Order_Date]],"mmmm")</f>
        <v>décembre</v>
      </c>
      <c r="AI642" s="8" t="str">
        <f>IF(RawSalesTable[[#This Row],[Month_Number]]&lt;=3,"Q1",IF(RawSalesTable[[#This Row],[Month_Number]]&lt;=6,"Q2",IF(RawSalesTable[[#This Row],[Month_Number]]&lt;=9,"Q3","Q4")))</f>
        <v>Q4</v>
      </c>
      <c r="AJ642" s="13">
        <f>DATE(YEAR(RawSalesTable[[#This Row],[Order_Date]]),MONTH(RawSalesTable[[#This Row],[Order_Date]]),1)</f>
        <v>45992</v>
      </c>
      <c r="AK642" s="8" t="str">
        <f>VLOOKUP(RawSalesTable[[#This Row],[Customer_ID_clean]],CustomersTable[],4,FALSE)</f>
        <v>Ontario</v>
      </c>
    </row>
    <row r="643" spans="1:37">
      <c r="A643" t="s">
        <v>1086</v>
      </c>
      <c r="B643" s="3">
        <v>45754</v>
      </c>
      <c r="C643" t="s">
        <v>151</v>
      </c>
      <c r="D643" t="s">
        <v>226</v>
      </c>
      <c r="E643" t="s">
        <v>153</v>
      </c>
      <c r="F643" t="s">
        <v>87</v>
      </c>
      <c r="G643" t="s">
        <v>88</v>
      </c>
      <c r="H643" t="s">
        <v>97</v>
      </c>
      <c r="I643">
        <v>2</v>
      </c>
      <c r="J643" s="2">
        <v>215.98</v>
      </c>
      <c r="K643" s="4">
        <v>0.05</v>
      </c>
      <c r="L643" t="s">
        <v>90</v>
      </c>
      <c r="M643">
        <v>4</v>
      </c>
      <c r="N643" t="s">
        <v>91</v>
      </c>
      <c r="O643" t="str">
        <f>SUBSTITUTE(PROPER(TRIM(RawSalesTable[[#This Row],[Channel_Raw]])), "Market Place", "Marketplace")</f>
        <v>Retail Store</v>
      </c>
      <c r="P643" t="str">
        <f>TRIM(RawSalesTable[[#This Row],[Store_Raw]])</f>
        <v>Online Fulfillment</v>
      </c>
      <c r="Q643" t="str">
        <f>IF(TRIM(RawSalesTable[[#This Row],[Payment_Method_Raw]])="","Non renseigné",SUBSTITUTE(TRIM(RawSalesTable[[#This Row],[Payment_Method_Raw]]),"CC","Credit Card"))</f>
        <v>PayPal</v>
      </c>
      <c r="R643" s="8" t="str">
        <f>UPPER(PROPER(RawSalesTable[[#This Row],[Customer_ID]]))</f>
        <v>C0014</v>
      </c>
      <c r="S643" s="8" t="str">
        <f>TRIM(LEFT(RawSalesTable[[#This Row],[Customer_Info]],FIND(",",RawSalesTable[[#This Row],[Customer_Info]]) -1))</f>
        <v>Zoe Scott</v>
      </c>
      <c r="T643" s="8" t="str">
        <f>TRIM(MID(RawSalesTable[[#This Row],[Customer_Info]],FIND(",",RawSalesTable[[#This Row],[Customer_Info]])+1,FIND(",",RawSalesTable[[#This Row],[Customer_Info]],FIND(",",RawSalesTable[[#This Row],[Customer_Info]])+1)-FIND(",",RawSalesTable[[#This Row],[Customer_Info]])-1))</f>
        <v>Montreal</v>
      </c>
      <c r="U643" s="8" t="str">
        <f>TRIM(RIGHT(RawSalesTable[[#This Row],[Customer_Info]], LEN(RawSalesTable[[#This Row],[Customer_Info]])-FIND(",",RawSalesTable[[#This Row],[Customer_Info]],FIND(",",RawSalesTable[[#This Row],[Customer_Info]])+1)))</f>
        <v>Small Business</v>
      </c>
      <c r="V643" s="8" t="str">
        <f>VLOOKUP(RawSalesTable[[#This Row],[Product_ID]],ProductsTable[],2,FALSE)</f>
        <v>Desk Lamp</v>
      </c>
      <c r="W643" s="8" t="str">
        <f>VLOOKUP(RawSalesTable[[#This Row],[Product_ID]],ProductsTable[],3,FALSE)</f>
        <v>Office</v>
      </c>
      <c r="X643" s="8">
        <f>VLOOKUP(RawSalesTable[[#This Row],[Product_ID]],ProductsTable[],5,FALSE)</f>
        <v>127.21</v>
      </c>
      <c r="Y643" s="8">
        <f>RawSalesTable[[#This Row],[Quantity]]*RawSalesTable[[#This Row],[Unit_Price]]</f>
        <v>431.96</v>
      </c>
      <c r="Z643" s="8">
        <f>RawSalesTable[[#This Row],[Gross_Sales]]*RawSalesTable[[#This Row],[Discount_Pct]]</f>
        <v>21.597999999999999</v>
      </c>
      <c r="AA643" s="8">
        <f>RawSalesTable[[#This Row],[Gross_Sales]]-RawSalesTable[[#This Row],[Discount_Amount]]</f>
        <v>410.36199999999997</v>
      </c>
      <c r="AB643" s="8">
        <f>RawSalesTable[[#This Row],[Unit_Cost]]*RawSalesTable[[#This Row],[Quantity]]</f>
        <v>254.42</v>
      </c>
      <c r="AC643" s="8">
        <f>RawSalesTable[[#This Row],[Net_Sales]]-RawSalesTable[[#This Row],[Total_Cost]]</f>
        <v>155.94199999999998</v>
      </c>
      <c r="AD643" s="9">
        <f>RawSalesTable[[#This Row],[Profit]]/RawSalesTable[[#This Row],[Net_Sales]]</f>
        <v>0.38001081971527578</v>
      </c>
      <c r="AE643" s="8">
        <f>IF(RawSalesTable[[#This Row],[Return_Status]]="Yes",1,0)</f>
        <v>0</v>
      </c>
      <c r="AF643" s="8">
        <f>YEAR(RawSalesTable[[#This Row],[Order_Date]])</f>
        <v>2025</v>
      </c>
      <c r="AG643" s="8">
        <f>MONTH(RawSalesTable[[#This Row],[Order_Date]])</f>
        <v>4</v>
      </c>
      <c r="AH643" s="8" t="str">
        <f>TEXT(RawSalesTable[[#This Row],[Order_Date]],"mmmm")</f>
        <v>avril</v>
      </c>
      <c r="AI643" s="8" t="str">
        <f>IF(RawSalesTable[[#This Row],[Month_Number]]&lt;=3,"Q1",IF(RawSalesTable[[#This Row],[Month_Number]]&lt;=6,"Q2",IF(RawSalesTable[[#This Row],[Month_Number]]&lt;=9,"Q3","Q4")))</f>
        <v>Q2</v>
      </c>
      <c r="AJ643" s="13">
        <f>DATE(YEAR(RawSalesTable[[#This Row],[Order_Date]]),MONTH(RawSalesTable[[#This Row],[Order_Date]]),1)</f>
        <v>45748</v>
      </c>
      <c r="AK643" s="8" t="str">
        <f>VLOOKUP(RawSalesTable[[#This Row],[Customer_ID_clean]],CustomersTable[],4,FALSE)</f>
        <v>Quebec</v>
      </c>
    </row>
    <row r="644" spans="1:37">
      <c r="A644" t="s">
        <v>1087</v>
      </c>
      <c r="B644" s="3">
        <v>45684</v>
      </c>
      <c r="C644" t="s">
        <v>675</v>
      </c>
      <c r="D644" t="s">
        <v>231</v>
      </c>
      <c r="E644" t="s">
        <v>676</v>
      </c>
      <c r="F644" t="s">
        <v>145</v>
      </c>
      <c r="G644" t="s">
        <v>130</v>
      </c>
      <c r="H644" t="s">
        <v>97</v>
      </c>
      <c r="I644">
        <v>3</v>
      </c>
      <c r="J644" s="2">
        <v>366.11</v>
      </c>
      <c r="K644" s="4">
        <v>0</v>
      </c>
      <c r="L644" t="s">
        <v>106</v>
      </c>
      <c r="M644">
        <v>4</v>
      </c>
      <c r="N644" t="s">
        <v>91</v>
      </c>
      <c r="O644" t="str">
        <f>SUBSTITUTE(PROPER(TRIM(RawSalesTable[[#This Row],[Channel_Raw]])), "Market Place", "Marketplace")</f>
        <v>Retail Store</v>
      </c>
      <c r="P644" t="str">
        <f>TRIM(RawSalesTable[[#This Row],[Store_Raw]])</f>
        <v>Calgary North</v>
      </c>
      <c r="Q644" t="str">
        <f>IF(TRIM(RawSalesTable[[#This Row],[Payment_Method_Raw]])="","Non renseigné",SUBSTITUTE(TRIM(RawSalesTable[[#This Row],[Payment_Method_Raw]]),"CC","Credit Card"))</f>
        <v>Credit Card</v>
      </c>
      <c r="R644" s="8" t="str">
        <f>UPPER(PROPER(RawSalesTable[[#This Row],[Customer_ID]]))</f>
        <v>C0101</v>
      </c>
      <c r="S644" s="8" t="str">
        <f>TRIM(LEFT(RawSalesTable[[#This Row],[Customer_Info]],FIND(",",RawSalesTable[[#This Row],[Customer_Info]]) -1))</f>
        <v>Noah Martin</v>
      </c>
      <c r="T644" s="8" t="str">
        <f>TRIM(MID(RawSalesTable[[#This Row],[Customer_Info]],FIND(",",RawSalesTable[[#This Row],[Customer_Info]])+1,FIND(",",RawSalesTable[[#This Row],[Customer_Info]],FIND(",",RawSalesTable[[#This Row],[Customer_Info]])+1)-FIND(",",RawSalesTable[[#This Row],[Customer_Info]])-1))</f>
        <v>Saskatoon</v>
      </c>
      <c r="U644" s="8" t="str">
        <f>TRIM(RIGHT(RawSalesTable[[#This Row],[Customer_Info]], LEN(RawSalesTable[[#This Row],[Customer_Info]])-FIND(",",RawSalesTable[[#This Row],[Customer_Info]],FIND(",",RawSalesTable[[#This Row],[Customer_Info]])+1)))</f>
        <v>Small Business</v>
      </c>
      <c r="V644" s="8" t="str">
        <f>VLOOKUP(RawSalesTable[[#This Row],[Product_ID]],ProductsTable[],2,FALSE)</f>
        <v>Cable Set</v>
      </c>
      <c r="W644" s="8" t="str">
        <f>VLOOKUP(RawSalesTable[[#This Row],[Product_ID]],ProductsTable[],3,FALSE)</f>
        <v>Accessories</v>
      </c>
      <c r="X644" s="8">
        <f>VLOOKUP(RawSalesTable[[#This Row],[Product_ID]],ProductsTable[],5,FALSE)</f>
        <v>200.16</v>
      </c>
      <c r="Y644" s="8">
        <f>RawSalesTable[[#This Row],[Quantity]]*RawSalesTable[[#This Row],[Unit_Price]]</f>
        <v>1098.33</v>
      </c>
      <c r="Z644" s="8">
        <f>RawSalesTable[[#This Row],[Gross_Sales]]*RawSalesTable[[#This Row],[Discount_Pct]]</f>
        <v>0</v>
      </c>
      <c r="AA644" s="8">
        <f>RawSalesTable[[#This Row],[Gross_Sales]]-RawSalesTable[[#This Row],[Discount_Amount]]</f>
        <v>1098.33</v>
      </c>
      <c r="AB644" s="8">
        <f>RawSalesTable[[#This Row],[Unit_Cost]]*RawSalesTable[[#This Row],[Quantity]]</f>
        <v>600.48</v>
      </c>
      <c r="AC644" s="8">
        <f>RawSalesTable[[#This Row],[Net_Sales]]-RawSalesTable[[#This Row],[Total_Cost]]</f>
        <v>497.84999999999991</v>
      </c>
      <c r="AD644" s="9">
        <f>RawSalesTable[[#This Row],[Profit]]/RawSalesTable[[#This Row],[Net_Sales]]</f>
        <v>0.45327906913222799</v>
      </c>
      <c r="AE644" s="8">
        <f>IF(RawSalesTable[[#This Row],[Return_Status]]="Yes",1,0)</f>
        <v>0</v>
      </c>
      <c r="AF644" s="8">
        <f>YEAR(RawSalesTable[[#This Row],[Order_Date]])</f>
        <v>2025</v>
      </c>
      <c r="AG644" s="8">
        <f>MONTH(RawSalesTable[[#This Row],[Order_Date]])</f>
        <v>1</v>
      </c>
      <c r="AH644" s="8" t="str">
        <f>TEXT(RawSalesTable[[#This Row],[Order_Date]],"mmmm")</f>
        <v>janvier</v>
      </c>
      <c r="AI644" s="8" t="str">
        <f>IF(RawSalesTable[[#This Row],[Month_Number]]&lt;=3,"Q1",IF(RawSalesTable[[#This Row],[Month_Number]]&lt;=6,"Q2",IF(RawSalesTable[[#This Row],[Month_Number]]&lt;=9,"Q3","Q4")))</f>
        <v>Q1</v>
      </c>
      <c r="AJ644" s="13">
        <f>DATE(YEAR(RawSalesTable[[#This Row],[Order_Date]]),MONTH(RawSalesTable[[#This Row],[Order_Date]]),1)</f>
        <v>45658</v>
      </c>
      <c r="AK644" s="8" t="str">
        <f>VLOOKUP(RawSalesTable[[#This Row],[Customer_ID_clean]],CustomersTable[],4,FALSE)</f>
        <v>Saskatchewan</v>
      </c>
    </row>
    <row r="645" spans="1:37">
      <c r="A645" t="s">
        <v>1088</v>
      </c>
      <c r="B645" s="3">
        <v>45703</v>
      </c>
      <c r="C645" t="s">
        <v>487</v>
      </c>
      <c r="D645" t="s">
        <v>503</v>
      </c>
      <c r="E645" t="s">
        <v>806</v>
      </c>
      <c r="F645" t="s">
        <v>116</v>
      </c>
      <c r="G645" t="s">
        <v>117</v>
      </c>
      <c r="H645" t="s">
        <v>97</v>
      </c>
      <c r="I645">
        <v>1</v>
      </c>
      <c r="J645" s="2">
        <v>122.63</v>
      </c>
      <c r="K645" s="4">
        <v>0</v>
      </c>
      <c r="L645" t="s">
        <v>106</v>
      </c>
      <c r="M645">
        <v>4</v>
      </c>
      <c r="N645" t="s">
        <v>91</v>
      </c>
      <c r="O645" t="str">
        <f>SUBSTITUTE(PROPER(TRIM(RawSalesTable[[#This Row],[Channel_Raw]])), "Market Place", "Marketplace")</f>
        <v>Retail Store</v>
      </c>
      <c r="P645" t="str">
        <f>TRIM(RawSalesTable[[#This Row],[Store_Raw]])</f>
        <v>Toronto Downtown</v>
      </c>
      <c r="Q645" t="str">
        <f>IF(TRIM(RawSalesTable[[#This Row],[Payment_Method_Raw]])="","Non renseigné",SUBSTITUTE(TRIM(RawSalesTable[[#This Row],[Payment_Method_Raw]]),"CC","Credit Card"))</f>
        <v>Credit Card</v>
      </c>
      <c r="R645" s="8" t="str">
        <f>UPPER(PROPER(RawSalesTable[[#This Row],[Customer_ID]]))</f>
        <v>C0105</v>
      </c>
      <c r="S645" s="8" t="str">
        <f>TRIM(LEFT(RawSalesTable[[#This Row],[Customer_Info]],FIND(",",RawSalesTable[[#This Row],[Customer_Info]]) -1))</f>
        <v>Liam Martin</v>
      </c>
      <c r="T645" s="8" t="str">
        <f>TRIM(MID(RawSalesTable[[#This Row],[Customer_Info]],FIND(",",RawSalesTable[[#This Row],[Customer_Info]])+1,FIND(",",RawSalesTable[[#This Row],[Customer_Info]],FIND(",",RawSalesTable[[#This Row],[Customer_Info]])+1)-FIND(",",RawSalesTable[[#This Row],[Customer_Info]])-1))</f>
        <v>Calgary</v>
      </c>
      <c r="U645" s="8" t="str">
        <f>TRIM(RIGHT(RawSalesTable[[#This Row],[Customer_Info]], LEN(RawSalesTable[[#This Row],[Customer_Info]])-FIND(",",RawSalesTable[[#This Row],[Customer_Info]],FIND(",",RawSalesTable[[#This Row],[Customer_Info]])+1)))</f>
        <v>Consumer</v>
      </c>
      <c r="V645" s="8" t="str">
        <f>VLOOKUP(RawSalesTable[[#This Row],[Product_ID]],ProductsTable[],2,FALSE)</f>
        <v>Whiteboard</v>
      </c>
      <c r="W645" s="8" t="str">
        <f>VLOOKUP(RawSalesTable[[#This Row],[Product_ID]],ProductsTable[],3,FALSE)</f>
        <v>Office</v>
      </c>
      <c r="X645" s="8">
        <f>VLOOKUP(RawSalesTable[[#This Row],[Product_ID]],ProductsTable[],5,FALSE)</f>
        <v>85.73</v>
      </c>
      <c r="Y645" s="8">
        <f>RawSalesTable[[#This Row],[Quantity]]*RawSalesTable[[#This Row],[Unit_Price]]</f>
        <v>122.63</v>
      </c>
      <c r="Z645" s="8">
        <f>RawSalesTable[[#This Row],[Gross_Sales]]*RawSalesTable[[#This Row],[Discount_Pct]]</f>
        <v>0</v>
      </c>
      <c r="AA645" s="8">
        <f>RawSalesTable[[#This Row],[Gross_Sales]]-RawSalesTable[[#This Row],[Discount_Amount]]</f>
        <v>122.63</v>
      </c>
      <c r="AB645" s="8">
        <f>RawSalesTable[[#This Row],[Unit_Cost]]*RawSalesTable[[#This Row],[Quantity]]</f>
        <v>85.73</v>
      </c>
      <c r="AC645" s="8">
        <f>RawSalesTable[[#This Row],[Net_Sales]]-RawSalesTable[[#This Row],[Total_Cost]]</f>
        <v>36.899999999999991</v>
      </c>
      <c r="AD645" s="9">
        <f>RawSalesTable[[#This Row],[Profit]]/RawSalesTable[[#This Row],[Net_Sales]]</f>
        <v>0.30090516186903687</v>
      </c>
      <c r="AE645" s="8">
        <f>IF(RawSalesTable[[#This Row],[Return_Status]]="Yes",1,0)</f>
        <v>0</v>
      </c>
      <c r="AF645" s="8">
        <f>YEAR(RawSalesTable[[#This Row],[Order_Date]])</f>
        <v>2025</v>
      </c>
      <c r="AG645" s="8">
        <f>MONTH(RawSalesTable[[#This Row],[Order_Date]])</f>
        <v>2</v>
      </c>
      <c r="AH645" s="8" t="str">
        <f>TEXT(RawSalesTable[[#This Row],[Order_Date]],"mmmm")</f>
        <v>février</v>
      </c>
      <c r="AI645" s="8" t="str">
        <f>IF(RawSalesTable[[#This Row],[Month_Number]]&lt;=3,"Q1",IF(RawSalesTable[[#This Row],[Month_Number]]&lt;=6,"Q2",IF(RawSalesTable[[#This Row],[Month_Number]]&lt;=9,"Q3","Q4")))</f>
        <v>Q1</v>
      </c>
      <c r="AJ645" s="13">
        <f>DATE(YEAR(RawSalesTable[[#This Row],[Order_Date]]),MONTH(RawSalesTable[[#This Row],[Order_Date]]),1)</f>
        <v>45689</v>
      </c>
      <c r="AK645" s="8" t="str">
        <f>VLOOKUP(RawSalesTable[[#This Row],[Customer_ID_clean]],CustomersTable[],4,FALSE)</f>
        <v>Alberta</v>
      </c>
    </row>
    <row r="646" spans="1:37">
      <c r="A646" t="s">
        <v>1091</v>
      </c>
      <c r="B646" s="3">
        <v>45685</v>
      </c>
      <c r="C646" t="s">
        <v>543</v>
      </c>
      <c r="D646" t="s">
        <v>136</v>
      </c>
      <c r="E646" t="s">
        <v>589</v>
      </c>
      <c r="F646" t="s">
        <v>116</v>
      </c>
      <c r="G646" t="s">
        <v>96</v>
      </c>
      <c r="H646" t="s">
        <v>89</v>
      </c>
      <c r="I646">
        <v>2</v>
      </c>
      <c r="J646" s="2">
        <v>164.07</v>
      </c>
      <c r="K646" s="4">
        <v>0</v>
      </c>
      <c r="L646" t="s">
        <v>106</v>
      </c>
      <c r="M646">
        <v>5</v>
      </c>
      <c r="N646" t="s">
        <v>91</v>
      </c>
      <c r="O646" t="str">
        <f>SUBSTITUTE(PROPER(TRIM(RawSalesTable[[#This Row],[Channel_Raw]])), "Market Place", "Marketplace")</f>
        <v>Online</v>
      </c>
      <c r="P646" t="str">
        <f>TRIM(RawSalesTable[[#This Row],[Store_Raw]])</f>
        <v>Toronto Downtown</v>
      </c>
      <c r="Q646" t="str">
        <f>IF(TRIM(RawSalesTable[[#This Row],[Payment_Method_Raw]])="","Non renseigné",SUBSTITUTE(TRIM(RawSalesTable[[#This Row],[Payment_Method_Raw]]),"CC","Credit Card"))</f>
        <v>Credit Card</v>
      </c>
      <c r="R646" s="8" t="str">
        <f>UPPER(PROPER(RawSalesTable[[#This Row],[Customer_ID]]))</f>
        <v>C0031</v>
      </c>
      <c r="S646" s="8" t="str">
        <f>TRIM(LEFT(RawSalesTable[[#This Row],[Customer_Info]],FIND(",",RawSalesTable[[#This Row],[Customer_Info]]) -1))</f>
        <v>Leo Gagnon</v>
      </c>
      <c r="T646" s="8" t="str">
        <f>TRIM(MID(RawSalesTable[[#This Row],[Customer_Info]],FIND(",",RawSalesTable[[#This Row],[Customer_Info]])+1,FIND(",",RawSalesTable[[#This Row],[Customer_Info]],FIND(",",RawSalesTable[[#This Row],[Customer_Info]])+1)-FIND(",",RawSalesTable[[#This Row],[Customer_Info]])-1))</f>
        <v>Surrey</v>
      </c>
      <c r="U646" s="8" t="str">
        <f>TRIM(RIGHT(RawSalesTable[[#This Row],[Customer_Info]], LEN(RawSalesTable[[#This Row],[Customer_Info]])-FIND(",",RawSalesTable[[#This Row],[Customer_Info]],FIND(",",RawSalesTable[[#This Row],[Customer_Info]])+1)))</f>
        <v>Small Business</v>
      </c>
      <c r="V646" s="8" t="str">
        <f>VLOOKUP(RawSalesTable[[#This Row],[Product_ID]],ProductsTable[],2,FALSE)</f>
        <v>Mouse</v>
      </c>
      <c r="W646" s="8" t="str">
        <f>VLOOKUP(RawSalesTable[[#This Row],[Product_ID]],ProductsTable[],3,FALSE)</f>
        <v>Electronics</v>
      </c>
      <c r="X646" s="8">
        <f>VLOOKUP(RawSalesTable[[#This Row],[Product_ID]],ProductsTable[],5,FALSE)</f>
        <v>106.4</v>
      </c>
      <c r="Y646" s="8">
        <f>RawSalesTable[[#This Row],[Quantity]]*RawSalesTable[[#This Row],[Unit_Price]]</f>
        <v>328.14</v>
      </c>
      <c r="Z646" s="8">
        <f>RawSalesTable[[#This Row],[Gross_Sales]]*RawSalesTable[[#This Row],[Discount_Pct]]</f>
        <v>0</v>
      </c>
      <c r="AA646" s="8">
        <f>RawSalesTable[[#This Row],[Gross_Sales]]-RawSalesTable[[#This Row],[Discount_Amount]]</f>
        <v>328.14</v>
      </c>
      <c r="AB646" s="8">
        <f>RawSalesTable[[#This Row],[Unit_Cost]]*RawSalesTable[[#This Row],[Quantity]]</f>
        <v>212.8</v>
      </c>
      <c r="AC646" s="8">
        <f>RawSalesTable[[#This Row],[Net_Sales]]-RawSalesTable[[#This Row],[Total_Cost]]</f>
        <v>115.33999999999997</v>
      </c>
      <c r="AD646" s="9">
        <f>RawSalesTable[[#This Row],[Profit]]/RawSalesTable[[#This Row],[Net_Sales]]</f>
        <v>0.35149631254952146</v>
      </c>
      <c r="AE646" s="8">
        <f>IF(RawSalesTable[[#This Row],[Return_Status]]="Yes",1,0)</f>
        <v>0</v>
      </c>
      <c r="AF646" s="8">
        <f>YEAR(RawSalesTable[[#This Row],[Order_Date]])</f>
        <v>2025</v>
      </c>
      <c r="AG646" s="8">
        <f>MONTH(RawSalesTable[[#This Row],[Order_Date]])</f>
        <v>1</v>
      </c>
      <c r="AH646" s="8" t="str">
        <f>TEXT(RawSalesTable[[#This Row],[Order_Date]],"mmmm")</f>
        <v>janvier</v>
      </c>
      <c r="AI646" s="8" t="str">
        <f>IF(RawSalesTable[[#This Row],[Month_Number]]&lt;=3,"Q1",IF(RawSalesTable[[#This Row],[Month_Number]]&lt;=6,"Q2",IF(RawSalesTable[[#This Row],[Month_Number]]&lt;=9,"Q3","Q4")))</f>
        <v>Q1</v>
      </c>
      <c r="AJ646" s="13">
        <f>DATE(YEAR(RawSalesTable[[#This Row],[Order_Date]]),MONTH(RawSalesTable[[#This Row],[Order_Date]]),1)</f>
        <v>45658</v>
      </c>
      <c r="AK646" s="8" t="str">
        <f>VLOOKUP(RawSalesTable[[#This Row],[Customer_ID_clean]],CustomersTable[],4,FALSE)</f>
        <v>British Columbia</v>
      </c>
    </row>
    <row r="647" spans="1:37">
      <c r="A647" t="s">
        <v>1092</v>
      </c>
      <c r="B647" s="3">
        <v>45817</v>
      </c>
      <c r="C647" t="s">
        <v>220</v>
      </c>
      <c r="D647" t="s">
        <v>109</v>
      </c>
      <c r="E647" t="s">
        <v>222</v>
      </c>
      <c r="F647" t="s">
        <v>103</v>
      </c>
      <c r="G647" t="s">
        <v>122</v>
      </c>
      <c r="H647" t="s">
        <v>89</v>
      </c>
      <c r="I647">
        <v>3</v>
      </c>
      <c r="J647" s="2">
        <v>205.35</v>
      </c>
      <c r="K647" s="4">
        <v>0.1</v>
      </c>
      <c r="L647" t="s">
        <v>106</v>
      </c>
      <c r="M647">
        <v>6</v>
      </c>
      <c r="N647" t="s">
        <v>91</v>
      </c>
      <c r="O647" t="str">
        <f>SUBSTITUTE(PROPER(TRIM(RawSalesTable[[#This Row],[Channel_Raw]])), "Market Place", "Marketplace")</f>
        <v>Online</v>
      </c>
      <c r="P647" t="str">
        <f>TRIM(RawSalesTable[[#This Row],[Store_Raw]])</f>
        <v>Vancouver West</v>
      </c>
      <c r="Q647" t="str">
        <f>IF(TRIM(RawSalesTable[[#This Row],[Payment_Method_Raw]])="","Non renseigné",SUBSTITUTE(TRIM(RawSalesTable[[#This Row],[Payment_Method_Raw]]),"CC","Credit Card"))</f>
        <v>Credit Card</v>
      </c>
      <c r="R647" s="8" t="str">
        <f>UPPER(PROPER(RawSalesTable[[#This Row],[Customer_ID]]))</f>
        <v>C0067</v>
      </c>
      <c r="S647" s="8" t="str">
        <f>TRIM(LEFT(RawSalesTable[[#This Row],[Customer_Info]],FIND(",",RawSalesTable[[#This Row],[Customer_Info]]) -1))</f>
        <v>Leo Bennett</v>
      </c>
      <c r="T647" s="8" t="str">
        <f>TRIM(MID(RawSalesTable[[#This Row],[Customer_Info]],FIND(",",RawSalesTable[[#This Row],[Customer_Info]])+1,FIND(",",RawSalesTable[[#This Row],[Customer_Info]],FIND(",",RawSalesTable[[#This Row],[Customer_Info]])+1)-FIND(",",RawSalesTable[[#This Row],[Customer_Info]])-1))</f>
        <v>Mississauga</v>
      </c>
      <c r="U647" s="8" t="str">
        <f>TRIM(RIGHT(RawSalesTable[[#This Row],[Customer_Info]], LEN(RawSalesTable[[#This Row],[Customer_Info]])-FIND(",",RawSalesTable[[#This Row],[Customer_Info]],FIND(",",RawSalesTable[[#This Row],[Customer_Info]])+1)))</f>
        <v>Consumer</v>
      </c>
      <c r="V647" s="8" t="str">
        <f>VLOOKUP(RawSalesTable[[#This Row],[Product_ID]],ProductsTable[],2,FALSE)</f>
        <v>Gym Bag</v>
      </c>
      <c r="W647" s="8" t="str">
        <f>VLOOKUP(RawSalesTable[[#This Row],[Product_ID]],ProductsTable[],3,FALSE)</f>
        <v>Fitness</v>
      </c>
      <c r="X647" s="8">
        <f>VLOOKUP(RawSalesTable[[#This Row],[Product_ID]],ProductsTable[],5,FALSE)</f>
        <v>132.72</v>
      </c>
      <c r="Y647" s="8">
        <f>RawSalesTable[[#This Row],[Quantity]]*RawSalesTable[[#This Row],[Unit_Price]]</f>
        <v>616.04999999999995</v>
      </c>
      <c r="Z647" s="8">
        <f>RawSalesTable[[#This Row],[Gross_Sales]]*RawSalesTable[[#This Row],[Discount_Pct]]</f>
        <v>61.604999999999997</v>
      </c>
      <c r="AA647" s="8">
        <f>RawSalesTable[[#This Row],[Gross_Sales]]-RawSalesTable[[#This Row],[Discount_Amount]]</f>
        <v>554.44499999999994</v>
      </c>
      <c r="AB647" s="8">
        <f>RawSalesTable[[#This Row],[Unit_Cost]]*RawSalesTable[[#This Row],[Quantity]]</f>
        <v>398.15999999999997</v>
      </c>
      <c r="AC647" s="8">
        <f>RawSalesTable[[#This Row],[Net_Sales]]-RawSalesTable[[#This Row],[Total_Cost]]</f>
        <v>156.28499999999997</v>
      </c>
      <c r="AD647" s="9">
        <f>RawSalesTable[[#This Row],[Profit]]/RawSalesTable[[#This Row],[Net_Sales]]</f>
        <v>0.28187647106566022</v>
      </c>
      <c r="AE647" s="8">
        <f>IF(RawSalesTable[[#This Row],[Return_Status]]="Yes",1,0)</f>
        <v>0</v>
      </c>
      <c r="AF647" s="8">
        <f>YEAR(RawSalesTable[[#This Row],[Order_Date]])</f>
        <v>2025</v>
      </c>
      <c r="AG647" s="8">
        <f>MONTH(RawSalesTable[[#This Row],[Order_Date]])</f>
        <v>6</v>
      </c>
      <c r="AH647" s="8" t="str">
        <f>TEXT(RawSalesTable[[#This Row],[Order_Date]],"mmmm")</f>
        <v>juin</v>
      </c>
      <c r="AI647" s="8" t="str">
        <f>IF(RawSalesTable[[#This Row],[Month_Number]]&lt;=3,"Q1",IF(RawSalesTable[[#This Row],[Month_Number]]&lt;=6,"Q2",IF(RawSalesTable[[#This Row],[Month_Number]]&lt;=9,"Q3","Q4")))</f>
        <v>Q2</v>
      </c>
      <c r="AJ647" s="13">
        <f>DATE(YEAR(RawSalesTable[[#This Row],[Order_Date]]),MONTH(RawSalesTable[[#This Row],[Order_Date]]),1)</f>
        <v>45809</v>
      </c>
      <c r="AK647" s="8" t="str">
        <f>VLOOKUP(RawSalesTable[[#This Row],[Customer_ID_clean]],CustomersTable[],4,FALSE)</f>
        <v>Ontario</v>
      </c>
    </row>
    <row r="648" spans="1:37">
      <c r="A648" t="s">
        <v>1093</v>
      </c>
      <c r="B648" s="3">
        <v>45906</v>
      </c>
      <c r="C648" t="s">
        <v>93</v>
      </c>
      <c r="D648" t="s">
        <v>136</v>
      </c>
      <c r="E648" t="s">
        <v>95</v>
      </c>
      <c r="F648" t="s">
        <v>103</v>
      </c>
      <c r="G648" t="s">
        <v>96</v>
      </c>
      <c r="H648" t="s">
        <v>89</v>
      </c>
      <c r="I648">
        <v>2</v>
      </c>
      <c r="J648" s="2">
        <v>163.54</v>
      </c>
      <c r="K648" s="4">
        <v>0.1</v>
      </c>
      <c r="L648" t="s">
        <v>98</v>
      </c>
      <c r="M648">
        <v>4</v>
      </c>
      <c r="N648" t="s">
        <v>91</v>
      </c>
      <c r="O648" t="str">
        <f>SUBSTITUTE(PROPER(TRIM(RawSalesTable[[#This Row],[Channel_Raw]])), "Market Place", "Marketplace")</f>
        <v>Online</v>
      </c>
      <c r="P648" t="str">
        <f>TRIM(RawSalesTable[[#This Row],[Store_Raw]])</f>
        <v>Vancouver West</v>
      </c>
      <c r="Q648" t="str">
        <f>IF(TRIM(RawSalesTable[[#This Row],[Payment_Method_Raw]])="","Non renseigné",SUBSTITUTE(TRIM(RawSalesTable[[#This Row],[Payment_Method_Raw]]),"CC","Credit Card"))</f>
        <v>Debit Card</v>
      </c>
      <c r="R648" s="8" t="str">
        <f>UPPER(PROPER(RawSalesTable[[#This Row],[Customer_ID]]))</f>
        <v>C0084</v>
      </c>
      <c r="S648" s="8" t="str">
        <f>TRIM(LEFT(RawSalesTable[[#This Row],[Customer_Info]],FIND(",",RawSalesTable[[#This Row],[Customer_Info]]) -1))</f>
        <v>Ryan Clark</v>
      </c>
      <c r="T648" s="8" t="str">
        <f>TRIM(MID(RawSalesTable[[#This Row],[Customer_Info]],FIND(",",RawSalesTable[[#This Row],[Customer_Info]])+1,FIND(",",RawSalesTable[[#This Row],[Customer_Info]],FIND(",",RawSalesTable[[#This Row],[Customer_Info]])+1)-FIND(",",RawSalesTable[[#This Row],[Customer_Info]])-1))</f>
        <v>Montreal</v>
      </c>
      <c r="U648" s="8" t="str">
        <f>TRIM(RIGHT(RawSalesTable[[#This Row],[Customer_Info]], LEN(RawSalesTable[[#This Row],[Customer_Info]])-FIND(",",RawSalesTable[[#This Row],[Customer_Info]],FIND(",",RawSalesTable[[#This Row],[Customer_Info]])+1)))</f>
        <v>Corporate</v>
      </c>
      <c r="V648" s="8" t="str">
        <f>VLOOKUP(RawSalesTable[[#This Row],[Product_ID]],ProductsTable[],2,FALSE)</f>
        <v>Mouse</v>
      </c>
      <c r="W648" s="8" t="str">
        <f>VLOOKUP(RawSalesTable[[#This Row],[Product_ID]],ProductsTable[],3,FALSE)</f>
        <v>Electronics</v>
      </c>
      <c r="X648" s="8">
        <f>VLOOKUP(RawSalesTable[[#This Row],[Product_ID]],ProductsTable[],5,FALSE)</f>
        <v>106.4</v>
      </c>
      <c r="Y648" s="8">
        <f>RawSalesTable[[#This Row],[Quantity]]*RawSalesTable[[#This Row],[Unit_Price]]</f>
        <v>327.08</v>
      </c>
      <c r="Z648" s="8">
        <f>RawSalesTable[[#This Row],[Gross_Sales]]*RawSalesTable[[#This Row],[Discount_Pct]]</f>
        <v>32.707999999999998</v>
      </c>
      <c r="AA648" s="8">
        <f>RawSalesTable[[#This Row],[Gross_Sales]]-RawSalesTable[[#This Row],[Discount_Amount]]</f>
        <v>294.37199999999996</v>
      </c>
      <c r="AB648" s="8">
        <f>RawSalesTable[[#This Row],[Unit_Cost]]*RawSalesTable[[#This Row],[Quantity]]</f>
        <v>212.8</v>
      </c>
      <c r="AC648" s="8">
        <f>RawSalesTable[[#This Row],[Net_Sales]]-RawSalesTable[[#This Row],[Total_Cost]]</f>
        <v>81.571999999999946</v>
      </c>
      <c r="AD648" s="9">
        <f>RawSalesTable[[#This Row],[Profit]]/RawSalesTable[[#This Row],[Net_Sales]]</f>
        <v>0.27710515945810049</v>
      </c>
      <c r="AE648" s="8">
        <f>IF(RawSalesTable[[#This Row],[Return_Status]]="Yes",1,0)</f>
        <v>0</v>
      </c>
      <c r="AF648" s="8">
        <f>YEAR(RawSalesTable[[#This Row],[Order_Date]])</f>
        <v>2025</v>
      </c>
      <c r="AG648" s="8">
        <f>MONTH(RawSalesTable[[#This Row],[Order_Date]])</f>
        <v>9</v>
      </c>
      <c r="AH648" s="8" t="str">
        <f>TEXT(RawSalesTable[[#This Row],[Order_Date]],"mmmm")</f>
        <v>septembre</v>
      </c>
      <c r="AI648" s="8" t="str">
        <f>IF(RawSalesTable[[#This Row],[Month_Number]]&lt;=3,"Q1",IF(RawSalesTable[[#This Row],[Month_Number]]&lt;=6,"Q2",IF(RawSalesTable[[#This Row],[Month_Number]]&lt;=9,"Q3","Q4")))</f>
        <v>Q3</v>
      </c>
      <c r="AJ648" s="13">
        <f>DATE(YEAR(RawSalesTable[[#This Row],[Order_Date]]),MONTH(RawSalesTable[[#This Row],[Order_Date]]),1)</f>
        <v>45901</v>
      </c>
      <c r="AK648" s="8" t="str">
        <f>VLOOKUP(RawSalesTable[[#This Row],[Customer_ID_clean]],CustomersTable[],4,FALSE)</f>
        <v>Quebec</v>
      </c>
    </row>
    <row r="649" spans="1:37">
      <c r="A649" t="s">
        <v>1094</v>
      </c>
      <c r="B649" s="3">
        <v>45912</v>
      </c>
      <c r="C649" t="s">
        <v>124</v>
      </c>
      <c r="D649" t="s">
        <v>323</v>
      </c>
      <c r="E649" t="s">
        <v>1095</v>
      </c>
      <c r="F649" t="s">
        <v>145</v>
      </c>
      <c r="G649" t="s">
        <v>183</v>
      </c>
      <c r="H649" t="s">
        <v>246</v>
      </c>
      <c r="I649">
        <v>2</v>
      </c>
      <c r="J649" s="2">
        <v>323.04000000000002</v>
      </c>
      <c r="K649" s="4">
        <v>0.05</v>
      </c>
      <c r="L649" t="s">
        <v>98</v>
      </c>
      <c r="M649">
        <v>1</v>
      </c>
      <c r="N649" t="s">
        <v>91</v>
      </c>
      <c r="O649" t="str">
        <f>SUBSTITUTE(PROPER(TRIM(RawSalesTable[[#This Row],[Channel_Raw]])), "Market Place", "Marketplace")</f>
        <v>Retail Store</v>
      </c>
      <c r="P649" t="str">
        <f>TRIM(RawSalesTable[[#This Row],[Store_Raw]])</f>
        <v>Calgary North</v>
      </c>
      <c r="Q649" t="str">
        <f>IF(TRIM(RawSalesTable[[#This Row],[Payment_Method_Raw]])="","Non renseigné",SUBSTITUTE(TRIM(RawSalesTable[[#This Row],[Payment_Method_Raw]]),"CC","Credit Card"))</f>
        <v>Debit Card</v>
      </c>
      <c r="R649" s="8" t="str">
        <f>UPPER(PROPER(RawSalesTable[[#This Row],[Customer_ID]]))</f>
        <v>C0021</v>
      </c>
      <c r="S649" s="8" t="str">
        <f>TRIM(LEFT(RawSalesTable[[#This Row],[Customer_Info]],FIND(",",RawSalesTable[[#This Row],[Customer_Info]]) -1))</f>
        <v>Nora King</v>
      </c>
      <c r="T649" s="8" t="str">
        <f>TRIM(MID(RawSalesTable[[#This Row],[Customer_Info]],FIND(",",RawSalesTable[[#This Row],[Customer_Info]])+1,FIND(",",RawSalesTable[[#This Row],[Customer_Info]],FIND(",",RawSalesTable[[#This Row],[Customer_Info]])+1)-FIND(",",RawSalesTable[[#This Row],[Customer_Info]])-1))</f>
        <v>Halifax</v>
      </c>
      <c r="U649" s="8" t="str">
        <f>TRIM(RIGHT(RawSalesTable[[#This Row],[Customer_Info]], LEN(RawSalesTable[[#This Row],[Customer_Info]])-FIND(",",RawSalesTable[[#This Row],[Customer_Info]],FIND(",",RawSalesTable[[#This Row],[Customer_Info]])+1)))</f>
        <v>Corporate</v>
      </c>
      <c r="V649" s="8" t="str">
        <f>VLOOKUP(RawSalesTable[[#This Row],[Product_ID]],ProductsTable[],2,FALSE)</f>
        <v>Toaster</v>
      </c>
      <c r="W649" s="8" t="str">
        <f>VLOOKUP(RawSalesTable[[#This Row],[Product_ID]],ProductsTable[],3,FALSE)</f>
        <v>Home</v>
      </c>
      <c r="X649" s="8">
        <f>VLOOKUP(RawSalesTable[[#This Row],[Product_ID]],ProductsTable[],5,FALSE)</f>
        <v>152.88</v>
      </c>
      <c r="Y649" s="8">
        <f>RawSalesTable[[#This Row],[Quantity]]*RawSalesTable[[#This Row],[Unit_Price]]</f>
        <v>646.08000000000004</v>
      </c>
      <c r="Z649" s="8">
        <f>RawSalesTable[[#This Row],[Gross_Sales]]*RawSalesTable[[#This Row],[Discount_Pct]]</f>
        <v>32.304000000000002</v>
      </c>
      <c r="AA649" s="8">
        <f>RawSalesTable[[#This Row],[Gross_Sales]]-RawSalesTable[[#This Row],[Discount_Amount]]</f>
        <v>613.77600000000007</v>
      </c>
      <c r="AB649" s="8">
        <f>RawSalesTable[[#This Row],[Unit_Cost]]*RawSalesTable[[#This Row],[Quantity]]</f>
        <v>305.76</v>
      </c>
      <c r="AC649" s="8">
        <f>RawSalesTable[[#This Row],[Net_Sales]]-RawSalesTable[[#This Row],[Total_Cost]]</f>
        <v>308.01600000000008</v>
      </c>
      <c r="AD649" s="9">
        <f>RawSalesTable[[#This Row],[Profit]]/RawSalesTable[[#This Row],[Net_Sales]]</f>
        <v>0.50183780401970757</v>
      </c>
      <c r="AE649" s="8">
        <f>IF(RawSalesTable[[#This Row],[Return_Status]]="Yes",1,0)</f>
        <v>0</v>
      </c>
      <c r="AF649" s="8">
        <f>YEAR(RawSalesTable[[#This Row],[Order_Date]])</f>
        <v>2025</v>
      </c>
      <c r="AG649" s="8">
        <f>MONTH(RawSalesTable[[#This Row],[Order_Date]])</f>
        <v>9</v>
      </c>
      <c r="AH649" s="8" t="str">
        <f>TEXT(RawSalesTable[[#This Row],[Order_Date]],"mmmm")</f>
        <v>septembre</v>
      </c>
      <c r="AI649" s="8" t="str">
        <f>IF(RawSalesTable[[#This Row],[Month_Number]]&lt;=3,"Q1",IF(RawSalesTable[[#This Row],[Month_Number]]&lt;=6,"Q2",IF(RawSalesTable[[#This Row],[Month_Number]]&lt;=9,"Q3","Q4")))</f>
        <v>Q3</v>
      </c>
      <c r="AJ649" s="13">
        <f>DATE(YEAR(RawSalesTable[[#This Row],[Order_Date]]),MONTH(RawSalesTable[[#This Row],[Order_Date]]),1)</f>
        <v>45901</v>
      </c>
      <c r="AK649" s="8" t="str">
        <f>VLOOKUP(RawSalesTable[[#This Row],[Customer_ID_clean]],CustomersTable[],4,FALSE)</f>
        <v>Nova Scotia</v>
      </c>
    </row>
    <row r="650" spans="1:37">
      <c r="A650" t="s">
        <v>1096</v>
      </c>
      <c r="B650" s="3">
        <v>45787</v>
      </c>
      <c r="C650" t="s">
        <v>427</v>
      </c>
      <c r="D650" t="s">
        <v>133</v>
      </c>
      <c r="E650" t="s">
        <v>428</v>
      </c>
      <c r="F650" t="s">
        <v>103</v>
      </c>
      <c r="G650" t="s">
        <v>88</v>
      </c>
      <c r="H650" t="s">
        <v>89</v>
      </c>
      <c r="I650">
        <v>2</v>
      </c>
      <c r="J650" s="2">
        <v>336.56</v>
      </c>
      <c r="K650" s="4">
        <v>0.25</v>
      </c>
      <c r="L650" t="s">
        <v>154</v>
      </c>
      <c r="M650">
        <v>6</v>
      </c>
      <c r="N650" t="s">
        <v>91</v>
      </c>
      <c r="O650" t="str">
        <f>SUBSTITUTE(PROPER(TRIM(RawSalesTable[[#This Row],[Channel_Raw]])), "Market Place", "Marketplace")</f>
        <v>Online</v>
      </c>
      <c r="P650" t="str">
        <f>TRIM(RawSalesTable[[#This Row],[Store_Raw]])</f>
        <v>Vancouver West</v>
      </c>
      <c r="Q650" t="str">
        <f>IF(TRIM(RawSalesTable[[#This Row],[Payment_Method_Raw]])="","Non renseigné",SUBSTITUTE(TRIM(RawSalesTable[[#This Row],[Payment_Method_Raw]]),"CC","Credit Card"))</f>
        <v>Gift Card</v>
      </c>
      <c r="R650" s="8" t="str">
        <f>UPPER(PROPER(RawSalesTable[[#This Row],[Customer_ID]]))</f>
        <v>C0062</v>
      </c>
      <c r="S650" s="8" t="str">
        <f>TRIM(LEFT(RawSalesTable[[#This Row],[Customer_Info]],FIND(",",RawSalesTable[[#This Row],[Customer_Info]]) -1))</f>
        <v>Yasmine Scott</v>
      </c>
      <c r="T650" s="8" t="str">
        <f>TRIM(MID(RawSalesTable[[#This Row],[Customer_Info]],FIND(",",RawSalesTable[[#This Row],[Customer_Info]])+1,FIND(",",RawSalesTable[[#This Row],[Customer_Info]],FIND(",",RawSalesTable[[#This Row],[Customer_Info]])+1)-FIND(",",RawSalesTable[[#This Row],[Customer_Info]])-1))</f>
        <v>Toronto</v>
      </c>
      <c r="U650" s="8" t="str">
        <f>TRIM(RIGHT(RawSalesTable[[#This Row],[Customer_Info]], LEN(RawSalesTable[[#This Row],[Customer_Info]])-FIND(",",RawSalesTable[[#This Row],[Customer_Info]],FIND(",",RawSalesTable[[#This Row],[Customer_Info]])+1)))</f>
        <v>Consumer</v>
      </c>
      <c r="V650" s="8" t="str">
        <f>VLOOKUP(RawSalesTable[[#This Row],[Product_ID]],ProductsTable[],2,FALSE)</f>
        <v>Travel Adapter</v>
      </c>
      <c r="W650" s="8" t="str">
        <f>VLOOKUP(RawSalesTable[[#This Row],[Product_ID]],ProductsTable[],3,FALSE)</f>
        <v>Accessories</v>
      </c>
      <c r="X650" s="8">
        <f>VLOOKUP(RawSalesTable[[#This Row],[Product_ID]],ProductsTable[],5,FALSE)</f>
        <v>229.86</v>
      </c>
      <c r="Y650" s="8">
        <f>RawSalesTable[[#This Row],[Quantity]]*RawSalesTable[[#This Row],[Unit_Price]]</f>
        <v>673.12</v>
      </c>
      <c r="Z650" s="8">
        <f>RawSalesTable[[#This Row],[Gross_Sales]]*RawSalesTable[[#This Row],[Discount_Pct]]</f>
        <v>168.28</v>
      </c>
      <c r="AA650" s="8">
        <f>RawSalesTable[[#This Row],[Gross_Sales]]-RawSalesTable[[#This Row],[Discount_Amount]]</f>
        <v>504.84000000000003</v>
      </c>
      <c r="AB650" s="8">
        <f>RawSalesTable[[#This Row],[Unit_Cost]]*RawSalesTable[[#This Row],[Quantity]]</f>
        <v>459.72</v>
      </c>
      <c r="AC650" s="8">
        <f>RawSalesTable[[#This Row],[Net_Sales]]-RawSalesTable[[#This Row],[Total_Cost]]</f>
        <v>45.120000000000005</v>
      </c>
      <c r="AD650" s="9">
        <f>RawSalesTable[[#This Row],[Profit]]/RawSalesTable[[#This Row],[Net_Sales]]</f>
        <v>8.9374851438079397E-2</v>
      </c>
      <c r="AE650" s="8">
        <f>IF(RawSalesTable[[#This Row],[Return_Status]]="Yes",1,0)</f>
        <v>0</v>
      </c>
      <c r="AF650" s="8">
        <f>YEAR(RawSalesTable[[#This Row],[Order_Date]])</f>
        <v>2025</v>
      </c>
      <c r="AG650" s="8">
        <f>MONTH(RawSalesTable[[#This Row],[Order_Date]])</f>
        <v>5</v>
      </c>
      <c r="AH650" s="8" t="str">
        <f>TEXT(RawSalesTable[[#This Row],[Order_Date]],"mmmm")</f>
        <v>mai</v>
      </c>
      <c r="AI650" s="8" t="str">
        <f>IF(RawSalesTable[[#This Row],[Month_Number]]&lt;=3,"Q1",IF(RawSalesTable[[#This Row],[Month_Number]]&lt;=6,"Q2",IF(RawSalesTable[[#This Row],[Month_Number]]&lt;=9,"Q3","Q4")))</f>
        <v>Q2</v>
      </c>
      <c r="AJ650" s="13">
        <f>DATE(YEAR(RawSalesTable[[#This Row],[Order_Date]]),MONTH(RawSalesTable[[#This Row],[Order_Date]]),1)</f>
        <v>45778</v>
      </c>
      <c r="AK650" s="8" t="str">
        <f>VLOOKUP(RawSalesTable[[#This Row],[Customer_ID_clean]],CustomersTable[],4,FALSE)</f>
        <v>Ontario</v>
      </c>
    </row>
    <row r="651" spans="1:37">
      <c r="A651" t="s">
        <v>1097</v>
      </c>
      <c r="B651" s="3">
        <v>46006</v>
      </c>
      <c r="C651" t="s">
        <v>463</v>
      </c>
      <c r="D651" t="s">
        <v>261</v>
      </c>
      <c r="E651" t="s">
        <v>464</v>
      </c>
      <c r="F651" t="s">
        <v>116</v>
      </c>
      <c r="G651" t="s">
        <v>171</v>
      </c>
      <c r="H651" t="s">
        <v>89</v>
      </c>
      <c r="I651">
        <v>2</v>
      </c>
      <c r="J651" s="2">
        <v>263.13</v>
      </c>
      <c r="K651" s="4">
        <v>0</v>
      </c>
      <c r="L651" t="s">
        <v>106</v>
      </c>
      <c r="M651">
        <v>4</v>
      </c>
      <c r="N651" t="s">
        <v>91</v>
      </c>
      <c r="O651" t="str">
        <f>SUBSTITUTE(PROPER(TRIM(RawSalesTable[[#This Row],[Channel_Raw]])), "Market Place", "Marketplace")</f>
        <v>Online</v>
      </c>
      <c r="P651" t="str">
        <f>TRIM(RawSalesTable[[#This Row],[Store_Raw]])</f>
        <v>Toronto Downtown</v>
      </c>
      <c r="Q651" t="str">
        <f>IF(TRIM(RawSalesTable[[#This Row],[Payment_Method_Raw]])="","Non renseigné",SUBSTITUTE(TRIM(RawSalesTable[[#This Row],[Payment_Method_Raw]]),"CC","Credit Card"))</f>
        <v>Credit Card</v>
      </c>
      <c r="R651" s="8" t="str">
        <f>UPPER(PROPER(RawSalesTable[[#This Row],[Customer_ID]]))</f>
        <v>C0030</v>
      </c>
      <c r="S651" s="8" t="str">
        <f>TRIM(LEFT(RawSalesTable[[#This Row],[Customer_Info]],FIND(",",RawSalesTable[[#This Row],[Customer_Info]]) -1))</f>
        <v>Emma Lee</v>
      </c>
      <c r="T651" s="8" t="str">
        <f>TRIM(MID(RawSalesTable[[#This Row],[Customer_Info]],FIND(",",RawSalesTable[[#This Row],[Customer_Info]])+1,FIND(",",RawSalesTable[[#This Row],[Customer_Info]],FIND(",",RawSalesTable[[#This Row],[Customer_Info]])+1)-FIND(",",RawSalesTable[[#This Row],[Customer_Info]])-1))</f>
        <v>Calgary</v>
      </c>
      <c r="U651" s="8" t="str">
        <f>TRIM(RIGHT(RawSalesTable[[#This Row],[Customer_Info]], LEN(RawSalesTable[[#This Row],[Customer_Info]])-FIND(",",RawSalesTable[[#This Row],[Customer_Info]],FIND(",",RawSalesTable[[#This Row],[Customer_Info]])+1)))</f>
        <v>Corporate</v>
      </c>
      <c r="V651" s="8" t="str">
        <f>VLOOKUP(RawSalesTable[[#This Row],[Product_ID]],ProductsTable[],2,FALSE)</f>
        <v>Dumbbell Set</v>
      </c>
      <c r="W651" s="8" t="str">
        <f>VLOOKUP(RawSalesTable[[#This Row],[Product_ID]],ProductsTable[],3,FALSE)</f>
        <v>Fitness</v>
      </c>
      <c r="X651" s="8">
        <f>VLOOKUP(RawSalesTable[[#This Row],[Product_ID]],ProductsTable[],5,FALSE)</f>
        <v>131.72999999999999</v>
      </c>
      <c r="Y651" s="8">
        <f>RawSalesTable[[#This Row],[Quantity]]*RawSalesTable[[#This Row],[Unit_Price]]</f>
        <v>526.26</v>
      </c>
      <c r="Z651" s="8">
        <f>RawSalesTable[[#This Row],[Gross_Sales]]*RawSalesTable[[#This Row],[Discount_Pct]]</f>
        <v>0</v>
      </c>
      <c r="AA651" s="8">
        <f>RawSalesTable[[#This Row],[Gross_Sales]]-RawSalesTable[[#This Row],[Discount_Amount]]</f>
        <v>526.26</v>
      </c>
      <c r="AB651" s="8">
        <f>RawSalesTable[[#This Row],[Unit_Cost]]*RawSalesTable[[#This Row],[Quantity]]</f>
        <v>263.45999999999998</v>
      </c>
      <c r="AC651" s="8">
        <f>RawSalesTable[[#This Row],[Net_Sales]]-RawSalesTable[[#This Row],[Total_Cost]]</f>
        <v>262.8</v>
      </c>
      <c r="AD651" s="9">
        <f>RawSalesTable[[#This Row],[Profit]]/RawSalesTable[[#This Row],[Net_Sales]]</f>
        <v>0.4993729335309543</v>
      </c>
      <c r="AE651" s="8">
        <f>IF(RawSalesTable[[#This Row],[Return_Status]]="Yes",1,0)</f>
        <v>0</v>
      </c>
      <c r="AF651" s="8">
        <f>YEAR(RawSalesTable[[#This Row],[Order_Date]])</f>
        <v>2025</v>
      </c>
      <c r="AG651" s="8">
        <f>MONTH(RawSalesTable[[#This Row],[Order_Date]])</f>
        <v>12</v>
      </c>
      <c r="AH651" s="8" t="str">
        <f>TEXT(RawSalesTable[[#This Row],[Order_Date]],"mmmm")</f>
        <v>décembre</v>
      </c>
      <c r="AI651" s="8" t="str">
        <f>IF(RawSalesTable[[#This Row],[Month_Number]]&lt;=3,"Q1",IF(RawSalesTable[[#This Row],[Month_Number]]&lt;=6,"Q2",IF(RawSalesTable[[#This Row],[Month_Number]]&lt;=9,"Q3","Q4")))</f>
        <v>Q4</v>
      </c>
      <c r="AJ651" s="13">
        <f>DATE(YEAR(RawSalesTable[[#This Row],[Order_Date]]),MONTH(RawSalesTable[[#This Row],[Order_Date]]),1)</f>
        <v>45992</v>
      </c>
      <c r="AK651" s="8" t="str">
        <f>VLOOKUP(RawSalesTable[[#This Row],[Customer_ID_clean]],CustomersTable[],4,FALSE)</f>
        <v>Alberta</v>
      </c>
    </row>
    <row r="652" spans="1:37">
      <c r="A652" t="s">
        <v>1098</v>
      </c>
      <c r="B652" s="3">
        <v>45753</v>
      </c>
      <c r="C652" t="s">
        <v>538</v>
      </c>
      <c r="D652" t="s">
        <v>503</v>
      </c>
      <c r="E652" t="s">
        <v>1099</v>
      </c>
      <c r="F652" t="s">
        <v>87</v>
      </c>
      <c r="G652" t="s">
        <v>171</v>
      </c>
      <c r="H652" t="s">
        <v>89</v>
      </c>
      <c r="I652">
        <v>1</v>
      </c>
      <c r="J652" s="2">
        <v>117.96</v>
      </c>
      <c r="K652" s="4">
        <v>0</v>
      </c>
      <c r="L652" t="s">
        <v>106</v>
      </c>
      <c r="M652">
        <v>4</v>
      </c>
      <c r="N652" t="s">
        <v>91</v>
      </c>
      <c r="O652" t="str">
        <f>SUBSTITUTE(PROPER(TRIM(RawSalesTable[[#This Row],[Channel_Raw]])), "Market Place", "Marketplace")</f>
        <v>Online</v>
      </c>
      <c r="P652" t="str">
        <f>TRIM(RawSalesTable[[#This Row],[Store_Raw]])</f>
        <v>Online Fulfillment</v>
      </c>
      <c r="Q652" t="str">
        <f>IF(TRIM(RawSalesTable[[#This Row],[Payment_Method_Raw]])="","Non renseigné",SUBSTITUTE(TRIM(RawSalesTable[[#This Row],[Payment_Method_Raw]]),"CC","Credit Card"))</f>
        <v>Credit Card</v>
      </c>
      <c r="R652" s="8" t="str">
        <f>UPPER(PROPER(RawSalesTable[[#This Row],[Customer_ID]]))</f>
        <v>C0086</v>
      </c>
      <c r="S652" s="8" t="str">
        <f>TRIM(LEFT(RawSalesTable[[#This Row],[Customer_Info]],FIND(",",RawSalesTable[[#This Row],[Customer_Info]]) -1))</f>
        <v>Adam Gagnon</v>
      </c>
      <c r="T652" s="8" t="str">
        <f>TRIM(MID(RawSalesTable[[#This Row],[Customer_Info]],FIND(",",RawSalesTable[[#This Row],[Customer_Info]])+1,FIND(",",RawSalesTable[[#This Row],[Customer_Info]],FIND(",",RawSalesTable[[#This Row],[Customer_Info]])+1)-FIND(",",RawSalesTable[[#This Row],[Customer_Info]])-1))</f>
        <v>Winnipeg</v>
      </c>
      <c r="U652" s="8" t="str">
        <f>TRIM(RIGHT(RawSalesTable[[#This Row],[Customer_Info]], LEN(RawSalesTable[[#This Row],[Customer_Info]])-FIND(",",RawSalesTable[[#This Row],[Customer_Info]],FIND(",",RawSalesTable[[#This Row],[Customer_Info]])+1)))</f>
        <v>Consumer</v>
      </c>
      <c r="V652" s="8" t="str">
        <f>VLOOKUP(RawSalesTable[[#This Row],[Product_ID]],ProductsTable[],2,FALSE)</f>
        <v>Whiteboard</v>
      </c>
      <c r="W652" s="8" t="str">
        <f>VLOOKUP(RawSalesTable[[#This Row],[Product_ID]],ProductsTable[],3,FALSE)</f>
        <v>Office</v>
      </c>
      <c r="X652" s="8">
        <f>VLOOKUP(RawSalesTable[[#This Row],[Product_ID]],ProductsTable[],5,FALSE)</f>
        <v>85.73</v>
      </c>
      <c r="Y652" s="8">
        <f>RawSalesTable[[#This Row],[Quantity]]*RawSalesTable[[#This Row],[Unit_Price]]</f>
        <v>117.96</v>
      </c>
      <c r="Z652" s="8">
        <f>RawSalesTable[[#This Row],[Gross_Sales]]*RawSalesTable[[#This Row],[Discount_Pct]]</f>
        <v>0</v>
      </c>
      <c r="AA652" s="8">
        <f>RawSalesTable[[#This Row],[Gross_Sales]]-RawSalesTable[[#This Row],[Discount_Amount]]</f>
        <v>117.96</v>
      </c>
      <c r="AB652" s="8">
        <f>RawSalesTable[[#This Row],[Unit_Cost]]*RawSalesTable[[#This Row],[Quantity]]</f>
        <v>85.73</v>
      </c>
      <c r="AC652" s="8">
        <f>RawSalesTable[[#This Row],[Net_Sales]]-RawSalesTable[[#This Row],[Total_Cost]]</f>
        <v>32.22999999999999</v>
      </c>
      <c r="AD652" s="9">
        <f>RawSalesTable[[#This Row],[Profit]]/RawSalesTable[[#This Row],[Net_Sales]]</f>
        <v>0.27322821295354349</v>
      </c>
      <c r="AE652" s="8">
        <f>IF(RawSalesTable[[#This Row],[Return_Status]]="Yes",1,0)</f>
        <v>0</v>
      </c>
      <c r="AF652" s="8">
        <f>YEAR(RawSalesTable[[#This Row],[Order_Date]])</f>
        <v>2025</v>
      </c>
      <c r="AG652" s="8">
        <f>MONTH(RawSalesTable[[#This Row],[Order_Date]])</f>
        <v>4</v>
      </c>
      <c r="AH652" s="8" t="str">
        <f>TEXT(RawSalesTable[[#This Row],[Order_Date]],"mmmm")</f>
        <v>avril</v>
      </c>
      <c r="AI652" s="8" t="str">
        <f>IF(RawSalesTable[[#This Row],[Month_Number]]&lt;=3,"Q1",IF(RawSalesTable[[#This Row],[Month_Number]]&lt;=6,"Q2",IF(RawSalesTable[[#This Row],[Month_Number]]&lt;=9,"Q3","Q4")))</f>
        <v>Q2</v>
      </c>
      <c r="AJ652" s="13">
        <f>DATE(YEAR(RawSalesTable[[#This Row],[Order_Date]]),MONTH(RawSalesTable[[#This Row],[Order_Date]]),1)</f>
        <v>45748</v>
      </c>
      <c r="AK652" s="8" t="str">
        <f>VLOOKUP(RawSalesTable[[#This Row],[Customer_ID_clean]],CustomersTable[],4,FALSE)</f>
        <v>Manitoba</v>
      </c>
    </row>
    <row r="653" spans="1:37">
      <c r="A653" t="s">
        <v>1100</v>
      </c>
      <c r="B653" s="3">
        <v>45694</v>
      </c>
      <c r="C653" t="s">
        <v>675</v>
      </c>
      <c r="D653" t="s">
        <v>255</v>
      </c>
      <c r="E653" t="s">
        <v>676</v>
      </c>
      <c r="F653" t="s">
        <v>223</v>
      </c>
      <c r="G653" t="s">
        <v>130</v>
      </c>
      <c r="H653" t="s">
        <v>89</v>
      </c>
      <c r="I653">
        <v>1</v>
      </c>
      <c r="J653" s="2">
        <v>246.22</v>
      </c>
      <c r="K653" s="4">
        <v>0.25</v>
      </c>
      <c r="L653" t="s">
        <v>98</v>
      </c>
      <c r="M653">
        <v>2</v>
      </c>
      <c r="N653" t="s">
        <v>91</v>
      </c>
      <c r="O653" t="str">
        <f>SUBSTITUTE(PROPER(TRIM(RawSalesTable[[#This Row],[Channel_Raw]])), "Market Place", "Marketplace")</f>
        <v>Online</v>
      </c>
      <c r="P653" t="str">
        <f>TRIM(RawSalesTable[[#This Row],[Store_Raw]])</f>
        <v>Montreal Central</v>
      </c>
      <c r="Q653" t="str">
        <f>IF(TRIM(RawSalesTable[[#This Row],[Payment_Method_Raw]])="","Non renseigné",SUBSTITUTE(TRIM(RawSalesTable[[#This Row],[Payment_Method_Raw]]),"CC","Credit Card"))</f>
        <v>Debit Card</v>
      </c>
      <c r="R653" s="8" t="str">
        <f>UPPER(PROPER(RawSalesTable[[#This Row],[Customer_ID]]))</f>
        <v>C0101</v>
      </c>
      <c r="S653" s="8" t="str">
        <f>TRIM(LEFT(RawSalesTable[[#This Row],[Customer_Info]],FIND(",",RawSalesTable[[#This Row],[Customer_Info]]) -1))</f>
        <v>Noah Martin</v>
      </c>
      <c r="T653" s="8" t="str">
        <f>TRIM(MID(RawSalesTable[[#This Row],[Customer_Info]],FIND(",",RawSalesTable[[#This Row],[Customer_Info]])+1,FIND(",",RawSalesTable[[#This Row],[Customer_Info]],FIND(",",RawSalesTable[[#This Row],[Customer_Info]])+1)-FIND(",",RawSalesTable[[#This Row],[Customer_Info]])-1))</f>
        <v>Saskatoon</v>
      </c>
      <c r="U653" s="8" t="str">
        <f>TRIM(RIGHT(RawSalesTable[[#This Row],[Customer_Info]], LEN(RawSalesTable[[#This Row],[Customer_Info]])-FIND(",",RawSalesTable[[#This Row],[Customer_Info]],FIND(",",RawSalesTable[[#This Row],[Customer_Info]])+1)))</f>
        <v>Small Business</v>
      </c>
      <c r="V653" s="8" t="str">
        <f>VLOOKUP(RawSalesTable[[#This Row],[Product_ID]],ProductsTable[],2,FALSE)</f>
        <v>Document Shredder</v>
      </c>
      <c r="W653" s="8" t="str">
        <f>VLOOKUP(RawSalesTable[[#This Row],[Product_ID]],ProductsTable[],3,FALSE)</f>
        <v>Office</v>
      </c>
      <c r="X653" s="8">
        <f>VLOOKUP(RawSalesTable[[#This Row],[Product_ID]],ProductsTable[],5,FALSE)</f>
        <v>117.65</v>
      </c>
      <c r="Y653" s="8">
        <f>RawSalesTable[[#This Row],[Quantity]]*RawSalesTable[[#This Row],[Unit_Price]]</f>
        <v>246.22</v>
      </c>
      <c r="Z653" s="8">
        <f>RawSalesTable[[#This Row],[Gross_Sales]]*RawSalesTable[[#This Row],[Discount_Pct]]</f>
        <v>61.555</v>
      </c>
      <c r="AA653" s="8">
        <f>RawSalesTable[[#This Row],[Gross_Sales]]-RawSalesTable[[#This Row],[Discount_Amount]]</f>
        <v>184.66499999999999</v>
      </c>
      <c r="AB653" s="8">
        <f>RawSalesTable[[#This Row],[Unit_Cost]]*RawSalesTable[[#This Row],[Quantity]]</f>
        <v>117.65</v>
      </c>
      <c r="AC653" s="8">
        <f>RawSalesTable[[#This Row],[Net_Sales]]-RawSalesTable[[#This Row],[Total_Cost]]</f>
        <v>67.014999999999986</v>
      </c>
      <c r="AD653" s="9">
        <f>RawSalesTable[[#This Row],[Profit]]/RawSalesTable[[#This Row],[Net_Sales]]</f>
        <v>0.36290038718760992</v>
      </c>
      <c r="AE653" s="8">
        <f>IF(RawSalesTable[[#This Row],[Return_Status]]="Yes",1,0)</f>
        <v>0</v>
      </c>
      <c r="AF653" s="8">
        <f>YEAR(RawSalesTable[[#This Row],[Order_Date]])</f>
        <v>2025</v>
      </c>
      <c r="AG653" s="8">
        <f>MONTH(RawSalesTable[[#This Row],[Order_Date]])</f>
        <v>2</v>
      </c>
      <c r="AH653" s="8" t="str">
        <f>TEXT(RawSalesTable[[#This Row],[Order_Date]],"mmmm")</f>
        <v>février</v>
      </c>
      <c r="AI653" s="8" t="str">
        <f>IF(RawSalesTable[[#This Row],[Month_Number]]&lt;=3,"Q1",IF(RawSalesTable[[#This Row],[Month_Number]]&lt;=6,"Q2",IF(RawSalesTable[[#This Row],[Month_Number]]&lt;=9,"Q3","Q4")))</f>
        <v>Q1</v>
      </c>
      <c r="AJ653" s="13">
        <f>DATE(YEAR(RawSalesTable[[#This Row],[Order_Date]]),MONTH(RawSalesTable[[#This Row],[Order_Date]]),1)</f>
        <v>45689</v>
      </c>
      <c r="AK653" s="8" t="str">
        <f>VLOOKUP(RawSalesTable[[#This Row],[Customer_ID_clean]],CustomersTable[],4,FALSE)</f>
        <v>Saskatchewan</v>
      </c>
    </row>
    <row r="654" spans="1:37">
      <c r="A654" t="s">
        <v>1101</v>
      </c>
      <c r="B654" s="3">
        <v>45715</v>
      </c>
      <c r="C654" t="s">
        <v>410</v>
      </c>
      <c r="D654" t="s">
        <v>360</v>
      </c>
      <c r="E654" t="s">
        <v>411</v>
      </c>
      <c r="F654" t="s">
        <v>655</v>
      </c>
      <c r="G654" t="s">
        <v>104</v>
      </c>
      <c r="H654" t="s">
        <v>89</v>
      </c>
      <c r="I654">
        <v>1</v>
      </c>
      <c r="J654" s="2">
        <v>69.75</v>
      </c>
      <c r="K654" s="4">
        <v>0.05</v>
      </c>
      <c r="L654" t="s">
        <v>98</v>
      </c>
      <c r="M654">
        <v>4</v>
      </c>
      <c r="N654" t="s">
        <v>91</v>
      </c>
      <c r="O654" t="str">
        <f>SUBSTITUTE(PROPER(TRIM(RawSalesTable[[#This Row],[Channel_Raw]])), "Market Place", "Marketplace")</f>
        <v>Online</v>
      </c>
      <c r="P654" t="str">
        <f>TRIM(RawSalesTable[[#This Row],[Store_Raw]])</f>
        <v>Online Fulfillment</v>
      </c>
      <c r="Q654" t="str">
        <f>IF(TRIM(RawSalesTable[[#This Row],[Payment_Method_Raw]])="","Non renseigné",SUBSTITUTE(TRIM(RawSalesTable[[#This Row],[Payment_Method_Raw]]),"CC","Credit Card"))</f>
        <v>Debit Card</v>
      </c>
      <c r="R654" s="8" t="str">
        <f>UPPER(PROPER(RawSalesTable[[#This Row],[Customer_ID]]))</f>
        <v>C0093</v>
      </c>
      <c r="S654" s="8" t="str">
        <f>TRIM(LEFT(RawSalesTable[[#This Row],[Customer_Info]],FIND(",",RawSalesTable[[#This Row],[Customer_Info]]) -1))</f>
        <v>Ethan Roy</v>
      </c>
      <c r="T654" s="8" t="str">
        <f>TRIM(MID(RawSalesTable[[#This Row],[Customer_Info]],FIND(",",RawSalesTable[[#This Row],[Customer_Info]])+1,FIND(",",RawSalesTable[[#This Row],[Customer_Info]],FIND(",",RawSalesTable[[#This Row],[Customer_Info]])+1)-FIND(",",RawSalesTable[[#This Row],[Customer_Info]])-1))</f>
        <v>Winnipeg</v>
      </c>
      <c r="U654" s="8" t="str">
        <f>TRIM(RIGHT(RawSalesTable[[#This Row],[Customer_Info]], LEN(RawSalesTable[[#This Row],[Customer_Info]])-FIND(",",RawSalesTable[[#This Row],[Customer_Info]],FIND(",",RawSalesTable[[#This Row],[Customer_Info]])+1)))</f>
        <v>Consumer</v>
      </c>
      <c r="V654" s="8" t="str">
        <f>VLOOKUP(RawSalesTable[[#This Row],[Product_ID]],ProductsTable[],2,FALSE)</f>
        <v>Blender</v>
      </c>
      <c r="W654" s="8" t="str">
        <f>VLOOKUP(RawSalesTable[[#This Row],[Product_ID]],ProductsTable[],3,FALSE)</f>
        <v>Home</v>
      </c>
      <c r="X654" s="8">
        <f>VLOOKUP(RawSalesTable[[#This Row],[Product_ID]],ProductsTable[],5,FALSE)</f>
        <v>37.46</v>
      </c>
      <c r="Y654" s="8">
        <f>RawSalesTable[[#This Row],[Quantity]]*RawSalesTable[[#This Row],[Unit_Price]]</f>
        <v>69.75</v>
      </c>
      <c r="Z654" s="8">
        <f>RawSalesTable[[#This Row],[Gross_Sales]]*RawSalesTable[[#This Row],[Discount_Pct]]</f>
        <v>3.4875000000000003</v>
      </c>
      <c r="AA654" s="8">
        <f>RawSalesTable[[#This Row],[Gross_Sales]]-RawSalesTable[[#This Row],[Discount_Amount]]</f>
        <v>66.262500000000003</v>
      </c>
      <c r="AB654" s="8">
        <f>RawSalesTable[[#This Row],[Unit_Cost]]*RawSalesTable[[#This Row],[Quantity]]</f>
        <v>37.46</v>
      </c>
      <c r="AC654" s="8">
        <f>RawSalesTable[[#This Row],[Net_Sales]]-RawSalesTable[[#This Row],[Total_Cost]]</f>
        <v>28.802500000000002</v>
      </c>
      <c r="AD654" s="9">
        <f>RawSalesTable[[#This Row],[Profit]]/RawSalesTable[[#This Row],[Net_Sales]]</f>
        <v>0.43467270326353519</v>
      </c>
      <c r="AE654" s="8">
        <f>IF(RawSalesTable[[#This Row],[Return_Status]]="Yes",1,0)</f>
        <v>0</v>
      </c>
      <c r="AF654" s="8">
        <f>YEAR(RawSalesTable[[#This Row],[Order_Date]])</f>
        <v>2025</v>
      </c>
      <c r="AG654" s="8">
        <f>MONTH(RawSalesTable[[#This Row],[Order_Date]])</f>
        <v>2</v>
      </c>
      <c r="AH654" s="8" t="str">
        <f>TEXT(RawSalesTable[[#This Row],[Order_Date]],"mmmm")</f>
        <v>février</v>
      </c>
      <c r="AI654" s="8" t="str">
        <f>IF(RawSalesTable[[#This Row],[Month_Number]]&lt;=3,"Q1",IF(RawSalesTable[[#This Row],[Month_Number]]&lt;=6,"Q2",IF(RawSalesTable[[#This Row],[Month_Number]]&lt;=9,"Q3","Q4")))</f>
        <v>Q1</v>
      </c>
      <c r="AJ654" s="13">
        <f>DATE(YEAR(RawSalesTable[[#This Row],[Order_Date]]),MONTH(RawSalesTable[[#This Row],[Order_Date]]),1)</f>
        <v>45689</v>
      </c>
      <c r="AK654" s="8" t="str">
        <f>VLOOKUP(RawSalesTable[[#This Row],[Customer_ID_clean]],CustomersTable[],4,FALSE)</f>
        <v>Manitoba</v>
      </c>
    </row>
    <row r="655" spans="1:37">
      <c r="A655" t="s">
        <v>1102</v>
      </c>
      <c r="B655" s="3">
        <v>45792</v>
      </c>
      <c r="C655" t="s">
        <v>326</v>
      </c>
      <c r="D655" t="s">
        <v>277</v>
      </c>
      <c r="E655" t="s">
        <v>327</v>
      </c>
      <c r="F655" t="s">
        <v>87</v>
      </c>
      <c r="G655" t="s">
        <v>122</v>
      </c>
      <c r="H655" t="s">
        <v>308</v>
      </c>
      <c r="I655">
        <v>3</v>
      </c>
      <c r="J655" s="2">
        <v>354.76</v>
      </c>
      <c r="K655" s="4">
        <v>0.15</v>
      </c>
      <c r="L655" t="s">
        <v>106</v>
      </c>
      <c r="M655">
        <v>3</v>
      </c>
      <c r="N655" t="s">
        <v>91</v>
      </c>
      <c r="O655" t="str">
        <f>SUBSTITUTE(PROPER(TRIM(RawSalesTable[[#This Row],[Channel_Raw]])), "Market Place", "Marketplace")</f>
        <v>Online</v>
      </c>
      <c r="P655" t="str">
        <f>TRIM(RawSalesTable[[#This Row],[Store_Raw]])</f>
        <v>Online Fulfillment</v>
      </c>
      <c r="Q655" t="str">
        <f>IF(TRIM(RawSalesTable[[#This Row],[Payment_Method_Raw]])="","Non renseigné",SUBSTITUTE(TRIM(RawSalesTable[[#This Row],[Payment_Method_Raw]]),"CC","Credit Card"))</f>
        <v>Credit Card</v>
      </c>
      <c r="R655" s="8" t="str">
        <f>UPPER(PROPER(RawSalesTable[[#This Row],[Customer_ID]]))</f>
        <v>C0092</v>
      </c>
      <c r="S655" s="8" t="str">
        <f>TRIM(LEFT(RawSalesTable[[#This Row],[Customer_Info]],FIND(",",RawSalesTable[[#This Row],[Customer_Info]]) -1))</f>
        <v>Lucas Tremblay</v>
      </c>
      <c r="T655" s="8" t="str">
        <f>TRIM(MID(RawSalesTable[[#This Row],[Customer_Info]],FIND(",",RawSalesTable[[#This Row],[Customer_Info]])+1,FIND(",",RawSalesTable[[#This Row],[Customer_Info]],FIND(",",RawSalesTable[[#This Row],[Customer_Info]])+1)-FIND(",",RawSalesTable[[#This Row],[Customer_Info]])-1))</f>
        <v>Saskatoon</v>
      </c>
      <c r="U655" s="8" t="str">
        <f>TRIM(RIGHT(RawSalesTable[[#This Row],[Customer_Info]], LEN(RawSalesTable[[#This Row],[Customer_Info]])-FIND(",",RawSalesTable[[#This Row],[Customer_Info]],FIND(",",RawSalesTable[[#This Row],[Customer_Info]])+1)))</f>
        <v>Consumer</v>
      </c>
      <c r="V655" s="8" t="str">
        <f>VLOOKUP(RawSalesTable[[#This Row],[Product_ID]],ProductsTable[],2,FALSE)</f>
        <v>Headphones</v>
      </c>
      <c r="W655" s="8" t="str">
        <f>VLOOKUP(RawSalesTable[[#This Row],[Product_ID]],ProductsTable[],3,FALSE)</f>
        <v>Electronics</v>
      </c>
      <c r="X655" s="8">
        <f>VLOOKUP(RawSalesTable[[#This Row],[Product_ID]],ProductsTable[],5,FALSE)</f>
        <v>254.6</v>
      </c>
      <c r="Y655" s="8">
        <f>RawSalesTable[[#This Row],[Quantity]]*RawSalesTable[[#This Row],[Unit_Price]]</f>
        <v>1064.28</v>
      </c>
      <c r="Z655" s="8">
        <f>RawSalesTable[[#This Row],[Gross_Sales]]*RawSalesTable[[#This Row],[Discount_Pct]]</f>
        <v>159.642</v>
      </c>
      <c r="AA655" s="8">
        <f>RawSalesTable[[#This Row],[Gross_Sales]]-RawSalesTable[[#This Row],[Discount_Amount]]</f>
        <v>904.63799999999992</v>
      </c>
      <c r="AB655" s="8">
        <f>RawSalesTable[[#This Row],[Unit_Cost]]*RawSalesTable[[#This Row],[Quantity]]</f>
        <v>763.8</v>
      </c>
      <c r="AC655" s="8">
        <f>RawSalesTable[[#This Row],[Net_Sales]]-RawSalesTable[[#This Row],[Total_Cost]]</f>
        <v>140.83799999999997</v>
      </c>
      <c r="AD655" s="9">
        <f>RawSalesTable[[#This Row],[Profit]]/RawSalesTable[[#This Row],[Net_Sales]]</f>
        <v>0.15568437319679251</v>
      </c>
      <c r="AE655" s="8">
        <f>IF(RawSalesTable[[#This Row],[Return_Status]]="Yes",1,0)</f>
        <v>0</v>
      </c>
      <c r="AF655" s="8">
        <f>YEAR(RawSalesTable[[#This Row],[Order_Date]])</f>
        <v>2025</v>
      </c>
      <c r="AG655" s="8">
        <f>MONTH(RawSalesTable[[#This Row],[Order_Date]])</f>
        <v>5</v>
      </c>
      <c r="AH655" s="8" t="str">
        <f>TEXT(RawSalesTable[[#This Row],[Order_Date]],"mmmm")</f>
        <v>mai</v>
      </c>
      <c r="AI655" s="8" t="str">
        <f>IF(RawSalesTable[[#This Row],[Month_Number]]&lt;=3,"Q1",IF(RawSalesTable[[#This Row],[Month_Number]]&lt;=6,"Q2",IF(RawSalesTable[[#This Row],[Month_Number]]&lt;=9,"Q3","Q4")))</f>
        <v>Q2</v>
      </c>
      <c r="AJ655" s="13">
        <f>DATE(YEAR(RawSalesTable[[#This Row],[Order_Date]]),MONTH(RawSalesTable[[#This Row],[Order_Date]]),1)</f>
        <v>45778</v>
      </c>
      <c r="AK655" s="8" t="str">
        <f>VLOOKUP(RawSalesTable[[#This Row],[Customer_ID_clean]],CustomersTable[],4,FALSE)</f>
        <v>Saskatchewan</v>
      </c>
    </row>
    <row r="656" spans="1:37">
      <c r="A656" t="s">
        <v>1103</v>
      </c>
      <c r="B656" s="3">
        <v>45747</v>
      </c>
      <c r="C656" t="s">
        <v>338</v>
      </c>
      <c r="D656" t="s">
        <v>190</v>
      </c>
      <c r="E656" t="s">
        <v>339</v>
      </c>
      <c r="F656" t="s">
        <v>111</v>
      </c>
      <c r="G656" t="s">
        <v>104</v>
      </c>
      <c r="H656" t="s">
        <v>97</v>
      </c>
      <c r="I656">
        <v>1</v>
      </c>
      <c r="J656" s="2">
        <v>272.07</v>
      </c>
      <c r="K656" s="4">
        <v>0</v>
      </c>
      <c r="L656" t="s">
        <v>106</v>
      </c>
      <c r="M656">
        <v>3</v>
      </c>
      <c r="N656" t="s">
        <v>91</v>
      </c>
      <c r="O656" t="str">
        <f>SUBSTITUTE(PROPER(TRIM(RawSalesTable[[#This Row],[Channel_Raw]])), "Market Place", "Marketplace")</f>
        <v>Retail Store</v>
      </c>
      <c r="P656" t="str">
        <f>TRIM(RawSalesTable[[#This Row],[Store_Raw]])</f>
        <v>Montreal Central</v>
      </c>
      <c r="Q656" t="str">
        <f>IF(TRIM(RawSalesTable[[#This Row],[Payment_Method_Raw]])="","Non renseigné",SUBSTITUTE(TRIM(RawSalesTable[[#This Row],[Payment_Method_Raw]]),"CC","Credit Card"))</f>
        <v>Credit Card</v>
      </c>
      <c r="R656" s="8" t="str">
        <f>UPPER(PROPER(RawSalesTable[[#This Row],[Customer_ID]]))</f>
        <v>C0047</v>
      </c>
      <c r="S656" s="8" t="str">
        <f>TRIM(LEFT(RawSalesTable[[#This Row],[Customer_Info]],FIND(",",RawSalesTable[[#This Row],[Customer_Info]]) -1))</f>
        <v>Amine King</v>
      </c>
      <c r="T656" s="8" t="str">
        <f>TRIM(MID(RawSalesTable[[#This Row],[Customer_Info]],FIND(",",RawSalesTable[[#This Row],[Customer_Info]])+1,FIND(",",RawSalesTable[[#This Row],[Customer_Info]],FIND(",",RawSalesTable[[#This Row],[Customer_Info]])+1)-FIND(",",RawSalesTable[[#This Row],[Customer_Info]])-1))</f>
        <v>Victoria</v>
      </c>
      <c r="U656" s="8" t="str">
        <f>TRIM(RIGHT(RawSalesTable[[#This Row],[Customer_Info]], LEN(RawSalesTable[[#This Row],[Customer_Info]])-FIND(",",RawSalesTable[[#This Row],[Customer_Info]],FIND(",",RawSalesTable[[#This Row],[Customer_Info]])+1)))</f>
        <v>Consumer</v>
      </c>
      <c r="V656" s="8" t="str">
        <f>VLOOKUP(RawSalesTable[[#This Row],[Product_ID]],ProductsTable[],2,FALSE)</f>
        <v>Webcam</v>
      </c>
      <c r="W656" s="8" t="str">
        <f>VLOOKUP(RawSalesTable[[#This Row],[Product_ID]],ProductsTable[],3,FALSE)</f>
        <v>Electronics</v>
      </c>
      <c r="X656" s="8">
        <f>VLOOKUP(RawSalesTable[[#This Row],[Product_ID]],ProductsTable[],5,FALSE)</f>
        <v>154.72999999999999</v>
      </c>
      <c r="Y656" s="8">
        <f>RawSalesTable[[#This Row],[Quantity]]*RawSalesTable[[#This Row],[Unit_Price]]</f>
        <v>272.07</v>
      </c>
      <c r="Z656" s="8">
        <f>RawSalesTable[[#This Row],[Gross_Sales]]*RawSalesTable[[#This Row],[Discount_Pct]]</f>
        <v>0</v>
      </c>
      <c r="AA656" s="8">
        <f>RawSalesTable[[#This Row],[Gross_Sales]]-RawSalesTable[[#This Row],[Discount_Amount]]</f>
        <v>272.07</v>
      </c>
      <c r="AB656" s="8">
        <f>RawSalesTable[[#This Row],[Unit_Cost]]*RawSalesTable[[#This Row],[Quantity]]</f>
        <v>154.72999999999999</v>
      </c>
      <c r="AC656" s="8">
        <f>RawSalesTable[[#This Row],[Net_Sales]]-RawSalesTable[[#This Row],[Total_Cost]]</f>
        <v>117.34</v>
      </c>
      <c r="AD656" s="9">
        <f>RawSalesTable[[#This Row],[Profit]]/RawSalesTable[[#This Row],[Net_Sales]]</f>
        <v>0.43128606608593378</v>
      </c>
      <c r="AE656" s="8">
        <f>IF(RawSalesTable[[#This Row],[Return_Status]]="Yes",1,0)</f>
        <v>0</v>
      </c>
      <c r="AF656" s="8">
        <f>YEAR(RawSalesTable[[#This Row],[Order_Date]])</f>
        <v>2025</v>
      </c>
      <c r="AG656" s="8">
        <f>MONTH(RawSalesTable[[#This Row],[Order_Date]])</f>
        <v>3</v>
      </c>
      <c r="AH656" s="8" t="str">
        <f>TEXT(RawSalesTable[[#This Row],[Order_Date]],"mmmm")</f>
        <v>mars</v>
      </c>
      <c r="AI656" s="8" t="str">
        <f>IF(RawSalesTable[[#This Row],[Month_Number]]&lt;=3,"Q1",IF(RawSalesTable[[#This Row],[Month_Number]]&lt;=6,"Q2",IF(RawSalesTable[[#This Row],[Month_Number]]&lt;=9,"Q3","Q4")))</f>
        <v>Q1</v>
      </c>
      <c r="AJ656" s="13">
        <f>DATE(YEAR(RawSalesTable[[#This Row],[Order_Date]]),MONTH(RawSalesTable[[#This Row],[Order_Date]]),1)</f>
        <v>45717</v>
      </c>
      <c r="AK656" s="8" t="str">
        <f>VLOOKUP(RawSalesTable[[#This Row],[Customer_ID_clean]],CustomersTable[],4,FALSE)</f>
        <v>British Columbia</v>
      </c>
    </row>
    <row r="657" spans="1:37">
      <c r="A657" t="s">
        <v>1104</v>
      </c>
      <c r="B657" s="3">
        <v>45735</v>
      </c>
      <c r="C657" t="s">
        <v>389</v>
      </c>
      <c r="D657" t="s">
        <v>174</v>
      </c>
      <c r="E657" t="s">
        <v>390</v>
      </c>
      <c r="F657" t="s">
        <v>145</v>
      </c>
      <c r="G657" t="s">
        <v>104</v>
      </c>
      <c r="H657" t="s">
        <v>89</v>
      </c>
      <c r="I657">
        <v>1</v>
      </c>
      <c r="J657" s="2">
        <v>38.159999999999997</v>
      </c>
      <c r="K657" s="4">
        <v>0</v>
      </c>
      <c r="L657" t="s">
        <v>90</v>
      </c>
      <c r="M657">
        <v>5</v>
      </c>
      <c r="N657" t="s">
        <v>91</v>
      </c>
      <c r="O657" t="str">
        <f>SUBSTITUTE(PROPER(TRIM(RawSalesTable[[#This Row],[Channel_Raw]])), "Market Place", "Marketplace")</f>
        <v>Online</v>
      </c>
      <c r="P657" t="str">
        <f>TRIM(RawSalesTable[[#This Row],[Store_Raw]])</f>
        <v>Calgary North</v>
      </c>
      <c r="Q657" t="str">
        <f>IF(TRIM(RawSalesTable[[#This Row],[Payment_Method_Raw]])="","Non renseigné",SUBSTITUTE(TRIM(RawSalesTable[[#This Row],[Payment_Method_Raw]]),"CC","Credit Card"))</f>
        <v>PayPal</v>
      </c>
      <c r="R657" s="8" t="str">
        <f>UPPER(PROPER(RawSalesTable[[#This Row],[Customer_ID]]))</f>
        <v>C0103</v>
      </c>
      <c r="S657" s="8" t="str">
        <f>TRIM(LEFT(RawSalesTable[[#This Row],[Customer_Info]],FIND(",",RawSalesTable[[#This Row],[Customer_Info]]) -1))</f>
        <v>Zoe Singh</v>
      </c>
      <c r="T657" s="8" t="str">
        <f>TRIM(MID(RawSalesTable[[#This Row],[Customer_Info]],FIND(",",RawSalesTable[[#This Row],[Customer_Info]])+1,FIND(",",RawSalesTable[[#This Row],[Customer_Info]],FIND(",",RawSalesTable[[#This Row],[Customer_Info]])+1)-FIND(",",RawSalesTable[[#This Row],[Customer_Info]])-1))</f>
        <v>Saskatoon</v>
      </c>
      <c r="U657" s="8" t="str">
        <f>TRIM(RIGHT(RawSalesTable[[#This Row],[Customer_Info]], LEN(RawSalesTable[[#This Row],[Customer_Info]])-FIND(",",RawSalesTable[[#This Row],[Customer_Info]],FIND(",",RawSalesTable[[#This Row],[Customer_Info]])+1)))</f>
        <v>Corporate</v>
      </c>
      <c r="V657" s="8" t="str">
        <f>VLOOKUP(RawSalesTable[[#This Row],[Product_ID]],ProductsTable[],2,FALSE)</f>
        <v>Keyboard</v>
      </c>
      <c r="W657" s="8" t="str">
        <f>VLOOKUP(RawSalesTable[[#This Row],[Product_ID]],ProductsTable[],3,FALSE)</f>
        <v>Electronics</v>
      </c>
      <c r="X657" s="8">
        <f>VLOOKUP(RawSalesTable[[#This Row],[Product_ID]],ProductsTable[],5,FALSE)</f>
        <v>23.5</v>
      </c>
      <c r="Y657" s="8">
        <f>RawSalesTable[[#This Row],[Quantity]]*RawSalesTable[[#This Row],[Unit_Price]]</f>
        <v>38.159999999999997</v>
      </c>
      <c r="Z657" s="8">
        <f>RawSalesTable[[#This Row],[Gross_Sales]]*RawSalesTable[[#This Row],[Discount_Pct]]</f>
        <v>0</v>
      </c>
      <c r="AA657" s="8">
        <f>RawSalesTable[[#This Row],[Gross_Sales]]-RawSalesTable[[#This Row],[Discount_Amount]]</f>
        <v>38.159999999999997</v>
      </c>
      <c r="AB657" s="8">
        <f>RawSalesTable[[#This Row],[Unit_Cost]]*RawSalesTable[[#This Row],[Quantity]]</f>
        <v>23.5</v>
      </c>
      <c r="AC657" s="8">
        <f>RawSalesTable[[#This Row],[Net_Sales]]-RawSalesTable[[#This Row],[Total_Cost]]</f>
        <v>14.659999999999997</v>
      </c>
      <c r="AD657" s="9">
        <f>RawSalesTable[[#This Row],[Profit]]/RawSalesTable[[#This Row],[Net_Sales]]</f>
        <v>0.38417190775681337</v>
      </c>
      <c r="AE657" s="8">
        <f>IF(RawSalesTable[[#This Row],[Return_Status]]="Yes",1,0)</f>
        <v>0</v>
      </c>
      <c r="AF657" s="8">
        <f>YEAR(RawSalesTable[[#This Row],[Order_Date]])</f>
        <v>2025</v>
      </c>
      <c r="AG657" s="8">
        <f>MONTH(RawSalesTable[[#This Row],[Order_Date]])</f>
        <v>3</v>
      </c>
      <c r="AH657" s="8" t="str">
        <f>TEXT(RawSalesTable[[#This Row],[Order_Date]],"mmmm")</f>
        <v>mars</v>
      </c>
      <c r="AI657" s="8" t="str">
        <f>IF(RawSalesTable[[#This Row],[Month_Number]]&lt;=3,"Q1",IF(RawSalesTable[[#This Row],[Month_Number]]&lt;=6,"Q2",IF(RawSalesTable[[#This Row],[Month_Number]]&lt;=9,"Q3","Q4")))</f>
        <v>Q1</v>
      </c>
      <c r="AJ657" s="13">
        <f>DATE(YEAR(RawSalesTable[[#This Row],[Order_Date]]),MONTH(RawSalesTable[[#This Row],[Order_Date]]),1)</f>
        <v>45717</v>
      </c>
      <c r="AK657" s="8" t="str">
        <f>VLOOKUP(RawSalesTable[[#This Row],[Customer_ID_clean]],CustomersTable[],4,FALSE)</f>
        <v>Saskatchewan</v>
      </c>
    </row>
    <row r="658" spans="1:37">
      <c r="A658" t="s">
        <v>1105</v>
      </c>
      <c r="B658" s="3">
        <v>45962</v>
      </c>
      <c r="C658" t="s">
        <v>538</v>
      </c>
      <c r="D658" t="s">
        <v>120</v>
      </c>
      <c r="E658" t="s">
        <v>539</v>
      </c>
      <c r="F658" t="s">
        <v>87</v>
      </c>
      <c r="G658" t="s">
        <v>117</v>
      </c>
      <c r="H658" t="s">
        <v>89</v>
      </c>
      <c r="I658">
        <v>4</v>
      </c>
      <c r="J658" s="2">
        <v>380.79</v>
      </c>
      <c r="K658" s="4">
        <v>0.15</v>
      </c>
      <c r="L658" t="s">
        <v>106</v>
      </c>
      <c r="M658">
        <v>5</v>
      </c>
      <c r="N658" t="s">
        <v>91</v>
      </c>
      <c r="O658" t="str">
        <f>SUBSTITUTE(PROPER(TRIM(RawSalesTable[[#This Row],[Channel_Raw]])), "Market Place", "Marketplace")</f>
        <v>Online</v>
      </c>
      <c r="P658" t="str">
        <f>TRIM(RawSalesTable[[#This Row],[Store_Raw]])</f>
        <v>Online Fulfillment</v>
      </c>
      <c r="Q658" t="str">
        <f>IF(TRIM(RawSalesTable[[#This Row],[Payment_Method_Raw]])="","Non renseigné",SUBSTITUTE(TRIM(RawSalesTable[[#This Row],[Payment_Method_Raw]]),"CC","Credit Card"))</f>
        <v>Credit Card</v>
      </c>
      <c r="R658" s="8" t="str">
        <f>UPPER(PROPER(RawSalesTable[[#This Row],[Customer_ID]]))</f>
        <v>C0086</v>
      </c>
      <c r="S658" s="8" t="str">
        <f>TRIM(LEFT(RawSalesTable[[#This Row],[Customer_Info]],FIND(",",RawSalesTable[[#This Row],[Customer_Info]]) -1))</f>
        <v>Adam Gagnon</v>
      </c>
      <c r="T658" s="8" t="str">
        <f>TRIM(MID(RawSalesTable[[#This Row],[Customer_Info]],FIND(",",RawSalesTable[[#This Row],[Customer_Info]])+1,FIND(",",RawSalesTable[[#This Row],[Customer_Info]],FIND(",",RawSalesTable[[#This Row],[Customer_Info]])+1)-FIND(",",RawSalesTable[[#This Row],[Customer_Info]])-1))</f>
        <v>Winnipeg</v>
      </c>
      <c r="U658" s="8" t="str">
        <f>TRIM(RIGHT(RawSalesTable[[#This Row],[Customer_Info]], LEN(RawSalesTable[[#This Row],[Customer_Info]])-FIND(",",RawSalesTable[[#This Row],[Customer_Info]],FIND(",",RawSalesTable[[#This Row],[Customer_Info]])+1)))</f>
        <v>Consumer</v>
      </c>
      <c r="V658" s="8" t="str">
        <f>VLOOKUP(RawSalesTable[[#This Row],[Product_ID]],ProductsTable[],2,FALSE)</f>
        <v>Desk Organizer</v>
      </c>
      <c r="W658" s="8" t="str">
        <f>VLOOKUP(RawSalesTable[[#This Row],[Product_ID]],ProductsTable[],3,FALSE)</f>
        <v>Office</v>
      </c>
      <c r="X658" s="8">
        <f>VLOOKUP(RawSalesTable[[#This Row],[Product_ID]],ProductsTable[],5,FALSE)</f>
        <v>235.76</v>
      </c>
      <c r="Y658" s="8">
        <f>RawSalesTable[[#This Row],[Quantity]]*RawSalesTable[[#This Row],[Unit_Price]]</f>
        <v>1523.16</v>
      </c>
      <c r="Z658" s="8">
        <f>RawSalesTable[[#This Row],[Gross_Sales]]*RawSalesTable[[#This Row],[Discount_Pct]]</f>
        <v>228.47400000000002</v>
      </c>
      <c r="AA658" s="8">
        <f>RawSalesTable[[#This Row],[Gross_Sales]]-RawSalesTable[[#This Row],[Discount_Amount]]</f>
        <v>1294.6860000000001</v>
      </c>
      <c r="AB658" s="8">
        <f>RawSalesTable[[#This Row],[Unit_Cost]]*RawSalesTable[[#This Row],[Quantity]]</f>
        <v>943.04</v>
      </c>
      <c r="AC658" s="8">
        <f>RawSalesTable[[#This Row],[Net_Sales]]-RawSalesTable[[#This Row],[Total_Cost]]</f>
        <v>351.64600000000019</v>
      </c>
      <c r="AD658" s="9">
        <f>RawSalesTable[[#This Row],[Profit]]/RawSalesTable[[#This Row],[Net_Sales]]</f>
        <v>0.27160716961487197</v>
      </c>
      <c r="AE658" s="8">
        <f>IF(RawSalesTable[[#This Row],[Return_Status]]="Yes",1,0)</f>
        <v>0</v>
      </c>
      <c r="AF658" s="8">
        <f>YEAR(RawSalesTable[[#This Row],[Order_Date]])</f>
        <v>2025</v>
      </c>
      <c r="AG658" s="8">
        <f>MONTH(RawSalesTable[[#This Row],[Order_Date]])</f>
        <v>11</v>
      </c>
      <c r="AH658" s="8" t="str">
        <f>TEXT(RawSalesTable[[#This Row],[Order_Date]],"mmmm")</f>
        <v>novembre</v>
      </c>
      <c r="AI658" s="8" t="str">
        <f>IF(RawSalesTable[[#This Row],[Month_Number]]&lt;=3,"Q1",IF(RawSalesTable[[#This Row],[Month_Number]]&lt;=6,"Q2",IF(RawSalesTable[[#This Row],[Month_Number]]&lt;=9,"Q3","Q4")))</f>
        <v>Q4</v>
      </c>
      <c r="AJ658" s="13">
        <f>DATE(YEAR(RawSalesTable[[#This Row],[Order_Date]]),MONTH(RawSalesTable[[#This Row],[Order_Date]]),1)</f>
        <v>45962</v>
      </c>
      <c r="AK658" s="8" t="str">
        <f>VLOOKUP(RawSalesTable[[#This Row],[Customer_ID_clean]],CustomersTable[],4,FALSE)</f>
        <v>Manitoba</v>
      </c>
    </row>
    <row r="659" spans="1:37">
      <c r="A659" t="s">
        <v>1106</v>
      </c>
      <c r="B659" s="3">
        <v>46006</v>
      </c>
      <c r="C659" t="s">
        <v>699</v>
      </c>
      <c r="D659" t="s">
        <v>181</v>
      </c>
      <c r="E659" t="s">
        <v>700</v>
      </c>
      <c r="F659" t="s">
        <v>111</v>
      </c>
      <c r="G659" t="s">
        <v>130</v>
      </c>
      <c r="H659" t="s">
        <v>89</v>
      </c>
      <c r="I659">
        <v>2</v>
      </c>
      <c r="J659" s="2">
        <v>373.93</v>
      </c>
      <c r="K659" s="4">
        <v>0</v>
      </c>
      <c r="L659" t="s">
        <v>106</v>
      </c>
      <c r="M659">
        <v>1</v>
      </c>
      <c r="N659" t="s">
        <v>91</v>
      </c>
      <c r="O659" t="str">
        <f>SUBSTITUTE(PROPER(TRIM(RawSalesTable[[#This Row],[Channel_Raw]])), "Market Place", "Marketplace")</f>
        <v>Online</v>
      </c>
      <c r="P659" t="str">
        <f>TRIM(RawSalesTable[[#This Row],[Store_Raw]])</f>
        <v>Montreal Central</v>
      </c>
      <c r="Q659" t="str">
        <f>IF(TRIM(RawSalesTable[[#This Row],[Payment_Method_Raw]])="","Non renseigné",SUBSTITUTE(TRIM(RawSalesTable[[#This Row],[Payment_Method_Raw]]),"CC","Credit Card"))</f>
        <v>Credit Card</v>
      </c>
      <c r="R659" s="8" t="str">
        <f>UPPER(PROPER(RawSalesTable[[#This Row],[Customer_ID]]))</f>
        <v>C0097</v>
      </c>
      <c r="S659" s="8" t="str">
        <f>TRIM(LEFT(RawSalesTable[[#This Row],[Customer_Info]],FIND(",",RawSalesTable[[#This Row],[Customer_Info]]) -1))</f>
        <v>Sarah Khan</v>
      </c>
      <c r="T659" s="8" t="str">
        <f>TRIM(MID(RawSalesTable[[#This Row],[Customer_Info]],FIND(",",RawSalesTable[[#This Row],[Customer_Info]])+1,FIND(",",RawSalesTable[[#This Row],[Customer_Info]],FIND(",",RawSalesTable[[#This Row],[Customer_Info]])+1)-FIND(",",RawSalesTable[[#This Row],[Customer_Info]])-1))</f>
        <v>Montreal</v>
      </c>
      <c r="U659" s="8" t="str">
        <f>TRIM(RIGHT(RawSalesTable[[#This Row],[Customer_Info]], LEN(RawSalesTable[[#This Row],[Customer_Info]])-FIND(",",RawSalesTable[[#This Row],[Customer_Info]],FIND(",",RawSalesTable[[#This Row],[Customer_Info]])+1)))</f>
        <v>Consumer</v>
      </c>
      <c r="V659" s="8" t="str">
        <f>VLOOKUP(RawSalesTable[[#This Row],[Product_ID]],ProductsTable[],2,FALSE)</f>
        <v>Monitor</v>
      </c>
      <c r="W659" s="8" t="str">
        <f>VLOOKUP(RawSalesTable[[#This Row],[Product_ID]],ProductsTable[],3,FALSE)</f>
        <v>Electronics</v>
      </c>
      <c r="X659" s="8">
        <f>VLOOKUP(RawSalesTable[[#This Row],[Product_ID]],ProductsTable[],5,FALSE)</f>
        <v>224.47</v>
      </c>
      <c r="Y659" s="8">
        <f>RawSalesTable[[#This Row],[Quantity]]*RawSalesTable[[#This Row],[Unit_Price]]</f>
        <v>747.86</v>
      </c>
      <c r="Z659" s="8">
        <f>RawSalesTable[[#This Row],[Gross_Sales]]*RawSalesTable[[#This Row],[Discount_Pct]]</f>
        <v>0</v>
      </c>
      <c r="AA659" s="8">
        <f>RawSalesTable[[#This Row],[Gross_Sales]]-RawSalesTable[[#This Row],[Discount_Amount]]</f>
        <v>747.86</v>
      </c>
      <c r="AB659" s="8">
        <f>RawSalesTable[[#This Row],[Unit_Cost]]*RawSalesTable[[#This Row],[Quantity]]</f>
        <v>448.94</v>
      </c>
      <c r="AC659" s="8">
        <f>RawSalesTable[[#This Row],[Net_Sales]]-RawSalesTable[[#This Row],[Total_Cost]]</f>
        <v>298.92</v>
      </c>
      <c r="AD659" s="9">
        <f>RawSalesTable[[#This Row],[Profit]]/RawSalesTable[[#This Row],[Net_Sales]]</f>
        <v>0.39970047869922182</v>
      </c>
      <c r="AE659" s="8">
        <f>IF(RawSalesTable[[#This Row],[Return_Status]]="Yes",1,0)</f>
        <v>0</v>
      </c>
      <c r="AF659" s="8">
        <f>YEAR(RawSalesTable[[#This Row],[Order_Date]])</f>
        <v>2025</v>
      </c>
      <c r="AG659" s="8">
        <f>MONTH(RawSalesTable[[#This Row],[Order_Date]])</f>
        <v>12</v>
      </c>
      <c r="AH659" s="8" t="str">
        <f>TEXT(RawSalesTable[[#This Row],[Order_Date]],"mmmm")</f>
        <v>décembre</v>
      </c>
      <c r="AI659" s="8" t="str">
        <f>IF(RawSalesTable[[#This Row],[Month_Number]]&lt;=3,"Q1",IF(RawSalesTable[[#This Row],[Month_Number]]&lt;=6,"Q2",IF(RawSalesTable[[#This Row],[Month_Number]]&lt;=9,"Q3","Q4")))</f>
        <v>Q4</v>
      </c>
      <c r="AJ659" s="13">
        <f>DATE(YEAR(RawSalesTable[[#This Row],[Order_Date]]),MONTH(RawSalesTable[[#This Row],[Order_Date]]),1)</f>
        <v>45992</v>
      </c>
      <c r="AK659" s="8" t="str">
        <f>VLOOKUP(RawSalesTable[[#This Row],[Customer_ID_clean]],CustomersTable[],4,FALSE)</f>
        <v>Quebec</v>
      </c>
    </row>
    <row r="660" spans="1:37">
      <c r="A660" t="s">
        <v>1107</v>
      </c>
      <c r="B660" s="3">
        <v>45816</v>
      </c>
      <c r="C660" t="s">
        <v>453</v>
      </c>
      <c r="D660" t="s">
        <v>418</v>
      </c>
      <c r="E660" t="s">
        <v>454</v>
      </c>
      <c r="F660" t="s">
        <v>116</v>
      </c>
      <c r="G660" t="s">
        <v>130</v>
      </c>
      <c r="H660" t="s">
        <v>89</v>
      </c>
      <c r="I660">
        <v>2</v>
      </c>
      <c r="J660" s="2">
        <v>375.09</v>
      </c>
      <c r="K660" s="4">
        <v>0.05</v>
      </c>
      <c r="L660" t="s">
        <v>521</v>
      </c>
      <c r="M660">
        <v>1</v>
      </c>
      <c r="N660" t="s">
        <v>91</v>
      </c>
      <c r="O660" t="str">
        <f>SUBSTITUTE(PROPER(TRIM(RawSalesTable[[#This Row],[Channel_Raw]])), "Market Place", "Marketplace")</f>
        <v>Online</v>
      </c>
      <c r="P660" t="str">
        <f>TRIM(RawSalesTable[[#This Row],[Store_Raw]])</f>
        <v>Toronto Downtown</v>
      </c>
      <c r="Q660" t="str">
        <f>IF(TRIM(RawSalesTable[[#This Row],[Payment_Method_Raw]])="","Non renseigné",SUBSTITUTE(TRIM(RawSalesTable[[#This Row],[Payment_Method_Raw]]),"CC","Credit Card"))</f>
        <v>debit card</v>
      </c>
      <c r="R660" s="8" t="str">
        <f>UPPER(PROPER(RawSalesTable[[#This Row],[Customer_ID]]))</f>
        <v>C0070</v>
      </c>
      <c r="S660" s="8" t="str">
        <f>TRIM(LEFT(RawSalesTable[[#This Row],[Customer_Info]],FIND(",",RawSalesTable[[#This Row],[Customer_Info]]) -1))</f>
        <v>Sophia Young</v>
      </c>
      <c r="T660" s="8" t="str">
        <f>TRIM(MID(RawSalesTable[[#This Row],[Customer_Info]],FIND(",",RawSalesTable[[#This Row],[Customer_Info]])+1,FIND(",",RawSalesTable[[#This Row],[Customer_Info]],FIND(",",RawSalesTable[[#This Row],[Customer_Info]])+1)-FIND(",",RawSalesTable[[#This Row],[Customer_Info]])-1))</f>
        <v>Halifax</v>
      </c>
      <c r="U660" s="8" t="str">
        <f>TRIM(RIGHT(RawSalesTable[[#This Row],[Customer_Info]], LEN(RawSalesTable[[#This Row],[Customer_Info]])-FIND(",",RawSalesTable[[#This Row],[Customer_Info]],FIND(",",RawSalesTable[[#This Row],[Customer_Info]])+1)))</f>
        <v>Corporate</v>
      </c>
      <c r="V660" s="8" t="str">
        <f>VLOOKUP(RawSalesTable[[#This Row],[Product_ID]],ProductsTable[],2,FALSE)</f>
        <v>Foam Roller</v>
      </c>
      <c r="W660" s="8" t="str">
        <f>VLOOKUP(RawSalesTable[[#This Row],[Product_ID]],ProductsTable[],3,FALSE)</f>
        <v>Fitness</v>
      </c>
      <c r="X660" s="8">
        <f>VLOOKUP(RawSalesTable[[#This Row],[Product_ID]],ProductsTable[],5,FALSE)</f>
        <v>212.02</v>
      </c>
      <c r="Y660" s="8">
        <f>RawSalesTable[[#This Row],[Quantity]]*RawSalesTable[[#This Row],[Unit_Price]]</f>
        <v>750.18</v>
      </c>
      <c r="Z660" s="8">
        <f>RawSalesTable[[#This Row],[Gross_Sales]]*RawSalesTable[[#This Row],[Discount_Pct]]</f>
        <v>37.509</v>
      </c>
      <c r="AA660" s="8">
        <f>RawSalesTable[[#This Row],[Gross_Sales]]-RawSalesTable[[#This Row],[Discount_Amount]]</f>
        <v>712.67099999999994</v>
      </c>
      <c r="AB660" s="8">
        <f>RawSalesTable[[#This Row],[Unit_Cost]]*RawSalesTable[[#This Row],[Quantity]]</f>
        <v>424.04</v>
      </c>
      <c r="AC660" s="8">
        <f>RawSalesTable[[#This Row],[Net_Sales]]-RawSalesTable[[#This Row],[Total_Cost]]</f>
        <v>288.63099999999991</v>
      </c>
      <c r="AD660" s="9">
        <f>RawSalesTable[[#This Row],[Profit]]/RawSalesTable[[#This Row],[Net_Sales]]</f>
        <v>0.40499894060513186</v>
      </c>
      <c r="AE660" s="8">
        <f>IF(RawSalesTable[[#This Row],[Return_Status]]="Yes",1,0)</f>
        <v>0</v>
      </c>
      <c r="AF660" s="8">
        <f>YEAR(RawSalesTable[[#This Row],[Order_Date]])</f>
        <v>2025</v>
      </c>
      <c r="AG660" s="8">
        <f>MONTH(RawSalesTable[[#This Row],[Order_Date]])</f>
        <v>6</v>
      </c>
      <c r="AH660" s="8" t="str">
        <f>TEXT(RawSalesTable[[#This Row],[Order_Date]],"mmmm")</f>
        <v>juin</v>
      </c>
      <c r="AI660" s="8" t="str">
        <f>IF(RawSalesTable[[#This Row],[Month_Number]]&lt;=3,"Q1",IF(RawSalesTable[[#This Row],[Month_Number]]&lt;=6,"Q2",IF(RawSalesTable[[#This Row],[Month_Number]]&lt;=9,"Q3","Q4")))</f>
        <v>Q2</v>
      </c>
      <c r="AJ660" s="13">
        <f>DATE(YEAR(RawSalesTable[[#This Row],[Order_Date]]),MONTH(RawSalesTable[[#This Row],[Order_Date]]),1)</f>
        <v>45809</v>
      </c>
      <c r="AK660" s="8" t="str">
        <f>VLOOKUP(RawSalesTable[[#This Row],[Customer_ID_clean]],CustomersTable[],4,FALSE)</f>
        <v>Nova Scotia</v>
      </c>
    </row>
    <row r="661" spans="1:37">
      <c r="A661" t="s">
        <v>1108</v>
      </c>
      <c r="B661" s="3">
        <v>45938</v>
      </c>
      <c r="C661" t="s">
        <v>613</v>
      </c>
      <c r="D661" t="s">
        <v>149</v>
      </c>
      <c r="E661" t="s">
        <v>710</v>
      </c>
      <c r="F661" t="s">
        <v>116</v>
      </c>
      <c r="G661" t="s">
        <v>104</v>
      </c>
      <c r="H661" t="s">
        <v>89</v>
      </c>
      <c r="I661">
        <v>1</v>
      </c>
      <c r="J661" s="2">
        <v>80.88</v>
      </c>
      <c r="K661" s="4">
        <v>0.05</v>
      </c>
      <c r="L661" t="s">
        <v>106</v>
      </c>
      <c r="M661">
        <v>6</v>
      </c>
      <c r="N661" t="s">
        <v>147</v>
      </c>
      <c r="O661" t="str">
        <f>SUBSTITUTE(PROPER(TRIM(RawSalesTable[[#This Row],[Channel_Raw]])), "Market Place", "Marketplace")</f>
        <v>Online</v>
      </c>
      <c r="P661" t="str">
        <f>TRIM(RawSalesTable[[#This Row],[Store_Raw]])</f>
        <v>Toronto Downtown</v>
      </c>
      <c r="Q661" t="str">
        <f>IF(TRIM(RawSalesTable[[#This Row],[Payment_Method_Raw]])="","Non renseigné",SUBSTITUTE(TRIM(RawSalesTable[[#This Row],[Payment_Method_Raw]]),"CC","Credit Card"))</f>
        <v>Credit Card</v>
      </c>
      <c r="R661" s="8" t="str">
        <f>UPPER(PROPER(RawSalesTable[[#This Row],[Customer_ID]]))</f>
        <v>C0060</v>
      </c>
      <c r="S661" s="8" t="str">
        <f>TRIM(LEFT(RawSalesTable[[#This Row],[Customer_Info]],FIND(",",RawSalesTable[[#This Row],[Customer_Info]]) -1))</f>
        <v>Sarah Wilson</v>
      </c>
      <c r="T661" s="8" t="str">
        <f>TRIM(MID(RawSalesTable[[#This Row],[Customer_Info]],FIND(",",RawSalesTable[[#This Row],[Customer_Info]])+1,FIND(",",RawSalesTable[[#This Row],[Customer_Info]],FIND(",",RawSalesTable[[#This Row],[Customer_Info]])+1)-FIND(",",RawSalesTable[[#This Row],[Customer_Info]])-1))</f>
        <v>Quebec City</v>
      </c>
      <c r="U661" s="8" t="str">
        <f>TRIM(RIGHT(RawSalesTable[[#This Row],[Customer_Info]], LEN(RawSalesTable[[#This Row],[Customer_Info]])-FIND(",",RawSalesTable[[#This Row],[Customer_Info]],FIND(",",RawSalesTable[[#This Row],[Customer_Info]])+1)))</f>
        <v>Corporate</v>
      </c>
      <c r="V661" s="8" t="str">
        <f>VLOOKUP(RawSalesTable[[#This Row],[Product_ID]],ProductsTable[],2,FALSE)</f>
        <v>Office Chair</v>
      </c>
      <c r="W661" s="8" t="str">
        <f>VLOOKUP(RawSalesTable[[#This Row],[Product_ID]],ProductsTable[],3,FALSE)</f>
        <v>Office</v>
      </c>
      <c r="X661" s="8">
        <f>VLOOKUP(RawSalesTable[[#This Row],[Product_ID]],ProductsTable[],5,FALSE)</f>
        <v>39.26</v>
      </c>
      <c r="Y661" s="8">
        <f>RawSalesTable[[#This Row],[Quantity]]*RawSalesTable[[#This Row],[Unit_Price]]</f>
        <v>80.88</v>
      </c>
      <c r="Z661" s="8">
        <f>RawSalesTable[[#This Row],[Gross_Sales]]*RawSalesTable[[#This Row],[Discount_Pct]]</f>
        <v>4.0439999999999996</v>
      </c>
      <c r="AA661" s="8">
        <f>RawSalesTable[[#This Row],[Gross_Sales]]-RawSalesTable[[#This Row],[Discount_Amount]]</f>
        <v>76.835999999999999</v>
      </c>
      <c r="AB661" s="8">
        <f>RawSalesTable[[#This Row],[Unit_Cost]]*RawSalesTable[[#This Row],[Quantity]]</f>
        <v>39.26</v>
      </c>
      <c r="AC661" s="8">
        <f>RawSalesTable[[#This Row],[Net_Sales]]-RawSalesTable[[#This Row],[Total_Cost]]</f>
        <v>37.576000000000001</v>
      </c>
      <c r="AD661" s="9">
        <f>RawSalesTable[[#This Row],[Profit]]/RawSalesTable[[#This Row],[Net_Sales]]</f>
        <v>0.48904159508563694</v>
      </c>
      <c r="AE661" s="8">
        <f>IF(RawSalesTable[[#This Row],[Return_Status]]="Yes",1,0)</f>
        <v>1</v>
      </c>
      <c r="AF661" s="8">
        <f>YEAR(RawSalesTable[[#This Row],[Order_Date]])</f>
        <v>2025</v>
      </c>
      <c r="AG661" s="8">
        <f>MONTH(RawSalesTable[[#This Row],[Order_Date]])</f>
        <v>10</v>
      </c>
      <c r="AH661" s="8" t="str">
        <f>TEXT(RawSalesTable[[#This Row],[Order_Date]],"mmmm")</f>
        <v>octobre</v>
      </c>
      <c r="AI661" s="8" t="str">
        <f>IF(RawSalesTable[[#This Row],[Month_Number]]&lt;=3,"Q1",IF(RawSalesTable[[#This Row],[Month_Number]]&lt;=6,"Q2",IF(RawSalesTable[[#This Row],[Month_Number]]&lt;=9,"Q3","Q4")))</f>
        <v>Q4</v>
      </c>
      <c r="AJ661" s="13">
        <f>DATE(YEAR(RawSalesTable[[#This Row],[Order_Date]]),MONTH(RawSalesTable[[#This Row],[Order_Date]]),1)</f>
        <v>45931</v>
      </c>
      <c r="AK661" s="8" t="str">
        <f>VLOOKUP(RawSalesTable[[#This Row],[Customer_ID_clean]],CustomersTable[],4,FALSE)</f>
        <v>Quebec</v>
      </c>
    </row>
    <row r="662" spans="1:37">
      <c r="A662" t="s">
        <v>1109</v>
      </c>
      <c r="B662" s="3">
        <v>45673</v>
      </c>
      <c r="C662" t="s">
        <v>466</v>
      </c>
      <c r="D662" t="s">
        <v>271</v>
      </c>
      <c r="E662" t="s">
        <v>1110</v>
      </c>
      <c r="F662" t="s">
        <v>87</v>
      </c>
      <c r="G662" t="s">
        <v>117</v>
      </c>
      <c r="H662" t="s">
        <v>89</v>
      </c>
      <c r="I662">
        <v>2</v>
      </c>
      <c r="J662" s="2">
        <v>217.75</v>
      </c>
      <c r="K662" s="4">
        <v>0.15</v>
      </c>
      <c r="L662" t="s">
        <v>106</v>
      </c>
      <c r="M662">
        <v>2</v>
      </c>
      <c r="N662" t="s">
        <v>91</v>
      </c>
      <c r="O662" t="str">
        <f>SUBSTITUTE(PROPER(TRIM(RawSalesTable[[#This Row],[Channel_Raw]])), "Market Place", "Marketplace")</f>
        <v>Online</v>
      </c>
      <c r="P662" t="str">
        <f>TRIM(RawSalesTable[[#This Row],[Store_Raw]])</f>
        <v>Online Fulfillment</v>
      </c>
      <c r="Q662" t="str">
        <f>IF(TRIM(RawSalesTable[[#This Row],[Payment_Method_Raw]])="","Non renseigné",SUBSTITUTE(TRIM(RawSalesTable[[#This Row],[Payment_Method_Raw]]),"CC","Credit Card"))</f>
        <v>Credit Card</v>
      </c>
      <c r="R662" s="8" t="str">
        <f>UPPER(PROPER(RawSalesTable[[#This Row],[Customer_ID]]))</f>
        <v>C0096</v>
      </c>
      <c r="S662" s="8" t="str">
        <f>TRIM(LEFT(RawSalesTable[[#This Row],[Customer_Info]],FIND(",",RawSalesTable[[#This Row],[Customer_Info]]) -1))</f>
        <v>Ryan Roy</v>
      </c>
      <c r="T662" s="8" t="str">
        <f>TRIM(MID(RawSalesTable[[#This Row],[Customer_Info]],FIND(",",RawSalesTable[[#This Row],[Customer_Info]])+1,FIND(",",RawSalesTable[[#This Row],[Customer_Info]],FIND(",",RawSalesTable[[#This Row],[Customer_Info]])+1)-FIND(",",RawSalesTable[[#This Row],[Customer_Info]])-1))</f>
        <v>Laval</v>
      </c>
      <c r="U662" s="8" t="str">
        <f>TRIM(RIGHT(RawSalesTable[[#This Row],[Customer_Info]], LEN(RawSalesTable[[#This Row],[Customer_Info]])-FIND(",",RawSalesTable[[#This Row],[Customer_Info]],FIND(",",RawSalesTable[[#This Row],[Customer_Info]])+1)))</f>
        <v>Corporate</v>
      </c>
      <c r="V662" s="8" t="str">
        <f>VLOOKUP(RawSalesTable[[#This Row],[Product_ID]],ProductsTable[],2,FALSE)</f>
        <v>Resistance Bands</v>
      </c>
      <c r="W662" s="8" t="str">
        <f>VLOOKUP(RawSalesTable[[#This Row],[Product_ID]],ProductsTable[],3,FALSE)</f>
        <v>Fitness</v>
      </c>
      <c r="X662" s="8">
        <f>VLOOKUP(RawSalesTable[[#This Row],[Product_ID]],ProductsTable[],5,FALSE)</f>
        <v>139.19999999999999</v>
      </c>
      <c r="Y662" s="8">
        <f>RawSalesTable[[#This Row],[Quantity]]*RawSalesTable[[#This Row],[Unit_Price]]</f>
        <v>435.5</v>
      </c>
      <c r="Z662" s="8">
        <f>RawSalesTable[[#This Row],[Gross_Sales]]*RawSalesTable[[#This Row],[Discount_Pct]]</f>
        <v>65.325000000000003</v>
      </c>
      <c r="AA662" s="8">
        <f>RawSalesTable[[#This Row],[Gross_Sales]]-RawSalesTable[[#This Row],[Discount_Amount]]</f>
        <v>370.17500000000001</v>
      </c>
      <c r="AB662" s="8">
        <f>RawSalesTable[[#This Row],[Unit_Cost]]*RawSalesTable[[#This Row],[Quantity]]</f>
        <v>278.39999999999998</v>
      </c>
      <c r="AC662" s="8">
        <f>RawSalesTable[[#This Row],[Net_Sales]]-RawSalesTable[[#This Row],[Total_Cost]]</f>
        <v>91.775000000000034</v>
      </c>
      <c r="AD662" s="9">
        <f>RawSalesTable[[#This Row],[Profit]]/RawSalesTable[[#This Row],[Net_Sales]]</f>
        <v>0.24792327952995213</v>
      </c>
      <c r="AE662" s="8">
        <f>IF(RawSalesTable[[#This Row],[Return_Status]]="Yes",1,0)</f>
        <v>0</v>
      </c>
      <c r="AF662" s="8">
        <f>YEAR(RawSalesTable[[#This Row],[Order_Date]])</f>
        <v>2025</v>
      </c>
      <c r="AG662" s="8">
        <f>MONTH(RawSalesTable[[#This Row],[Order_Date]])</f>
        <v>1</v>
      </c>
      <c r="AH662" s="8" t="str">
        <f>TEXT(RawSalesTable[[#This Row],[Order_Date]],"mmmm")</f>
        <v>janvier</v>
      </c>
      <c r="AI662" s="8" t="str">
        <f>IF(RawSalesTable[[#This Row],[Month_Number]]&lt;=3,"Q1",IF(RawSalesTable[[#This Row],[Month_Number]]&lt;=6,"Q2",IF(RawSalesTable[[#This Row],[Month_Number]]&lt;=9,"Q3","Q4")))</f>
        <v>Q1</v>
      </c>
      <c r="AJ662" s="13">
        <f>DATE(YEAR(RawSalesTable[[#This Row],[Order_Date]]),MONTH(RawSalesTable[[#This Row],[Order_Date]]),1)</f>
        <v>45658</v>
      </c>
      <c r="AK662" s="8" t="str">
        <f>VLOOKUP(RawSalesTable[[#This Row],[Customer_ID_clean]],CustomersTable[],4,FALSE)</f>
        <v>Quebec</v>
      </c>
    </row>
    <row r="663" spans="1:37">
      <c r="A663" t="s">
        <v>1111</v>
      </c>
      <c r="B663" s="3">
        <v>45782</v>
      </c>
      <c r="C663" t="s">
        <v>695</v>
      </c>
      <c r="D663" t="s">
        <v>271</v>
      </c>
      <c r="E663" t="s">
        <v>696</v>
      </c>
      <c r="F663" t="s">
        <v>116</v>
      </c>
      <c r="G663" t="s">
        <v>88</v>
      </c>
      <c r="H663" t="s">
        <v>105</v>
      </c>
      <c r="I663">
        <v>1</v>
      </c>
      <c r="J663" s="2">
        <v>223.78</v>
      </c>
      <c r="K663" s="4">
        <v>0.1</v>
      </c>
      <c r="L663" t="s">
        <v>106</v>
      </c>
      <c r="M663">
        <v>3</v>
      </c>
      <c r="N663" t="s">
        <v>91</v>
      </c>
      <c r="O663" t="str">
        <f>SUBSTITUTE(PROPER(TRIM(RawSalesTable[[#This Row],[Channel_Raw]])), "Market Place", "Marketplace")</f>
        <v>Marketplace</v>
      </c>
      <c r="P663" t="str">
        <f>TRIM(RawSalesTable[[#This Row],[Store_Raw]])</f>
        <v>Toronto Downtown</v>
      </c>
      <c r="Q663" t="str">
        <f>IF(TRIM(RawSalesTable[[#This Row],[Payment_Method_Raw]])="","Non renseigné",SUBSTITUTE(TRIM(RawSalesTable[[#This Row],[Payment_Method_Raw]]),"CC","Credit Card"))</f>
        <v>Credit Card</v>
      </c>
      <c r="R663" s="8" t="str">
        <f>UPPER(PROPER(RawSalesTable[[#This Row],[Customer_ID]]))</f>
        <v>C0019</v>
      </c>
      <c r="S663" s="8" t="str">
        <f>TRIM(LEFT(RawSalesTable[[#This Row],[Customer_Info]],FIND(",",RawSalesTable[[#This Row],[Customer_Info]]) -1))</f>
        <v>Lucas Taylor</v>
      </c>
      <c r="T663" s="8" t="str">
        <f>TRIM(MID(RawSalesTable[[#This Row],[Customer_Info]],FIND(",",RawSalesTable[[#This Row],[Customer_Info]])+1,FIND(",",RawSalesTable[[#This Row],[Customer_Info]],FIND(",",RawSalesTable[[#This Row],[Customer_Info]])+1)-FIND(",",RawSalesTable[[#This Row],[Customer_Info]])-1))</f>
        <v>Montreal</v>
      </c>
      <c r="U663" s="8" t="str">
        <f>TRIM(RIGHT(RawSalesTable[[#This Row],[Customer_Info]], LEN(RawSalesTable[[#This Row],[Customer_Info]])-FIND(",",RawSalesTable[[#This Row],[Customer_Info]],FIND(",",RawSalesTable[[#This Row],[Customer_Info]])+1)))</f>
        <v>Small Business</v>
      </c>
      <c r="V663" s="8" t="str">
        <f>VLOOKUP(RawSalesTable[[#This Row],[Product_ID]],ProductsTable[],2,FALSE)</f>
        <v>Resistance Bands</v>
      </c>
      <c r="W663" s="8" t="str">
        <f>VLOOKUP(RawSalesTable[[#This Row],[Product_ID]],ProductsTable[],3,FALSE)</f>
        <v>Fitness</v>
      </c>
      <c r="X663" s="8">
        <f>VLOOKUP(RawSalesTable[[#This Row],[Product_ID]],ProductsTable[],5,FALSE)</f>
        <v>139.19999999999999</v>
      </c>
      <c r="Y663" s="8">
        <f>RawSalesTable[[#This Row],[Quantity]]*RawSalesTable[[#This Row],[Unit_Price]]</f>
        <v>223.78</v>
      </c>
      <c r="Z663" s="8">
        <f>RawSalesTable[[#This Row],[Gross_Sales]]*RawSalesTable[[#This Row],[Discount_Pct]]</f>
        <v>22.378</v>
      </c>
      <c r="AA663" s="8">
        <f>RawSalesTable[[#This Row],[Gross_Sales]]-RawSalesTable[[#This Row],[Discount_Amount]]</f>
        <v>201.40199999999999</v>
      </c>
      <c r="AB663" s="8">
        <f>RawSalesTable[[#This Row],[Unit_Cost]]*RawSalesTable[[#This Row],[Quantity]]</f>
        <v>139.19999999999999</v>
      </c>
      <c r="AC663" s="8">
        <f>RawSalesTable[[#This Row],[Net_Sales]]-RawSalesTable[[#This Row],[Total_Cost]]</f>
        <v>62.201999999999998</v>
      </c>
      <c r="AD663" s="9">
        <f>RawSalesTable[[#This Row],[Profit]]/RawSalesTable[[#This Row],[Net_Sales]]</f>
        <v>0.30884499657401615</v>
      </c>
      <c r="AE663" s="8">
        <f>IF(RawSalesTable[[#This Row],[Return_Status]]="Yes",1,0)</f>
        <v>0</v>
      </c>
      <c r="AF663" s="8">
        <f>YEAR(RawSalesTable[[#This Row],[Order_Date]])</f>
        <v>2025</v>
      </c>
      <c r="AG663" s="8">
        <f>MONTH(RawSalesTable[[#This Row],[Order_Date]])</f>
        <v>5</v>
      </c>
      <c r="AH663" s="8" t="str">
        <f>TEXT(RawSalesTable[[#This Row],[Order_Date]],"mmmm")</f>
        <v>mai</v>
      </c>
      <c r="AI663" s="8" t="str">
        <f>IF(RawSalesTable[[#This Row],[Month_Number]]&lt;=3,"Q1",IF(RawSalesTable[[#This Row],[Month_Number]]&lt;=6,"Q2",IF(RawSalesTable[[#This Row],[Month_Number]]&lt;=9,"Q3","Q4")))</f>
        <v>Q2</v>
      </c>
      <c r="AJ663" s="13">
        <f>DATE(YEAR(RawSalesTable[[#This Row],[Order_Date]]),MONTH(RawSalesTable[[#This Row],[Order_Date]]),1)</f>
        <v>45778</v>
      </c>
      <c r="AK663" s="8" t="str">
        <f>VLOOKUP(RawSalesTable[[#This Row],[Customer_ID_clean]],CustomersTable[],4,FALSE)</f>
        <v>Quebec</v>
      </c>
    </row>
    <row r="664" spans="1:37">
      <c r="A664" t="s">
        <v>1112</v>
      </c>
      <c r="B664" s="3">
        <v>45775</v>
      </c>
      <c r="C664" t="s">
        <v>406</v>
      </c>
      <c r="D664" t="s">
        <v>217</v>
      </c>
      <c r="E664" t="s">
        <v>407</v>
      </c>
      <c r="F664" t="s">
        <v>103</v>
      </c>
      <c r="G664" t="s">
        <v>117</v>
      </c>
      <c r="H664" t="s">
        <v>89</v>
      </c>
      <c r="I664">
        <v>1</v>
      </c>
      <c r="J664" s="2">
        <v>99.27</v>
      </c>
      <c r="K664" s="4">
        <v>0</v>
      </c>
      <c r="L664" t="s">
        <v>106</v>
      </c>
      <c r="M664">
        <v>5</v>
      </c>
      <c r="N664" t="s">
        <v>91</v>
      </c>
      <c r="O664" t="str">
        <f>SUBSTITUTE(PROPER(TRIM(RawSalesTable[[#This Row],[Channel_Raw]])), "Market Place", "Marketplace")</f>
        <v>Online</v>
      </c>
      <c r="P664" t="str">
        <f>TRIM(RawSalesTable[[#This Row],[Store_Raw]])</f>
        <v>Vancouver West</v>
      </c>
      <c r="Q664" t="str">
        <f>IF(TRIM(RawSalesTable[[#This Row],[Payment_Method_Raw]])="","Non renseigné",SUBSTITUTE(TRIM(RawSalesTable[[#This Row],[Payment_Method_Raw]]),"CC","Credit Card"))</f>
        <v>Credit Card</v>
      </c>
      <c r="R664" s="8" t="str">
        <f>UPPER(PROPER(RawSalesTable[[#This Row],[Customer_ID]]))</f>
        <v>C0038</v>
      </c>
      <c r="S664" s="8" t="str">
        <f>TRIM(LEFT(RawSalesTable[[#This Row],[Customer_Info]],FIND(",",RawSalesTable[[#This Row],[Customer_Info]]) -1))</f>
        <v>Noah Brown</v>
      </c>
      <c r="T664" s="8" t="str">
        <f>TRIM(MID(RawSalesTable[[#This Row],[Customer_Info]],FIND(",",RawSalesTable[[#This Row],[Customer_Info]])+1,FIND(",",RawSalesTable[[#This Row],[Customer_Info]],FIND(",",RawSalesTable[[#This Row],[Customer_Info]])+1)-FIND(",",RawSalesTable[[#This Row],[Customer_Info]])-1))</f>
        <v>Montreal</v>
      </c>
      <c r="U664" s="8" t="str">
        <f>TRIM(RIGHT(RawSalesTable[[#This Row],[Customer_Info]], LEN(RawSalesTable[[#This Row],[Customer_Info]])-FIND(",",RawSalesTable[[#This Row],[Customer_Info]],FIND(",",RawSalesTable[[#This Row],[Customer_Info]])+1)))</f>
        <v>Consumer</v>
      </c>
      <c r="V664" s="8" t="str">
        <f>VLOOKUP(RawSalesTable[[#This Row],[Product_ID]],ProductsTable[],2,FALSE)</f>
        <v>USB-C Hub</v>
      </c>
      <c r="W664" s="8" t="str">
        <f>VLOOKUP(RawSalesTable[[#This Row],[Product_ID]],ProductsTable[],3,FALSE)</f>
        <v>Electronics</v>
      </c>
      <c r="X664" s="8">
        <f>VLOOKUP(RawSalesTable[[#This Row],[Product_ID]],ProductsTable[],5,FALSE)</f>
        <v>72</v>
      </c>
      <c r="Y664" s="8">
        <f>RawSalesTable[[#This Row],[Quantity]]*RawSalesTable[[#This Row],[Unit_Price]]</f>
        <v>99.27</v>
      </c>
      <c r="Z664" s="8">
        <f>RawSalesTable[[#This Row],[Gross_Sales]]*RawSalesTable[[#This Row],[Discount_Pct]]</f>
        <v>0</v>
      </c>
      <c r="AA664" s="8">
        <f>RawSalesTable[[#This Row],[Gross_Sales]]-RawSalesTable[[#This Row],[Discount_Amount]]</f>
        <v>99.27</v>
      </c>
      <c r="AB664" s="8">
        <f>RawSalesTable[[#This Row],[Unit_Cost]]*RawSalesTable[[#This Row],[Quantity]]</f>
        <v>72</v>
      </c>
      <c r="AC664" s="8">
        <f>RawSalesTable[[#This Row],[Net_Sales]]-RawSalesTable[[#This Row],[Total_Cost]]</f>
        <v>27.269999999999996</v>
      </c>
      <c r="AD664" s="9">
        <f>RawSalesTable[[#This Row],[Profit]]/RawSalesTable[[#This Row],[Net_Sales]]</f>
        <v>0.27470534904805072</v>
      </c>
      <c r="AE664" s="8">
        <f>IF(RawSalesTable[[#This Row],[Return_Status]]="Yes",1,0)</f>
        <v>0</v>
      </c>
      <c r="AF664" s="8">
        <f>YEAR(RawSalesTable[[#This Row],[Order_Date]])</f>
        <v>2025</v>
      </c>
      <c r="AG664" s="8">
        <f>MONTH(RawSalesTable[[#This Row],[Order_Date]])</f>
        <v>4</v>
      </c>
      <c r="AH664" s="8" t="str">
        <f>TEXT(RawSalesTable[[#This Row],[Order_Date]],"mmmm")</f>
        <v>avril</v>
      </c>
      <c r="AI664" s="8" t="str">
        <f>IF(RawSalesTable[[#This Row],[Month_Number]]&lt;=3,"Q1",IF(RawSalesTable[[#This Row],[Month_Number]]&lt;=6,"Q2",IF(RawSalesTable[[#This Row],[Month_Number]]&lt;=9,"Q3","Q4")))</f>
        <v>Q2</v>
      </c>
      <c r="AJ664" s="13">
        <f>DATE(YEAR(RawSalesTable[[#This Row],[Order_Date]]),MONTH(RawSalesTable[[#This Row],[Order_Date]]),1)</f>
        <v>45748</v>
      </c>
      <c r="AK664" s="8" t="str">
        <f>VLOOKUP(RawSalesTable[[#This Row],[Customer_ID_clean]],CustomersTable[],4,FALSE)</f>
        <v>Quebec</v>
      </c>
    </row>
    <row r="665" spans="1:37">
      <c r="A665" t="s">
        <v>1113</v>
      </c>
      <c r="B665" s="3">
        <v>45658</v>
      </c>
      <c r="C665" t="s">
        <v>594</v>
      </c>
      <c r="D665" t="s">
        <v>323</v>
      </c>
      <c r="E665" t="s">
        <v>1114</v>
      </c>
      <c r="F665" t="s">
        <v>87</v>
      </c>
      <c r="G665" t="s">
        <v>96</v>
      </c>
      <c r="H665" t="s">
        <v>97</v>
      </c>
      <c r="I665">
        <v>3</v>
      </c>
      <c r="J665" s="2">
        <v>335.87</v>
      </c>
      <c r="K665" s="4">
        <v>0.2</v>
      </c>
      <c r="L665" t="s">
        <v>98</v>
      </c>
      <c r="M665">
        <v>2</v>
      </c>
      <c r="N665" t="s">
        <v>147</v>
      </c>
      <c r="O665" t="str">
        <f>SUBSTITUTE(PROPER(TRIM(RawSalesTable[[#This Row],[Channel_Raw]])), "Market Place", "Marketplace")</f>
        <v>Retail Store</v>
      </c>
      <c r="P665" t="str">
        <f>TRIM(RawSalesTable[[#This Row],[Store_Raw]])</f>
        <v>Online Fulfillment</v>
      </c>
      <c r="Q665" t="str">
        <f>IF(TRIM(RawSalesTable[[#This Row],[Payment_Method_Raw]])="","Non renseigné",SUBSTITUTE(TRIM(RawSalesTable[[#This Row],[Payment_Method_Raw]]),"CC","Credit Card"))</f>
        <v>Debit Card</v>
      </c>
      <c r="R665" s="8" t="str">
        <f>UPPER(PROPER(RawSalesTable[[#This Row],[Customer_ID]]))</f>
        <v>C0027</v>
      </c>
      <c r="S665" s="8" t="str">
        <f>TRIM(LEFT(RawSalesTable[[#This Row],[Customer_Info]],FIND(",",RawSalesTable[[#This Row],[Customer_Info]]) -1))</f>
        <v>Nora Wilson</v>
      </c>
      <c r="T665" s="8" t="str">
        <f>TRIM(MID(RawSalesTable[[#This Row],[Customer_Info]],FIND(",",RawSalesTable[[#This Row],[Customer_Info]])+1,FIND(",",RawSalesTable[[#This Row],[Customer_Info]],FIND(",",RawSalesTable[[#This Row],[Customer_Info]])+1)-FIND(",",RawSalesTable[[#This Row],[Customer_Info]])-1))</f>
        <v>Toronto</v>
      </c>
      <c r="U665" s="8" t="str">
        <f>TRIM(RIGHT(RawSalesTable[[#This Row],[Customer_Info]], LEN(RawSalesTable[[#This Row],[Customer_Info]])-FIND(",",RawSalesTable[[#This Row],[Customer_Info]],FIND(",",RawSalesTable[[#This Row],[Customer_Info]])+1)))</f>
        <v>Small Business</v>
      </c>
      <c r="V665" s="8" t="str">
        <f>VLOOKUP(RawSalesTable[[#This Row],[Product_ID]],ProductsTable[],2,FALSE)</f>
        <v>Toaster</v>
      </c>
      <c r="W665" s="8" t="str">
        <f>VLOOKUP(RawSalesTable[[#This Row],[Product_ID]],ProductsTable[],3,FALSE)</f>
        <v>Home</v>
      </c>
      <c r="X665" s="8">
        <f>VLOOKUP(RawSalesTable[[#This Row],[Product_ID]],ProductsTable[],5,FALSE)</f>
        <v>152.88</v>
      </c>
      <c r="Y665" s="8">
        <f>RawSalesTable[[#This Row],[Quantity]]*RawSalesTable[[#This Row],[Unit_Price]]</f>
        <v>1007.61</v>
      </c>
      <c r="Z665" s="8">
        <f>RawSalesTable[[#This Row],[Gross_Sales]]*RawSalesTable[[#This Row],[Discount_Pct]]</f>
        <v>201.52200000000002</v>
      </c>
      <c r="AA665" s="8">
        <f>RawSalesTable[[#This Row],[Gross_Sales]]-RawSalesTable[[#This Row],[Discount_Amount]]</f>
        <v>806.08799999999997</v>
      </c>
      <c r="AB665" s="8">
        <f>RawSalesTable[[#This Row],[Unit_Cost]]*RawSalesTable[[#This Row],[Quantity]]</f>
        <v>458.64</v>
      </c>
      <c r="AC665" s="8">
        <f>RawSalesTable[[#This Row],[Net_Sales]]-RawSalesTable[[#This Row],[Total_Cost]]</f>
        <v>347.44799999999998</v>
      </c>
      <c r="AD665" s="9">
        <f>RawSalesTable[[#This Row],[Profit]]/RawSalesTable[[#This Row],[Net_Sales]]</f>
        <v>0.43102986274451421</v>
      </c>
      <c r="AE665" s="8">
        <f>IF(RawSalesTable[[#This Row],[Return_Status]]="Yes",1,0)</f>
        <v>1</v>
      </c>
      <c r="AF665" s="8">
        <f>YEAR(RawSalesTable[[#This Row],[Order_Date]])</f>
        <v>2025</v>
      </c>
      <c r="AG665" s="8">
        <f>MONTH(RawSalesTable[[#This Row],[Order_Date]])</f>
        <v>1</v>
      </c>
      <c r="AH665" s="8" t="str">
        <f>TEXT(RawSalesTable[[#This Row],[Order_Date]],"mmmm")</f>
        <v>janvier</v>
      </c>
      <c r="AI665" s="8" t="str">
        <f>IF(RawSalesTable[[#This Row],[Month_Number]]&lt;=3,"Q1",IF(RawSalesTable[[#This Row],[Month_Number]]&lt;=6,"Q2",IF(RawSalesTable[[#This Row],[Month_Number]]&lt;=9,"Q3","Q4")))</f>
        <v>Q1</v>
      </c>
      <c r="AJ665" s="13">
        <f>DATE(YEAR(RawSalesTable[[#This Row],[Order_Date]]),MONTH(RawSalesTable[[#This Row],[Order_Date]]),1)</f>
        <v>45658</v>
      </c>
      <c r="AK665" s="8" t="str">
        <f>VLOOKUP(RawSalesTable[[#This Row],[Customer_ID_clean]],CustomersTable[],4,FALSE)</f>
        <v>Ontario</v>
      </c>
    </row>
    <row r="666" spans="1:37">
      <c r="A666" t="s">
        <v>1115</v>
      </c>
      <c r="B666" s="3">
        <v>45922</v>
      </c>
      <c r="C666" t="s">
        <v>296</v>
      </c>
      <c r="D666" t="s">
        <v>114</v>
      </c>
      <c r="E666" t="s">
        <v>297</v>
      </c>
      <c r="F666" t="s">
        <v>145</v>
      </c>
      <c r="G666" t="s">
        <v>104</v>
      </c>
      <c r="H666" t="s">
        <v>89</v>
      </c>
      <c r="I666">
        <v>3</v>
      </c>
      <c r="J666" s="2">
        <v>143.22999999999999</v>
      </c>
      <c r="K666" s="4">
        <v>0.1</v>
      </c>
      <c r="L666" t="s">
        <v>90</v>
      </c>
      <c r="M666">
        <v>3</v>
      </c>
      <c r="N666" t="s">
        <v>91</v>
      </c>
      <c r="O666" t="str">
        <f>SUBSTITUTE(PROPER(TRIM(RawSalesTable[[#This Row],[Channel_Raw]])), "Market Place", "Marketplace")</f>
        <v>Online</v>
      </c>
      <c r="P666" t="str">
        <f>TRIM(RawSalesTable[[#This Row],[Store_Raw]])</f>
        <v>Calgary North</v>
      </c>
      <c r="Q666" t="str">
        <f>IF(TRIM(RawSalesTable[[#This Row],[Payment_Method_Raw]])="","Non renseigné",SUBSTITUTE(TRIM(RawSalesTable[[#This Row],[Payment_Method_Raw]]),"CC","Credit Card"))</f>
        <v>PayPal</v>
      </c>
      <c r="R666" s="8" t="str">
        <f>UPPER(PROPER(RawSalesTable[[#This Row],[Customer_ID]]))</f>
        <v>C0040</v>
      </c>
      <c r="S666" s="8" t="str">
        <f>TRIM(LEFT(RawSalesTable[[#This Row],[Customer_Info]],FIND(",",RawSalesTable[[#This Row],[Customer_Info]]) -1))</f>
        <v>Ethan Young</v>
      </c>
      <c r="T666" s="8" t="str">
        <f>TRIM(MID(RawSalesTable[[#This Row],[Customer_Info]],FIND(",",RawSalesTable[[#This Row],[Customer_Info]])+1,FIND(",",RawSalesTable[[#This Row],[Customer_Info]],FIND(",",RawSalesTable[[#This Row],[Customer_Info]])+1)-FIND(",",RawSalesTable[[#This Row],[Customer_Info]])-1))</f>
        <v>Surrey</v>
      </c>
      <c r="U666" s="8" t="str">
        <f>TRIM(RIGHT(RawSalesTable[[#This Row],[Customer_Info]], LEN(RawSalesTable[[#This Row],[Customer_Info]])-FIND(",",RawSalesTable[[#This Row],[Customer_Info]],FIND(",",RawSalesTable[[#This Row],[Customer_Info]])+1)))</f>
        <v>Consumer</v>
      </c>
      <c r="V666" s="8" t="str">
        <f>VLOOKUP(RawSalesTable[[#This Row],[Product_ID]],ProductsTable[],2,FALSE)</f>
        <v>Laptop Sleeve</v>
      </c>
      <c r="W666" s="8" t="str">
        <f>VLOOKUP(RawSalesTable[[#This Row],[Product_ID]],ProductsTable[],3,FALSE)</f>
        <v>Accessories</v>
      </c>
      <c r="X666" s="8">
        <f>VLOOKUP(RawSalesTable[[#This Row],[Product_ID]],ProductsTable[],5,FALSE)</f>
        <v>78.95</v>
      </c>
      <c r="Y666" s="8">
        <f>RawSalesTable[[#This Row],[Quantity]]*RawSalesTable[[#This Row],[Unit_Price]]</f>
        <v>429.68999999999994</v>
      </c>
      <c r="Z666" s="8">
        <f>RawSalesTable[[#This Row],[Gross_Sales]]*RawSalesTable[[#This Row],[Discount_Pct]]</f>
        <v>42.968999999999994</v>
      </c>
      <c r="AA666" s="8">
        <f>RawSalesTable[[#This Row],[Gross_Sales]]-RawSalesTable[[#This Row],[Discount_Amount]]</f>
        <v>386.72099999999995</v>
      </c>
      <c r="AB666" s="8">
        <f>RawSalesTable[[#This Row],[Unit_Cost]]*RawSalesTable[[#This Row],[Quantity]]</f>
        <v>236.85000000000002</v>
      </c>
      <c r="AC666" s="8">
        <f>RawSalesTable[[#This Row],[Net_Sales]]-RawSalesTable[[#This Row],[Total_Cost]]</f>
        <v>149.87099999999992</v>
      </c>
      <c r="AD666" s="9">
        <f>RawSalesTable[[#This Row],[Profit]]/RawSalesTable[[#This Row],[Net_Sales]]</f>
        <v>0.38754295732582389</v>
      </c>
      <c r="AE666" s="8">
        <f>IF(RawSalesTable[[#This Row],[Return_Status]]="Yes",1,0)</f>
        <v>0</v>
      </c>
      <c r="AF666" s="8">
        <f>YEAR(RawSalesTable[[#This Row],[Order_Date]])</f>
        <v>2025</v>
      </c>
      <c r="AG666" s="8">
        <f>MONTH(RawSalesTable[[#This Row],[Order_Date]])</f>
        <v>9</v>
      </c>
      <c r="AH666" s="8" t="str">
        <f>TEXT(RawSalesTable[[#This Row],[Order_Date]],"mmmm")</f>
        <v>septembre</v>
      </c>
      <c r="AI666" s="8" t="str">
        <f>IF(RawSalesTable[[#This Row],[Month_Number]]&lt;=3,"Q1",IF(RawSalesTable[[#This Row],[Month_Number]]&lt;=6,"Q2",IF(RawSalesTable[[#This Row],[Month_Number]]&lt;=9,"Q3","Q4")))</f>
        <v>Q3</v>
      </c>
      <c r="AJ666" s="13">
        <f>DATE(YEAR(RawSalesTable[[#This Row],[Order_Date]]),MONTH(RawSalesTable[[#This Row],[Order_Date]]),1)</f>
        <v>45901</v>
      </c>
      <c r="AK666" s="8" t="str">
        <f>VLOOKUP(RawSalesTable[[#This Row],[Customer_ID_clean]],CustomersTable[],4,FALSE)</f>
        <v>British Columbia</v>
      </c>
    </row>
    <row r="667" spans="1:37">
      <c r="A667" t="s">
        <v>1116</v>
      </c>
      <c r="B667" s="3">
        <v>45737</v>
      </c>
      <c r="C667" t="s">
        <v>480</v>
      </c>
      <c r="D667" t="s">
        <v>94</v>
      </c>
      <c r="E667" t="s">
        <v>773</v>
      </c>
      <c r="F667" t="s">
        <v>116</v>
      </c>
      <c r="G667" t="s">
        <v>183</v>
      </c>
      <c r="H667" t="s">
        <v>89</v>
      </c>
      <c r="I667">
        <v>2</v>
      </c>
      <c r="J667" s="2">
        <v>304.67</v>
      </c>
      <c r="K667" s="4">
        <v>0.1</v>
      </c>
      <c r="L667" t="s">
        <v>98</v>
      </c>
      <c r="M667">
        <v>6</v>
      </c>
      <c r="N667" t="s">
        <v>91</v>
      </c>
      <c r="O667" t="str">
        <f>SUBSTITUTE(PROPER(TRIM(RawSalesTable[[#This Row],[Channel_Raw]])), "Market Place", "Marketplace")</f>
        <v>Online</v>
      </c>
      <c r="P667" t="str">
        <f>TRIM(RawSalesTable[[#This Row],[Store_Raw]])</f>
        <v>Toronto Downtown</v>
      </c>
      <c r="Q667" t="str">
        <f>IF(TRIM(RawSalesTable[[#This Row],[Payment_Method_Raw]])="","Non renseigné",SUBSTITUTE(TRIM(RawSalesTable[[#This Row],[Payment_Method_Raw]]),"CC","Credit Card"))</f>
        <v>Debit Card</v>
      </c>
      <c r="R667" s="8" t="str">
        <f>UPPER(PROPER(RawSalesTable[[#This Row],[Customer_ID]]))</f>
        <v>C0053</v>
      </c>
      <c r="S667" s="8" t="str">
        <f>TRIM(LEFT(RawSalesTable[[#This Row],[Customer_Info]],FIND(",",RawSalesTable[[#This Row],[Customer_Info]]) -1))</f>
        <v>Ryan Lee</v>
      </c>
      <c r="T667" s="8" t="str">
        <f>TRIM(MID(RawSalesTable[[#This Row],[Customer_Info]],FIND(",",RawSalesTable[[#This Row],[Customer_Info]])+1,FIND(",",RawSalesTable[[#This Row],[Customer_Info]],FIND(",",RawSalesTable[[#This Row],[Customer_Info]])+1)-FIND(",",RawSalesTable[[#This Row],[Customer_Info]])-1))</f>
        <v>Laval</v>
      </c>
      <c r="U667" s="8" t="str">
        <f>TRIM(RIGHT(RawSalesTable[[#This Row],[Customer_Info]], LEN(RawSalesTable[[#This Row],[Customer_Info]])-FIND(",",RawSalesTable[[#This Row],[Customer_Info]],FIND(",",RawSalesTable[[#This Row],[Customer_Info]])+1)))</f>
        <v>Consumer</v>
      </c>
      <c r="V667" s="8" t="str">
        <f>VLOOKUP(RawSalesTable[[#This Row],[Product_ID]],ProductsTable[],2,FALSE)</f>
        <v>Backpack</v>
      </c>
      <c r="W667" s="8" t="str">
        <f>VLOOKUP(RawSalesTable[[#This Row],[Product_ID]],ProductsTable[],3,FALSE)</f>
        <v>Accessories</v>
      </c>
      <c r="X667" s="8">
        <f>VLOOKUP(RawSalesTable[[#This Row],[Product_ID]],ProductsTable[],5,FALSE)</f>
        <v>152.55000000000001</v>
      </c>
      <c r="Y667" s="8">
        <f>RawSalesTable[[#This Row],[Quantity]]*RawSalesTable[[#This Row],[Unit_Price]]</f>
        <v>609.34</v>
      </c>
      <c r="Z667" s="8">
        <f>RawSalesTable[[#This Row],[Gross_Sales]]*RawSalesTable[[#This Row],[Discount_Pct]]</f>
        <v>60.934000000000005</v>
      </c>
      <c r="AA667" s="8">
        <f>RawSalesTable[[#This Row],[Gross_Sales]]-RawSalesTable[[#This Row],[Discount_Amount]]</f>
        <v>548.40600000000006</v>
      </c>
      <c r="AB667" s="8">
        <f>RawSalesTable[[#This Row],[Unit_Cost]]*RawSalesTable[[#This Row],[Quantity]]</f>
        <v>305.10000000000002</v>
      </c>
      <c r="AC667" s="8">
        <f>RawSalesTable[[#This Row],[Net_Sales]]-RawSalesTable[[#This Row],[Total_Cost]]</f>
        <v>243.30600000000004</v>
      </c>
      <c r="AD667" s="9">
        <f>RawSalesTable[[#This Row],[Profit]]/RawSalesTable[[#This Row],[Net_Sales]]</f>
        <v>0.44366035382545049</v>
      </c>
      <c r="AE667" s="8">
        <f>IF(RawSalesTable[[#This Row],[Return_Status]]="Yes",1,0)</f>
        <v>0</v>
      </c>
      <c r="AF667" s="8">
        <f>YEAR(RawSalesTable[[#This Row],[Order_Date]])</f>
        <v>2025</v>
      </c>
      <c r="AG667" s="8">
        <f>MONTH(RawSalesTable[[#This Row],[Order_Date]])</f>
        <v>3</v>
      </c>
      <c r="AH667" s="8" t="str">
        <f>TEXT(RawSalesTable[[#This Row],[Order_Date]],"mmmm")</f>
        <v>mars</v>
      </c>
      <c r="AI667" s="8" t="str">
        <f>IF(RawSalesTable[[#This Row],[Month_Number]]&lt;=3,"Q1",IF(RawSalesTable[[#This Row],[Month_Number]]&lt;=6,"Q2",IF(RawSalesTable[[#This Row],[Month_Number]]&lt;=9,"Q3","Q4")))</f>
        <v>Q1</v>
      </c>
      <c r="AJ667" s="13">
        <f>DATE(YEAR(RawSalesTable[[#This Row],[Order_Date]]),MONTH(RawSalesTable[[#This Row],[Order_Date]]),1)</f>
        <v>45717</v>
      </c>
      <c r="AK667" s="8" t="str">
        <f>VLOOKUP(RawSalesTable[[#This Row],[Customer_ID_clean]],CustomersTable[],4,FALSE)</f>
        <v>Quebec</v>
      </c>
    </row>
    <row r="668" spans="1:37">
      <c r="A668" t="s">
        <v>1117</v>
      </c>
      <c r="B668" s="3">
        <v>45905</v>
      </c>
      <c r="C668" t="s">
        <v>661</v>
      </c>
      <c r="D668" t="s">
        <v>101</v>
      </c>
      <c r="E668" t="s">
        <v>662</v>
      </c>
      <c r="F668" t="s">
        <v>87</v>
      </c>
      <c r="G668" t="s">
        <v>171</v>
      </c>
      <c r="H668" t="s">
        <v>97</v>
      </c>
      <c r="I668">
        <v>1</v>
      </c>
      <c r="J668" s="2">
        <v>320.24</v>
      </c>
      <c r="K668" s="4">
        <v>0.05</v>
      </c>
      <c r="L668" t="s">
        <v>106</v>
      </c>
      <c r="M668">
        <v>3</v>
      </c>
      <c r="N668" t="s">
        <v>91</v>
      </c>
      <c r="O668" t="str">
        <f>SUBSTITUTE(PROPER(TRIM(RawSalesTable[[#This Row],[Channel_Raw]])), "Market Place", "Marketplace")</f>
        <v>Retail Store</v>
      </c>
      <c r="P668" t="str">
        <f>TRIM(RawSalesTable[[#This Row],[Store_Raw]])</f>
        <v>Online Fulfillment</v>
      </c>
      <c r="Q668" t="str">
        <f>IF(TRIM(RawSalesTable[[#This Row],[Payment_Method_Raw]])="","Non renseigné",SUBSTITUTE(TRIM(RawSalesTable[[#This Row],[Payment_Method_Raw]]),"CC","Credit Card"))</f>
        <v>Credit Card</v>
      </c>
      <c r="R668" s="8" t="str">
        <f>UPPER(PROPER(RawSalesTable[[#This Row],[Customer_ID]]))</f>
        <v>C0111</v>
      </c>
      <c r="S668" s="8" t="str">
        <f>TRIM(LEFT(RawSalesTable[[#This Row],[Customer_Info]],FIND(",",RawSalesTable[[#This Row],[Customer_Info]]) -1))</f>
        <v>Noah Khan</v>
      </c>
      <c r="T668" s="8" t="str">
        <f>TRIM(MID(RawSalesTable[[#This Row],[Customer_Info]],FIND(",",RawSalesTable[[#This Row],[Customer_Info]])+1,FIND(",",RawSalesTable[[#This Row],[Customer_Info]],FIND(",",RawSalesTable[[#This Row],[Customer_Info]])+1)-FIND(",",RawSalesTable[[#This Row],[Customer_Info]])-1))</f>
        <v>Halifax</v>
      </c>
      <c r="U668" s="8" t="str">
        <f>TRIM(RIGHT(RawSalesTable[[#This Row],[Customer_Info]], LEN(RawSalesTable[[#This Row],[Customer_Info]])-FIND(",",RawSalesTable[[#This Row],[Customer_Info]],FIND(",",RawSalesTable[[#This Row],[Customer_Info]])+1)))</f>
        <v>Consumer</v>
      </c>
      <c r="V668" s="8" t="str">
        <f>VLOOKUP(RawSalesTable[[#This Row],[Product_ID]],ProductsTable[],2,FALSE)</f>
        <v>Kettle</v>
      </c>
      <c r="W668" s="8" t="str">
        <f>VLOOKUP(RawSalesTable[[#This Row],[Product_ID]],ProductsTable[],3,FALSE)</f>
        <v>Home</v>
      </c>
      <c r="X668" s="8">
        <f>VLOOKUP(RawSalesTable[[#This Row],[Product_ID]],ProductsTable[],5,FALSE)</f>
        <v>139.86000000000001</v>
      </c>
      <c r="Y668" s="8">
        <f>RawSalesTable[[#This Row],[Quantity]]*RawSalesTable[[#This Row],[Unit_Price]]</f>
        <v>320.24</v>
      </c>
      <c r="Z668" s="8">
        <f>RawSalesTable[[#This Row],[Gross_Sales]]*RawSalesTable[[#This Row],[Discount_Pct]]</f>
        <v>16.012</v>
      </c>
      <c r="AA668" s="8">
        <f>RawSalesTable[[#This Row],[Gross_Sales]]-RawSalesTable[[#This Row],[Discount_Amount]]</f>
        <v>304.22800000000001</v>
      </c>
      <c r="AB668" s="8">
        <f>RawSalesTable[[#This Row],[Unit_Cost]]*RawSalesTable[[#This Row],[Quantity]]</f>
        <v>139.86000000000001</v>
      </c>
      <c r="AC668" s="8">
        <f>RawSalesTable[[#This Row],[Net_Sales]]-RawSalesTable[[#This Row],[Total_Cost]]</f>
        <v>164.36799999999999</v>
      </c>
      <c r="AD668" s="9">
        <f>RawSalesTable[[#This Row],[Profit]]/RawSalesTable[[#This Row],[Net_Sales]]</f>
        <v>0.54027900127535922</v>
      </c>
      <c r="AE668" s="8">
        <f>IF(RawSalesTable[[#This Row],[Return_Status]]="Yes",1,0)</f>
        <v>0</v>
      </c>
      <c r="AF668" s="8">
        <f>YEAR(RawSalesTable[[#This Row],[Order_Date]])</f>
        <v>2025</v>
      </c>
      <c r="AG668" s="8">
        <f>MONTH(RawSalesTable[[#This Row],[Order_Date]])</f>
        <v>9</v>
      </c>
      <c r="AH668" s="8" t="str">
        <f>TEXT(RawSalesTable[[#This Row],[Order_Date]],"mmmm")</f>
        <v>septembre</v>
      </c>
      <c r="AI668" s="8" t="str">
        <f>IF(RawSalesTable[[#This Row],[Month_Number]]&lt;=3,"Q1",IF(RawSalesTable[[#This Row],[Month_Number]]&lt;=6,"Q2",IF(RawSalesTable[[#This Row],[Month_Number]]&lt;=9,"Q3","Q4")))</f>
        <v>Q3</v>
      </c>
      <c r="AJ668" s="13">
        <f>DATE(YEAR(RawSalesTable[[#This Row],[Order_Date]]),MONTH(RawSalesTable[[#This Row],[Order_Date]]),1)</f>
        <v>45901</v>
      </c>
      <c r="AK668" s="8" t="str">
        <f>VLOOKUP(RawSalesTable[[#This Row],[Customer_ID_clean]],CustomersTable[],4,FALSE)</f>
        <v>Nova Scotia</v>
      </c>
    </row>
    <row r="669" spans="1:37">
      <c r="A669" t="s">
        <v>1118</v>
      </c>
      <c r="B669" s="3">
        <v>45971</v>
      </c>
      <c r="C669" t="s">
        <v>230</v>
      </c>
      <c r="D669" t="s">
        <v>277</v>
      </c>
      <c r="E669" t="s">
        <v>232</v>
      </c>
      <c r="F669" t="s">
        <v>145</v>
      </c>
      <c r="G669" t="s">
        <v>171</v>
      </c>
      <c r="H669" t="s">
        <v>89</v>
      </c>
      <c r="I669">
        <v>5</v>
      </c>
      <c r="J669" s="2">
        <v>377.75</v>
      </c>
      <c r="K669" s="4">
        <v>0.1</v>
      </c>
      <c r="L669" t="s">
        <v>98</v>
      </c>
      <c r="M669">
        <v>7</v>
      </c>
      <c r="N669" t="s">
        <v>91</v>
      </c>
      <c r="O669" t="str">
        <f>SUBSTITUTE(PROPER(TRIM(RawSalesTable[[#This Row],[Channel_Raw]])), "Market Place", "Marketplace")</f>
        <v>Online</v>
      </c>
      <c r="P669" t="str">
        <f>TRIM(RawSalesTable[[#This Row],[Store_Raw]])</f>
        <v>Calgary North</v>
      </c>
      <c r="Q669" t="str">
        <f>IF(TRIM(RawSalesTable[[#This Row],[Payment_Method_Raw]])="","Non renseigné",SUBSTITUTE(TRIM(RawSalesTable[[#This Row],[Payment_Method_Raw]]),"CC","Credit Card"))</f>
        <v>Debit Card</v>
      </c>
      <c r="R669" s="8" t="str">
        <f>UPPER(PROPER(RawSalesTable[[#This Row],[Customer_ID]]))</f>
        <v>C0063</v>
      </c>
      <c r="S669" s="8" t="str">
        <f>TRIM(LEFT(RawSalesTable[[#This Row],[Customer_Info]],FIND(",",RawSalesTable[[#This Row],[Customer_Info]]) -1))</f>
        <v>Adam Singh</v>
      </c>
      <c r="T669" s="8" t="str">
        <f>TRIM(MID(RawSalesTable[[#This Row],[Customer_Info]],FIND(",",RawSalesTable[[#This Row],[Customer_Info]])+1,FIND(",",RawSalesTable[[#This Row],[Customer_Info]],FIND(",",RawSalesTable[[#This Row],[Customer_Info]])+1)-FIND(",",RawSalesTable[[#This Row],[Customer_Info]])-1))</f>
        <v>Laval</v>
      </c>
      <c r="U669" s="8" t="str">
        <f>TRIM(RIGHT(RawSalesTable[[#This Row],[Customer_Info]], LEN(RawSalesTable[[#This Row],[Customer_Info]])-FIND(",",RawSalesTable[[#This Row],[Customer_Info]],FIND(",",RawSalesTable[[#This Row],[Customer_Info]])+1)))</f>
        <v>Small Business</v>
      </c>
      <c r="V669" s="8" t="str">
        <f>VLOOKUP(RawSalesTable[[#This Row],[Product_ID]],ProductsTable[],2,FALSE)</f>
        <v>Headphones</v>
      </c>
      <c r="W669" s="8" t="str">
        <f>VLOOKUP(RawSalesTable[[#This Row],[Product_ID]],ProductsTable[],3,FALSE)</f>
        <v>Electronics</v>
      </c>
      <c r="X669" s="8">
        <f>VLOOKUP(RawSalesTable[[#This Row],[Product_ID]],ProductsTable[],5,FALSE)</f>
        <v>254.6</v>
      </c>
      <c r="Y669" s="8">
        <f>RawSalesTable[[#This Row],[Quantity]]*RawSalesTable[[#This Row],[Unit_Price]]</f>
        <v>1888.75</v>
      </c>
      <c r="Z669" s="8">
        <f>RawSalesTable[[#This Row],[Gross_Sales]]*RawSalesTable[[#This Row],[Discount_Pct]]</f>
        <v>188.875</v>
      </c>
      <c r="AA669" s="8">
        <f>RawSalesTable[[#This Row],[Gross_Sales]]-RawSalesTable[[#This Row],[Discount_Amount]]</f>
        <v>1699.875</v>
      </c>
      <c r="AB669" s="8">
        <f>RawSalesTable[[#This Row],[Unit_Cost]]*RawSalesTable[[#This Row],[Quantity]]</f>
        <v>1273</v>
      </c>
      <c r="AC669" s="8">
        <f>RawSalesTable[[#This Row],[Net_Sales]]-RawSalesTable[[#This Row],[Total_Cost]]</f>
        <v>426.875</v>
      </c>
      <c r="AD669" s="9">
        <f>RawSalesTable[[#This Row],[Profit]]/RawSalesTable[[#This Row],[Net_Sales]]</f>
        <v>0.25112140598573424</v>
      </c>
      <c r="AE669" s="8">
        <f>IF(RawSalesTable[[#This Row],[Return_Status]]="Yes",1,0)</f>
        <v>0</v>
      </c>
      <c r="AF669" s="8">
        <f>YEAR(RawSalesTable[[#This Row],[Order_Date]])</f>
        <v>2025</v>
      </c>
      <c r="AG669" s="8">
        <f>MONTH(RawSalesTable[[#This Row],[Order_Date]])</f>
        <v>11</v>
      </c>
      <c r="AH669" s="8" t="str">
        <f>TEXT(RawSalesTable[[#This Row],[Order_Date]],"mmmm")</f>
        <v>novembre</v>
      </c>
      <c r="AI669" s="8" t="str">
        <f>IF(RawSalesTable[[#This Row],[Month_Number]]&lt;=3,"Q1",IF(RawSalesTable[[#This Row],[Month_Number]]&lt;=6,"Q2",IF(RawSalesTable[[#This Row],[Month_Number]]&lt;=9,"Q3","Q4")))</f>
        <v>Q4</v>
      </c>
      <c r="AJ669" s="13">
        <f>DATE(YEAR(RawSalesTable[[#This Row],[Order_Date]]),MONTH(RawSalesTable[[#This Row],[Order_Date]]),1)</f>
        <v>45962</v>
      </c>
      <c r="AK669" s="8" t="str">
        <f>VLOOKUP(RawSalesTable[[#This Row],[Customer_ID_clean]],CustomersTable[],4,FALSE)</f>
        <v>Quebec</v>
      </c>
    </row>
    <row r="670" spans="1:37">
      <c r="A670" t="s">
        <v>1119</v>
      </c>
      <c r="B670" s="3">
        <v>45951</v>
      </c>
      <c r="C670" t="s">
        <v>363</v>
      </c>
      <c r="D670" t="s">
        <v>139</v>
      </c>
      <c r="E670" t="s">
        <v>364</v>
      </c>
      <c r="F670" t="s">
        <v>116</v>
      </c>
      <c r="G670" t="s">
        <v>104</v>
      </c>
      <c r="H670" t="s">
        <v>167</v>
      </c>
      <c r="I670">
        <v>1</v>
      </c>
      <c r="J670" s="2">
        <v>83.34</v>
      </c>
      <c r="K670" s="4">
        <v>0.15</v>
      </c>
      <c r="L670" t="s">
        <v>369</v>
      </c>
      <c r="M670">
        <v>2</v>
      </c>
      <c r="N670" t="s">
        <v>91</v>
      </c>
      <c r="O670" t="str">
        <f>SUBSTITUTE(PROPER(TRIM(RawSalesTable[[#This Row],[Channel_Raw]])), "Market Place", "Marketplace")</f>
        <v>Marketplace</v>
      </c>
      <c r="P670" t="str">
        <f>TRIM(RawSalesTable[[#This Row],[Store_Raw]])</f>
        <v>Toronto Downtown</v>
      </c>
      <c r="Q670" t="str">
        <f>IF(TRIM(RawSalesTable[[#This Row],[Payment_Method_Raw]])="","Non renseigné",SUBSTITUTE(TRIM(RawSalesTable[[#This Row],[Payment_Method_Raw]]),"CC","Credit Card"))</f>
        <v>Paypal</v>
      </c>
      <c r="R670" s="8" t="str">
        <f>UPPER(PROPER(RawSalesTable[[#This Row],[Customer_ID]]))</f>
        <v>C0025</v>
      </c>
      <c r="S670" s="8" t="str">
        <f>TRIM(LEFT(RawSalesTable[[#This Row],[Customer_Info]],FIND(",",RawSalesTable[[#This Row],[Customer_Info]]) -1))</f>
        <v>Emma Gagnon</v>
      </c>
      <c r="T670" s="8" t="str">
        <f>TRIM(MID(RawSalesTable[[#This Row],[Customer_Info]],FIND(",",RawSalesTable[[#This Row],[Customer_Info]])+1,FIND(",",RawSalesTable[[#This Row],[Customer_Info]],FIND(",",RawSalesTable[[#This Row],[Customer_Info]])+1)-FIND(",",RawSalesTable[[#This Row],[Customer_Info]])-1))</f>
        <v>Surrey</v>
      </c>
      <c r="U670" s="8" t="str">
        <f>TRIM(RIGHT(RawSalesTable[[#This Row],[Customer_Info]], LEN(RawSalesTable[[#This Row],[Customer_Info]])-FIND(",",RawSalesTable[[#This Row],[Customer_Info]],FIND(",",RawSalesTable[[#This Row],[Customer_Info]])+1)))</f>
        <v>Corporate</v>
      </c>
      <c r="V670" s="8" t="str">
        <f>VLOOKUP(RawSalesTable[[#This Row],[Product_ID]],ProductsTable[],2,FALSE)</f>
        <v>Standing Desk</v>
      </c>
      <c r="W670" s="8" t="str">
        <f>VLOOKUP(RawSalesTable[[#This Row],[Product_ID]],ProductsTable[],3,FALSE)</f>
        <v>Office</v>
      </c>
      <c r="X670" s="8">
        <f>VLOOKUP(RawSalesTable[[#This Row],[Product_ID]],ProductsTable[],5,FALSE)</f>
        <v>45.17</v>
      </c>
      <c r="Y670" s="8">
        <f>RawSalesTable[[#This Row],[Quantity]]*RawSalesTable[[#This Row],[Unit_Price]]</f>
        <v>83.34</v>
      </c>
      <c r="Z670" s="8">
        <f>RawSalesTable[[#This Row],[Gross_Sales]]*RawSalesTable[[#This Row],[Discount_Pct]]</f>
        <v>12.500999999999999</v>
      </c>
      <c r="AA670" s="8">
        <f>RawSalesTable[[#This Row],[Gross_Sales]]-RawSalesTable[[#This Row],[Discount_Amount]]</f>
        <v>70.838999999999999</v>
      </c>
      <c r="AB670" s="8">
        <f>RawSalesTable[[#This Row],[Unit_Cost]]*RawSalesTable[[#This Row],[Quantity]]</f>
        <v>45.17</v>
      </c>
      <c r="AC670" s="8">
        <f>RawSalesTable[[#This Row],[Net_Sales]]-RawSalesTable[[#This Row],[Total_Cost]]</f>
        <v>25.668999999999997</v>
      </c>
      <c r="AD670" s="9">
        <f>RawSalesTable[[#This Row],[Profit]]/RawSalesTable[[#This Row],[Net_Sales]]</f>
        <v>0.36235689380143704</v>
      </c>
      <c r="AE670" s="8">
        <f>IF(RawSalesTable[[#This Row],[Return_Status]]="Yes",1,0)</f>
        <v>0</v>
      </c>
      <c r="AF670" s="8">
        <f>YEAR(RawSalesTable[[#This Row],[Order_Date]])</f>
        <v>2025</v>
      </c>
      <c r="AG670" s="8">
        <f>MONTH(RawSalesTable[[#This Row],[Order_Date]])</f>
        <v>10</v>
      </c>
      <c r="AH670" s="8" t="str">
        <f>TEXT(RawSalesTable[[#This Row],[Order_Date]],"mmmm")</f>
        <v>octobre</v>
      </c>
      <c r="AI670" s="8" t="str">
        <f>IF(RawSalesTable[[#This Row],[Month_Number]]&lt;=3,"Q1",IF(RawSalesTable[[#This Row],[Month_Number]]&lt;=6,"Q2",IF(RawSalesTable[[#This Row],[Month_Number]]&lt;=9,"Q3","Q4")))</f>
        <v>Q4</v>
      </c>
      <c r="AJ670" s="13">
        <f>DATE(YEAR(RawSalesTable[[#This Row],[Order_Date]]),MONTH(RawSalesTable[[#This Row],[Order_Date]]),1)</f>
        <v>45931</v>
      </c>
      <c r="AK670" s="8" t="str">
        <f>VLOOKUP(RawSalesTable[[#This Row],[Customer_ID_clean]],CustomersTable[],4,FALSE)</f>
        <v>British Columbia</v>
      </c>
    </row>
    <row r="671" spans="1:37">
      <c r="A671" t="s">
        <v>1120</v>
      </c>
      <c r="B671" s="3">
        <v>45879</v>
      </c>
      <c r="C671" t="s">
        <v>279</v>
      </c>
      <c r="D671" t="s">
        <v>231</v>
      </c>
      <c r="E671" t="s">
        <v>280</v>
      </c>
      <c r="F671" t="s">
        <v>116</v>
      </c>
      <c r="G671" t="s">
        <v>96</v>
      </c>
      <c r="H671" t="s">
        <v>97</v>
      </c>
      <c r="I671">
        <v>1</v>
      </c>
      <c r="J671" s="2">
        <v>354.02</v>
      </c>
      <c r="K671" s="4">
        <v>0.15</v>
      </c>
      <c r="L671" t="s">
        <v>90</v>
      </c>
      <c r="M671">
        <v>0</v>
      </c>
      <c r="N671" t="s">
        <v>147</v>
      </c>
      <c r="O671" t="str">
        <f>SUBSTITUTE(PROPER(TRIM(RawSalesTable[[#This Row],[Channel_Raw]])), "Market Place", "Marketplace")</f>
        <v>Retail Store</v>
      </c>
      <c r="P671" t="str">
        <f>TRIM(RawSalesTable[[#This Row],[Store_Raw]])</f>
        <v>Toronto Downtown</v>
      </c>
      <c r="Q671" t="str">
        <f>IF(TRIM(RawSalesTable[[#This Row],[Payment_Method_Raw]])="","Non renseigné",SUBSTITUTE(TRIM(RawSalesTable[[#This Row],[Payment_Method_Raw]]),"CC","Credit Card"))</f>
        <v>PayPal</v>
      </c>
      <c r="R671" s="8" t="str">
        <f>UPPER(PROPER(RawSalesTable[[#This Row],[Customer_ID]]))</f>
        <v>C0069</v>
      </c>
      <c r="S671" s="8" t="str">
        <f>TRIM(LEFT(RawSalesTable[[#This Row],[Customer_Info]],FIND(",",RawSalesTable[[#This Row],[Customer_Info]]) -1))</f>
        <v>Sarah White</v>
      </c>
      <c r="T671" s="8" t="str">
        <f>TRIM(MID(RawSalesTable[[#This Row],[Customer_Info]],FIND(",",RawSalesTable[[#This Row],[Customer_Info]])+1,FIND(",",RawSalesTable[[#This Row],[Customer_Info]],FIND(",",RawSalesTable[[#This Row],[Customer_Info]])+1)-FIND(",",RawSalesTable[[#This Row],[Customer_Info]])-1))</f>
        <v>Ottawa</v>
      </c>
      <c r="U671" s="8" t="str">
        <f>TRIM(RIGHT(RawSalesTable[[#This Row],[Customer_Info]], LEN(RawSalesTable[[#This Row],[Customer_Info]])-FIND(",",RawSalesTable[[#This Row],[Customer_Info]],FIND(",",RawSalesTable[[#This Row],[Customer_Info]])+1)))</f>
        <v>Consumer</v>
      </c>
      <c r="V671" s="8" t="str">
        <f>VLOOKUP(RawSalesTable[[#This Row],[Product_ID]],ProductsTable[],2,FALSE)</f>
        <v>Cable Set</v>
      </c>
      <c r="W671" s="8" t="str">
        <f>VLOOKUP(RawSalesTable[[#This Row],[Product_ID]],ProductsTable[],3,FALSE)</f>
        <v>Accessories</v>
      </c>
      <c r="X671" s="8">
        <f>VLOOKUP(RawSalesTable[[#This Row],[Product_ID]],ProductsTable[],5,FALSE)</f>
        <v>200.16</v>
      </c>
      <c r="Y671" s="8">
        <f>RawSalesTable[[#This Row],[Quantity]]*RawSalesTable[[#This Row],[Unit_Price]]</f>
        <v>354.02</v>
      </c>
      <c r="Z671" s="8">
        <f>RawSalesTable[[#This Row],[Gross_Sales]]*RawSalesTable[[#This Row],[Discount_Pct]]</f>
        <v>53.102999999999994</v>
      </c>
      <c r="AA671" s="8">
        <f>RawSalesTable[[#This Row],[Gross_Sales]]-RawSalesTable[[#This Row],[Discount_Amount]]</f>
        <v>300.91699999999997</v>
      </c>
      <c r="AB671" s="8">
        <f>RawSalesTable[[#This Row],[Unit_Cost]]*RawSalesTable[[#This Row],[Quantity]]</f>
        <v>200.16</v>
      </c>
      <c r="AC671" s="8">
        <f>RawSalesTable[[#This Row],[Net_Sales]]-RawSalesTable[[#This Row],[Total_Cost]]</f>
        <v>100.75699999999998</v>
      </c>
      <c r="AD671" s="9">
        <f>RawSalesTable[[#This Row],[Profit]]/RawSalesTable[[#This Row],[Net_Sales]]</f>
        <v>0.3348331932061</v>
      </c>
      <c r="AE671" s="8">
        <f>IF(RawSalesTable[[#This Row],[Return_Status]]="Yes",1,0)</f>
        <v>1</v>
      </c>
      <c r="AF671" s="8">
        <f>YEAR(RawSalesTable[[#This Row],[Order_Date]])</f>
        <v>2025</v>
      </c>
      <c r="AG671" s="8">
        <f>MONTH(RawSalesTable[[#This Row],[Order_Date]])</f>
        <v>8</v>
      </c>
      <c r="AH671" s="8" t="str">
        <f>TEXT(RawSalesTable[[#This Row],[Order_Date]],"mmmm")</f>
        <v>août</v>
      </c>
      <c r="AI671" s="8" t="str">
        <f>IF(RawSalesTable[[#This Row],[Month_Number]]&lt;=3,"Q1",IF(RawSalesTable[[#This Row],[Month_Number]]&lt;=6,"Q2",IF(RawSalesTable[[#This Row],[Month_Number]]&lt;=9,"Q3","Q4")))</f>
        <v>Q3</v>
      </c>
      <c r="AJ671" s="13">
        <f>DATE(YEAR(RawSalesTable[[#This Row],[Order_Date]]),MONTH(RawSalesTable[[#This Row],[Order_Date]]),1)</f>
        <v>45870</v>
      </c>
      <c r="AK671" s="8" t="str">
        <f>VLOOKUP(RawSalesTable[[#This Row],[Customer_ID_clean]],CustomersTable[],4,FALSE)</f>
        <v>Ontario</v>
      </c>
    </row>
    <row r="672" spans="1:37">
      <c r="A672" t="s">
        <v>1121</v>
      </c>
      <c r="B672" s="3">
        <v>45992</v>
      </c>
      <c r="C672" t="s">
        <v>675</v>
      </c>
      <c r="D672" t="s">
        <v>303</v>
      </c>
      <c r="E672" t="s">
        <v>676</v>
      </c>
      <c r="F672" t="s">
        <v>103</v>
      </c>
      <c r="G672" t="s">
        <v>122</v>
      </c>
      <c r="H672" t="s">
        <v>89</v>
      </c>
      <c r="I672">
        <v>1</v>
      </c>
      <c r="J672" s="2">
        <v>163.31</v>
      </c>
      <c r="K672" s="4">
        <v>0.2</v>
      </c>
      <c r="L672" t="s">
        <v>106</v>
      </c>
      <c r="M672">
        <v>3</v>
      </c>
      <c r="N672" t="s">
        <v>91</v>
      </c>
      <c r="O672" t="str">
        <f>SUBSTITUTE(PROPER(TRIM(RawSalesTable[[#This Row],[Channel_Raw]])), "Market Place", "Marketplace")</f>
        <v>Online</v>
      </c>
      <c r="P672" t="str">
        <f>TRIM(RawSalesTable[[#This Row],[Store_Raw]])</f>
        <v>Vancouver West</v>
      </c>
      <c r="Q672" t="str">
        <f>IF(TRIM(RawSalesTable[[#This Row],[Payment_Method_Raw]])="","Non renseigné",SUBSTITUTE(TRIM(RawSalesTable[[#This Row],[Payment_Method_Raw]]),"CC","Credit Card"))</f>
        <v>Credit Card</v>
      </c>
      <c r="R672" s="8" t="str">
        <f>UPPER(PROPER(RawSalesTable[[#This Row],[Customer_ID]]))</f>
        <v>C0101</v>
      </c>
      <c r="S672" s="8" t="str">
        <f>TRIM(LEFT(RawSalesTable[[#This Row],[Customer_Info]],FIND(",",RawSalesTable[[#This Row],[Customer_Info]]) -1))</f>
        <v>Noah Martin</v>
      </c>
      <c r="T672" s="8" t="str">
        <f>TRIM(MID(RawSalesTable[[#This Row],[Customer_Info]],FIND(",",RawSalesTable[[#This Row],[Customer_Info]])+1,FIND(",",RawSalesTable[[#This Row],[Customer_Info]],FIND(",",RawSalesTable[[#This Row],[Customer_Info]])+1)-FIND(",",RawSalesTable[[#This Row],[Customer_Info]])-1))</f>
        <v>Saskatoon</v>
      </c>
      <c r="U672" s="8" t="str">
        <f>TRIM(RIGHT(RawSalesTable[[#This Row],[Customer_Info]], LEN(RawSalesTable[[#This Row],[Customer_Info]])-FIND(",",RawSalesTable[[#This Row],[Customer_Info]],FIND(",",RawSalesTable[[#This Row],[Customer_Info]])+1)))</f>
        <v>Small Business</v>
      </c>
      <c r="V672" s="8" t="str">
        <f>VLOOKUP(RawSalesTable[[#This Row],[Product_ID]],ProductsTable[],2,FALSE)</f>
        <v>Power Bank</v>
      </c>
      <c r="W672" s="8" t="str">
        <f>VLOOKUP(RawSalesTable[[#This Row],[Product_ID]],ProductsTable[],3,FALSE)</f>
        <v>Accessories</v>
      </c>
      <c r="X672" s="8">
        <f>VLOOKUP(RawSalesTable[[#This Row],[Product_ID]],ProductsTable[],5,FALSE)</f>
        <v>76.97</v>
      </c>
      <c r="Y672" s="8">
        <f>RawSalesTable[[#This Row],[Quantity]]*RawSalesTable[[#This Row],[Unit_Price]]</f>
        <v>163.31</v>
      </c>
      <c r="Z672" s="8">
        <f>RawSalesTable[[#This Row],[Gross_Sales]]*RawSalesTable[[#This Row],[Discount_Pct]]</f>
        <v>32.661999999999999</v>
      </c>
      <c r="AA672" s="8">
        <f>RawSalesTable[[#This Row],[Gross_Sales]]-RawSalesTable[[#This Row],[Discount_Amount]]</f>
        <v>130.648</v>
      </c>
      <c r="AB672" s="8">
        <f>RawSalesTable[[#This Row],[Unit_Cost]]*RawSalesTable[[#This Row],[Quantity]]</f>
        <v>76.97</v>
      </c>
      <c r="AC672" s="8">
        <f>RawSalesTable[[#This Row],[Net_Sales]]-RawSalesTable[[#This Row],[Total_Cost]]</f>
        <v>53.677999999999997</v>
      </c>
      <c r="AD672" s="9">
        <f>RawSalesTable[[#This Row],[Profit]]/RawSalesTable[[#This Row],[Net_Sales]]</f>
        <v>0.41085971465311372</v>
      </c>
      <c r="AE672" s="8">
        <f>IF(RawSalesTable[[#This Row],[Return_Status]]="Yes",1,0)</f>
        <v>0</v>
      </c>
      <c r="AF672" s="8">
        <f>YEAR(RawSalesTable[[#This Row],[Order_Date]])</f>
        <v>2025</v>
      </c>
      <c r="AG672" s="8">
        <f>MONTH(RawSalesTable[[#This Row],[Order_Date]])</f>
        <v>12</v>
      </c>
      <c r="AH672" s="8" t="str">
        <f>TEXT(RawSalesTable[[#This Row],[Order_Date]],"mmmm")</f>
        <v>décembre</v>
      </c>
      <c r="AI672" s="8" t="str">
        <f>IF(RawSalesTable[[#This Row],[Month_Number]]&lt;=3,"Q1",IF(RawSalesTable[[#This Row],[Month_Number]]&lt;=6,"Q2",IF(RawSalesTable[[#This Row],[Month_Number]]&lt;=9,"Q3","Q4")))</f>
        <v>Q4</v>
      </c>
      <c r="AJ672" s="13">
        <f>DATE(YEAR(RawSalesTable[[#This Row],[Order_Date]]),MONTH(RawSalesTable[[#This Row],[Order_Date]]),1)</f>
        <v>45992</v>
      </c>
      <c r="AK672" s="8" t="str">
        <f>VLOOKUP(RawSalesTable[[#This Row],[Customer_ID_clean]],CustomersTable[],4,FALSE)</f>
        <v>Saskatchewan</v>
      </c>
    </row>
    <row r="673" spans="1:37">
      <c r="A673" t="s">
        <v>1122</v>
      </c>
      <c r="B673" s="3">
        <v>46012</v>
      </c>
      <c r="C673" t="s">
        <v>359</v>
      </c>
      <c r="D673" t="s">
        <v>346</v>
      </c>
      <c r="E673" t="s">
        <v>361</v>
      </c>
      <c r="F673" t="s">
        <v>87</v>
      </c>
      <c r="G673" t="s">
        <v>96</v>
      </c>
      <c r="H673" t="s">
        <v>89</v>
      </c>
      <c r="I673">
        <v>2</v>
      </c>
      <c r="J673" s="2">
        <v>243.64</v>
      </c>
      <c r="K673" s="4">
        <v>0.25</v>
      </c>
      <c r="L673" t="s">
        <v>521</v>
      </c>
      <c r="M673">
        <v>1</v>
      </c>
      <c r="N673" t="s">
        <v>91</v>
      </c>
      <c r="O673" t="str">
        <f>SUBSTITUTE(PROPER(TRIM(RawSalesTable[[#This Row],[Channel_Raw]])), "Market Place", "Marketplace")</f>
        <v>Online</v>
      </c>
      <c r="P673" t="str">
        <f>TRIM(RawSalesTable[[#This Row],[Store_Raw]])</f>
        <v>Online Fulfillment</v>
      </c>
      <c r="Q673" t="str">
        <f>IF(TRIM(RawSalesTable[[#This Row],[Payment_Method_Raw]])="","Non renseigné",SUBSTITUTE(TRIM(RawSalesTable[[#This Row],[Payment_Method_Raw]]),"CC","Credit Card"))</f>
        <v>debit card</v>
      </c>
      <c r="R673" s="8" t="str">
        <f>UPPER(PROPER(RawSalesTable[[#This Row],[Customer_ID]]))</f>
        <v>C0044</v>
      </c>
      <c r="S673" s="8" t="str">
        <f>TRIM(LEFT(RawSalesTable[[#This Row],[Customer_Info]],FIND(",",RawSalesTable[[#This Row],[Customer_Info]]) -1))</f>
        <v>Nora Young</v>
      </c>
      <c r="T673" s="8" t="str">
        <f>TRIM(MID(RawSalesTable[[#This Row],[Customer_Info]],FIND(",",RawSalesTable[[#This Row],[Customer_Info]])+1,FIND(",",RawSalesTable[[#This Row],[Customer_Info]],FIND(",",RawSalesTable[[#This Row],[Customer_Info]])+1)-FIND(",",RawSalesTable[[#This Row],[Customer_Info]])-1))</f>
        <v>Vancouver</v>
      </c>
      <c r="U673" s="8" t="str">
        <f>TRIM(RIGHT(RawSalesTable[[#This Row],[Customer_Info]], LEN(RawSalesTable[[#This Row],[Customer_Info]])-FIND(",",RawSalesTable[[#This Row],[Customer_Info]],FIND(",",RawSalesTable[[#This Row],[Customer_Info]])+1)))</f>
        <v>Corporate</v>
      </c>
      <c r="V673" s="8" t="str">
        <f>VLOOKUP(RawSalesTable[[#This Row],[Product_ID]],ProductsTable[],2,FALSE)</f>
        <v>Pull-up Bar</v>
      </c>
      <c r="W673" s="8" t="str">
        <f>VLOOKUP(RawSalesTable[[#This Row],[Product_ID]],ProductsTable[],3,FALSE)</f>
        <v>Fitness</v>
      </c>
      <c r="X673" s="8">
        <f>VLOOKUP(RawSalesTable[[#This Row],[Product_ID]],ProductsTable[],5,FALSE)</f>
        <v>125.4</v>
      </c>
      <c r="Y673" s="8">
        <f>RawSalesTable[[#This Row],[Quantity]]*RawSalesTable[[#This Row],[Unit_Price]]</f>
        <v>487.28</v>
      </c>
      <c r="Z673" s="8">
        <f>RawSalesTable[[#This Row],[Gross_Sales]]*RawSalesTable[[#This Row],[Discount_Pct]]</f>
        <v>121.82</v>
      </c>
      <c r="AA673" s="8">
        <f>RawSalesTable[[#This Row],[Gross_Sales]]-RawSalesTable[[#This Row],[Discount_Amount]]</f>
        <v>365.46</v>
      </c>
      <c r="AB673" s="8">
        <f>RawSalesTable[[#This Row],[Unit_Cost]]*RawSalesTable[[#This Row],[Quantity]]</f>
        <v>250.8</v>
      </c>
      <c r="AC673" s="8">
        <f>RawSalesTable[[#This Row],[Net_Sales]]-RawSalesTable[[#This Row],[Total_Cost]]</f>
        <v>114.65999999999997</v>
      </c>
      <c r="AD673" s="9">
        <f>RawSalesTable[[#This Row],[Profit]]/RawSalesTable[[#This Row],[Net_Sales]]</f>
        <v>0.31374158594647833</v>
      </c>
      <c r="AE673" s="8">
        <f>IF(RawSalesTable[[#This Row],[Return_Status]]="Yes",1,0)</f>
        <v>0</v>
      </c>
      <c r="AF673" s="8">
        <f>YEAR(RawSalesTable[[#This Row],[Order_Date]])</f>
        <v>2025</v>
      </c>
      <c r="AG673" s="8">
        <f>MONTH(RawSalesTable[[#This Row],[Order_Date]])</f>
        <v>12</v>
      </c>
      <c r="AH673" s="8" t="str">
        <f>TEXT(RawSalesTable[[#This Row],[Order_Date]],"mmmm")</f>
        <v>décembre</v>
      </c>
      <c r="AI673" s="8" t="str">
        <f>IF(RawSalesTable[[#This Row],[Month_Number]]&lt;=3,"Q1",IF(RawSalesTable[[#This Row],[Month_Number]]&lt;=6,"Q2",IF(RawSalesTable[[#This Row],[Month_Number]]&lt;=9,"Q3","Q4")))</f>
        <v>Q4</v>
      </c>
      <c r="AJ673" s="13">
        <f>DATE(YEAR(RawSalesTable[[#This Row],[Order_Date]]),MONTH(RawSalesTable[[#This Row],[Order_Date]]),1)</f>
        <v>45992</v>
      </c>
      <c r="AK673" s="8" t="str">
        <f>VLOOKUP(RawSalesTable[[#This Row],[Customer_ID_clean]],CustomersTable[],4,FALSE)</f>
        <v>British Columbia</v>
      </c>
    </row>
    <row r="674" spans="1:37">
      <c r="A674" t="s">
        <v>1123</v>
      </c>
      <c r="B674" s="3">
        <v>45795</v>
      </c>
      <c r="C674" t="s">
        <v>248</v>
      </c>
      <c r="D674" t="s">
        <v>738</v>
      </c>
      <c r="E674" t="s">
        <v>250</v>
      </c>
      <c r="F674" t="s">
        <v>111</v>
      </c>
      <c r="G674" t="s">
        <v>96</v>
      </c>
      <c r="H674" t="s">
        <v>89</v>
      </c>
      <c r="I674">
        <v>1</v>
      </c>
      <c r="J674" s="2">
        <v>333.13</v>
      </c>
      <c r="K674" s="4">
        <v>0</v>
      </c>
      <c r="L674" t="s">
        <v>106</v>
      </c>
      <c r="M674">
        <v>9</v>
      </c>
      <c r="N674" t="s">
        <v>91</v>
      </c>
      <c r="O674" t="str">
        <f>SUBSTITUTE(PROPER(TRIM(RawSalesTable[[#This Row],[Channel_Raw]])), "Market Place", "Marketplace")</f>
        <v>Online</v>
      </c>
      <c r="P674" t="str">
        <f>TRIM(RawSalesTable[[#This Row],[Store_Raw]])</f>
        <v>Montreal Central</v>
      </c>
      <c r="Q674" t="str">
        <f>IF(TRIM(RawSalesTable[[#This Row],[Payment_Method_Raw]])="","Non renseigné",SUBSTITUTE(TRIM(RawSalesTable[[#This Row],[Payment_Method_Raw]]),"CC","Credit Card"))</f>
        <v>Credit Card</v>
      </c>
      <c r="R674" s="8" t="str">
        <f>UPPER(PROPER(RawSalesTable[[#This Row],[Customer_ID]]))</f>
        <v>C0012</v>
      </c>
      <c r="S674" s="8" t="str">
        <f>TRIM(LEFT(RawSalesTable[[#This Row],[Customer_Info]],FIND(",",RawSalesTable[[#This Row],[Customer_Info]]) -1))</f>
        <v>Daniel Taylor</v>
      </c>
      <c r="T674" s="8" t="str">
        <f>TRIM(MID(RawSalesTable[[#This Row],[Customer_Info]],FIND(",",RawSalesTable[[#This Row],[Customer_Info]])+1,FIND(",",RawSalesTable[[#This Row],[Customer_Info]],FIND(",",RawSalesTable[[#This Row],[Customer_Info]])+1)-FIND(",",RawSalesTable[[#This Row],[Customer_Info]])-1))</f>
        <v>Victoria</v>
      </c>
      <c r="U674" s="8" t="str">
        <f>TRIM(RIGHT(RawSalesTable[[#This Row],[Customer_Info]], LEN(RawSalesTable[[#This Row],[Customer_Info]])-FIND(",",RawSalesTable[[#This Row],[Customer_Info]],FIND(",",RawSalesTable[[#This Row],[Customer_Info]])+1)))</f>
        <v>Corporate</v>
      </c>
      <c r="V674" s="8" t="str">
        <f>VLOOKUP(RawSalesTable[[#This Row],[Product_ID]],ProductsTable[],2,FALSE)</f>
        <v>Printer</v>
      </c>
      <c r="W674" s="8" t="str">
        <f>VLOOKUP(RawSalesTable[[#This Row],[Product_ID]],ProductsTable[],3,FALSE)</f>
        <v>Office</v>
      </c>
      <c r="X674" s="8">
        <f>VLOOKUP(RawSalesTable[[#This Row],[Product_ID]],ProductsTable[],5,FALSE)</f>
        <v>156.75</v>
      </c>
      <c r="Y674" s="8">
        <f>RawSalesTable[[#This Row],[Quantity]]*RawSalesTable[[#This Row],[Unit_Price]]</f>
        <v>333.13</v>
      </c>
      <c r="Z674" s="8">
        <f>RawSalesTable[[#This Row],[Gross_Sales]]*RawSalesTable[[#This Row],[Discount_Pct]]</f>
        <v>0</v>
      </c>
      <c r="AA674" s="8">
        <f>RawSalesTable[[#This Row],[Gross_Sales]]-RawSalesTable[[#This Row],[Discount_Amount]]</f>
        <v>333.13</v>
      </c>
      <c r="AB674" s="8">
        <f>RawSalesTable[[#This Row],[Unit_Cost]]*RawSalesTable[[#This Row],[Quantity]]</f>
        <v>156.75</v>
      </c>
      <c r="AC674" s="8">
        <f>RawSalesTable[[#This Row],[Net_Sales]]-RawSalesTable[[#This Row],[Total_Cost]]</f>
        <v>176.38</v>
      </c>
      <c r="AD674" s="9">
        <f>RawSalesTable[[#This Row],[Profit]]/RawSalesTable[[#This Row],[Net_Sales]]</f>
        <v>0.52946297241317208</v>
      </c>
      <c r="AE674" s="8">
        <f>IF(RawSalesTable[[#This Row],[Return_Status]]="Yes",1,0)</f>
        <v>0</v>
      </c>
      <c r="AF674" s="8">
        <f>YEAR(RawSalesTable[[#This Row],[Order_Date]])</f>
        <v>2025</v>
      </c>
      <c r="AG674" s="8">
        <f>MONTH(RawSalesTable[[#This Row],[Order_Date]])</f>
        <v>5</v>
      </c>
      <c r="AH674" s="8" t="str">
        <f>TEXT(RawSalesTable[[#This Row],[Order_Date]],"mmmm")</f>
        <v>mai</v>
      </c>
      <c r="AI674" s="8" t="str">
        <f>IF(RawSalesTable[[#This Row],[Month_Number]]&lt;=3,"Q1",IF(RawSalesTable[[#This Row],[Month_Number]]&lt;=6,"Q2",IF(RawSalesTable[[#This Row],[Month_Number]]&lt;=9,"Q3","Q4")))</f>
        <v>Q2</v>
      </c>
      <c r="AJ674" s="13">
        <f>DATE(YEAR(RawSalesTable[[#This Row],[Order_Date]]),MONTH(RawSalesTable[[#This Row],[Order_Date]]),1)</f>
        <v>45778</v>
      </c>
      <c r="AK674" s="8" t="str">
        <f>VLOOKUP(RawSalesTable[[#This Row],[Customer_ID_clean]],CustomersTable[],4,FALSE)</f>
        <v>British Columbia</v>
      </c>
    </row>
    <row r="675" spans="1:37">
      <c r="A675" t="s">
        <v>1124</v>
      </c>
      <c r="B675" s="3">
        <v>45725</v>
      </c>
      <c r="C675" t="s">
        <v>84</v>
      </c>
      <c r="D675" t="s">
        <v>94</v>
      </c>
      <c r="E675" t="s">
        <v>629</v>
      </c>
      <c r="F675" t="s">
        <v>111</v>
      </c>
      <c r="G675" t="s">
        <v>171</v>
      </c>
      <c r="H675" t="s">
        <v>89</v>
      </c>
      <c r="I675">
        <v>1</v>
      </c>
      <c r="J675" s="2">
        <v>300.93</v>
      </c>
      <c r="K675" s="4">
        <v>0.15</v>
      </c>
      <c r="L675" t="s">
        <v>106</v>
      </c>
      <c r="M675">
        <v>6</v>
      </c>
      <c r="N675" t="s">
        <v>91</v>
      </c>
      <c r="O675" t="str">
        <f>SUBSTITUTE(PROPER(TRIM(RawSalesTable[[#This Row],[Channel_Raw]])), "Market Place", "Marketplace")</f>
        <v>Online</v>
      </c>
      <c r="P675" t="str">
        <f>TRIM(RawSalesTable[[#This Row],[Store_Raw]])</f>
        <v>Montreal Central</v>
      </c>
      <c r="Q675" t="str">
        <f>IF(TRIM(RawSalesTable[[#This Row],[Payment_Method_Raw]])="","Non renseigné",SUBSTITUTE(TRIM(RawSalesTable[[#This Row],[Payment_Method_Raw]]),"CC","Credit Card"))</f>
        <v>Credit Card</v>
      </c>
      <c r="R675" s="8" t="str">
        <f>UPPER(PROPER(RawSalesTable[[#This Row],[Customer_ID]]))</f>
        <v>C0113</v>
      </c>
      <c r="S675" s="8" t="str">
        <f>TRIM(LEFT(RawSalesTable[[#This Row],[Customer_Info]],FIND(",",RawSalesTable[[#This Row],[Customer_Info]]) -1))</f>
        <v>Olivia Johnson</v>
      </c>
      <c r="T675" s="8" t="str">
        <f>TRIM(MID(RawSalesTable[[#This Row],[Customer_Info]],FIND(",",RawSalesTable[[#This Row],[Customer_Info]])+1,FIND(",",RawSalesTable[[#This Row],[Customer_Info]],FIND(",",RawSalesTable[[#This Row],[Customer_Info]])+1)-FIND(",",RawSalesTable[[#This Row],[Customer_Info]])-1))</f>
        <v>Surrey</v>
      </c>
      <c r="U675" s="8" t="str">
        <f>TRIM(RIGHT(RawSalesTable[[#This Row],[Customer_Info]], LEN(RawSalesTable[[#This Row],[Customer_Info]])-FIND(",",RawSalesTable[[#This Row],[Customer_Info]],FIND(",",RawSalesTable[[#This Row],[Customer_Info]])+1)))</f>
        <v>Consumer</v>
      </c>
      <c r="V675" s="8" t="str">
        <f>VLOOKUP(RawSalesTable[[#This Row],[Product_ID]],ProductsTable[],2,FALSE)</f>
        <v>Backpack</v>
      </c>
      <c r="W675" s="8" t="str">
        <f>VLOOKUP(RawSalesTable[[#This Row],[Product_ID]],ProductsTable[],3,FALSE)</f>
        <v>Accessories</v>
      </c>
      <c r="X675" s="8">
        <f>VLOOKUP(RawSalesTable[[#This Row],[Product_ID]],ProductsTable[],5,FALSE)</f>
        <v>152.55000000000001</v>
      </c>
      <c r="Y675" s="8">
        <f>RawSalesTable[[#This Row],[Quantity]]*RawSalesTable[[#This Row],[Unit_Price]]</f>
        <v>300.93</v>
      </c>
      <c r="Z675" s="8">
        <f>RawSalesTable[[#This Row],[Gross_Sales]]*RawSalesTable[[#This Row],[Discount_Pct]]</f>
        <v>45.139499999999998</v>
      </c>
      <c r="AA675" s="8">
        <f>RawSalesTable[[#This Row],[Gross_Sales]]-RawSalesTable[[#This Row],[Discount_Amount]]</f>
        <v>255.79050000000001</v>
      </c>
      <c r="AB675" s="8">
        <f>RawSalesTable[[#This Row],[Unit_Cost]]*RawSalesTable[[#This Row],[Quantity]]</f>
        <v>152.55000000000001</v>
      </c>
      <c r="AC675" s="8">
        <f>RawSalesTable[[#This Row],[Net_Sales]]-RawSalesTable[[#This Row],[Total_Cost]]</f>
        <v>103.2405</v>
      </c>
      <c r="AD675" s="9">
        <f>RawSalesTable[[#This Row],[Profit]]/RawSalesTable[[#This Row],[Net_Sales]]</f>
        <v>0.40361350401989127</v>
      </c>
      <c r="AE675" s="8">
        <f>IF(RawSalesTable[[#This Row],[Return_Status]]="Yes",1,0)</f>
        <v>0</v>
      </c>
      <c r="AF675" s="8">
        <f>YEAR(RawSalesTable[[#This Row],[Order_Date]])</f>
        <v>2025</v>
      </c>
      <c r="AG675" s="8">
        <f>MONTH(RawSalesTable[[#This Row],[Order_Date]])</f>
        <v>3</v>
      </c>
      <c r="AH675" s="8" t="str">
        <f>TEXT(RawSalesTable[[#This Row],[Order_Date]],"mmmm")</f>
        <v>mars</v>
      </c>
      <c r="AI675" s="8" t="str">
        <f>IF(RawSalesTable[[#This Row],[Month_Number]]&lt;=3,"Q1",IF(RawSalesTable[[#This Row],[Month_Number]]&lt;=6,"Q2",IF(RawSalesTable[[#This Row],[Month_Number]]&lt;=9,"Q3","Q4")))</f>
        <v>Q1</v>
      </c>
      <c r="AJ675" s="13">
        <f>DATE(YEAR(RawSalesTable[[#This Row],[Order_Date]]),MONTH(RawSalesTable[[#This Row],[Order_Date]]),1)</f>
        <v>45717</v>
      </c>
      <c r="AK675" s="8" t="str">
        <f>VLOOKUP(RawSalesTable[[#This Row],[Customer_ID_clean]],CustomersTable[],4,FALSE)</f>
        <v>British Columbia</v>
      </c>
    </row>
    <row r="676" spans="1:37">
      <c r="A676" t="s">
        <v>1125</v>
      </c>
      <c r="B676" s="3">
        <v>45969</v>
      </c>
      <c r="C676" t="s">
        <v>463</v>
      </c>
      <c r="D676" t="s">
        <v>226</v>
      </c>
      <c r="E676" t="s">
        <v>464</v>
      </c>
      <c r="F676" t="s">
        <v>87</v>
      </c>
      <c r="G676" t="s">
        <v>104</v>
      </c>
      <c r="H676" t="s">
        <v>89</v>
      </c>
      <c r="I676">
        <v>3</v>
      </c>
      <c r="J676" s="2">
        <v>211.4</v>
      </c>
      <c r="K676" s="4">
        <v>0.15</v>
      </c>
      <c r="M676">
        <v>2</v>
      </c>
      <c r="N676" t="s">
        <v>91</v>
      </c>
      <c r="O676" t="str">
        <f>SUBSTITUTE(PROPER(TRIM(RawSalesTable[[#This Row],[Channel_Raw]])), "Market Place", "Marketplace")</f>
        <v>Online</v>
      </c>
      <c r="P676" t="str">
        <f>TRIM(RawSalesTable[[#This Row],[Store_Raw]])</f>
        <v>Online Fulfillment</v>
      </c>
      <c r="Q676" t="str">
        <f>IF(TRIM(RawSalesTable[[#This Row],[Payment_Method_Raw]])="","Non renseigné",SUBSTITUTE(TRIM(RawSalesTable[[#This Row],[Payment_Method_Raw]]),"CC","Credit Card"))</f>
        <v>Non renseigné</v>
      </c>
      <c r="R676" s="8" t="str">
        <f>UPPER(PROPER(RawSalesTable[[#This Row],[Customer_ID]]))</f>
        <v>C0030</v>
      </c>
      <c r="S676" s="8" t="str">
        <f>TRIM(LEFT(RawSalesTable[[#This Row],[Customer_Info]],FIND(",",RawSalesTable[[#This Row],[Customer_Info]]) -1))</f>
        <v>Emma Lee</v>
      </c>
      <c r="T676" s="8" t="str">
        <f>TRIM(MID(RawSalesTable[[#This Row],[Customer_Info]],FIND(",",RawSalesTable[[#This Row],[Customer_Info]])+1,FIND(",",RawSalesTable[[#This Row],[Customer_Info]],FIND(",",RawSalesTable[[#This Row],[Customer_Info]])+1)-FIND(",",RawSalesTable[[#This Row],[Customer_Info]])-1))</f>
        <v>Calgary</v>
      </c>
      <c r="U676" s="8" t="str">
        <f>TRIM(RIGHT(RawSalesTable[[#This Row],[Customer_Info]], LEN(RawSalesTable[[#This Row],[Customer_Info]])-FIND(",",RawSalesTable[[#This Row],[Customer_Info]],FIND(",",RawSalesTable[[#This Row],[Customer_Info]])+1)))</f>
        <v>Corporate</v>
      </c>
      <c r="V676" s="8" t="str">
        <f>VLOOKUP(RawSalesTable[[#This Row],[Product_ID]],ProductsTable[],2,FALSE)</f>
        <v>Desk Lamp</v>
      </c>
      <c r="W676" s="8" t="str">
        <f>VLOOKUP(RawSalesTable[[#This Row],[Product_ID]],ProductsTable[],3,FALSE)</f>
        <v>Office</v>
      </c>
      <c r="X676" s="8">
        <f>VLOOKUP(RawSalesTable[[#This Row],[Product_ID]],ProductsTable[],5,FALSE)</f>
        <v>127.21</v>
      </c>
      <c r="Y676" s="8">
        <f>RawSalesTable[[#This Row],[Quantity]]*RawSalesTable[[#This Row],[Unit_Price]]</f>
        <v>634.20000000000005</v>
      </c>
      <c r="Z676" s="8">
        <f>RawSalesTable[[#This Row],[Gross_Sales]]*RawSalesTable[[#This Row],[Discount_Pct]]</f>
        <v>95.13000000000001</v>
      </c>
      <c r="AA676" s="8">
        <f>RawSalesTable[[#This Row],[Gross_Sales]]-RawSalesTable[[#This Row],[Discount_Amount]]</f>
        <v>539.07000000000005</v>
      </c>
      <c r="AB676" s="8">
        <f>RawSalesTable[[#This Row],[Unit_Cost]]*RawSalesTable[[#This Row],[Quantity]]</f>
        <v>381.63</v>
      </c>
      <c r="AC676" s="8">
        <f>RawSalesTable[[#This Row],[Net_Sales]]-RawSalesTable[[#This Row],[Total_Cost]]</f>
        <v>157.44000000000005</v>
      </c>
      <c r="AD676" s="9">
        <f>RawSalesTable[[#This Row],[Profit]]/RawSalesTable[[#This Row],[Net_Sales]]</f>
        <v>0.29205854527241365</v>
      </c>
      <c r="AE676" s="8">
        <f>IF(RawSalesTable[[#This Row],[Return_Status]]="Yes",1,0)</f>
        <v>0</v>
      </c>
      <c r="AF676" s="8">
        <f>YEAR(RawSalesTable[[#This Row],[Order_Date]])</f>
        <v>2025</v>
      </c>
      <c r="AG676" s="8">
        <f>MONTH(RawSalesTable[[#This Row],[Order_Date]])</f>
        <v>11</v>
      </c>
      <c r="AH676" s="8" t="str">
        <f>TEXT(RawSalesTable[[#This Row],[Order_Date]],"mmmm")</f>
        <v>novembre</v>
      </c>
      <c r="AI676" s="8" t="str">
        <f>IF(RawSalesTable[[#This Row],[Month_Number]]&lt;=3,"Q1",IF(RawSalesTable[[#This Row],[Month_Number]]&lt;=6,"Q2",IF(RawSalesTable[[#This Row],[Month_Number]]&lt;=9,"Q3","Q4")))</f>
        <v>Q4</v>
      </c>
      <c r="AJ676" s="13">
        <f>DATE(YEAR(RawSalesTable[[#This Row],[Order_Date]]),MONTH(RawSalesTable[[#This Row],[Order_Date]]),1)</f>
        <v>45962</v>
      </c>
      <c r="AK676" s="8" t="str">
        <f>VLOOKUP(RawSalesTable[[#This Row],[Customer_ID_clean]],CustomersTable[],4,FALSE)</f>
        <v>Alberta</v>
      </c>
    </row>
    <row r="677" spans="1:37">
      <c r="A677" t="s">
        <v>1126</v>
      </c>
      <c r="B677" s="3">
        <v>45980</v>
      </c>
      <c r="C677" t="s">
        <v>386</v>
      </c>
      <c r="D677" t="s">
        <v>194</v>
      </c>
      <c r="E677" t="s">
        <v>576</v>
      </c>
      <c r="F677" t="s">
        <v>116</v>
      </c>
      <c r="G677" t="s">
        <v>104</v>
      </c>
      <c r="H677" t="s">
        <v>89</v>
      </c>
      <c r="I677">
        <v>1</v>
      </c>
      <c r="J677" s="2">
        <v>196.11</v>
      </c>
      <c r="K677" s="4">
        <v>0.1</v>
      </c>
      <c r="L677" t="s">
        <v>98</v>
      </c>
      <c r="M677">
        <v>3</v>
      </c>
      <c r="N677" t="s">
        <v>91</v>
      </c>
      <c r="O677" t="str">
        <f>SUBSTITUTE(PROPER(TRIM(RawSalesTable[[#This Row],[Channel_Raw]])), "Market Place", "Marketplace")</f>
        <v>Online</v>
      </c>
      <c r="P677" t="str">
        <f>TRIM(RawSalesTable[[#This Row],[Store_Raw]])</f>
        <v>Toronto Downtown</v>
      </c>
      <c r="Q677" t="str">
        <f>IF(TRIM(RawSalesTable[[#This Row],[Payment_Method_Raw]])="","Non renseigné",SUBSTITUTE(TRIM(RawSalesTable[[#This Row],[Payment_Method_Raw]]),"CC","Credit Card"))</f>
        <v>Debit Card</v>
      </c>
      <c r="R677" s="8" t="str">
        <f>UPPER(PROPER(RawSalesTable[[#This Row],[Customer_ID]]))</f>
        <v>C0009</v>
      </c>
      <c r="S677" s="8" t="str">
        <f>TRIM(LEFT(RawSalesTable[[#This Row],[Customer_Info]],FIND(",",RawSalesTable[[#This Row],[Customer_Info]]) -1))</f>
        <v>Ethan Tremblay</v>
      </c>
      <c r="T677" s="8" t="str">
        <f>TRIM(MID(RawSalesTable[[#This Row],[Customer_Info]],FIND(",",RawSalesTable[[#This Row],[Customer_Info]])+1,FIND(",",RawSalesTable[[#This Row],[Customer_Info]],FIND(",",RawSalesTable[[#This Row],[Customer_Info]])+1)-FIND(",",RawSalesTable[[#This Row],[Customer_Info]])-1))</f>
        <v>Mississauga</v>
      </c>
      <c r="U677" s="8" t="str">
        <f>TRIM(RIGHT(RawSalesTable[[#This Row],[Customer_Info]], LEN(RawSalesTable[[#This Row],[Customer_Info]])-FIND(",",RawSalesTable[[#This Row],[Customer_Info]],FIND(",",RawSalesTable[[#This Row],[Customer_Info]])+1)))</f>
        <v>Corporate</v>
      </c>
      <c r="V677" s="8" t="str">
        <f>VLOOKUP(RawSalesTable[[#This Row],[Product_ID]],ProductsTable[],2,FALSE)</f>
        <v>Jump Rope</v>
      </c>
      <c r="W677" s="8" t="str">
        <f>VLOOKUP(RawSalesTable[[#This Row],[Product_ID]],ProductsTable[],3,FALSE)</f>
        <v>Fitness</v>
      </c>
      <c r="X677" s="8">
        <f>VLOOKUP(RawSalesTable[[#This Row],[Product_ID]],ProductsTable[],5,FALSE)</f>
        <v>101</v>
      </c>
      <c r="Y677" s="8">
        <f>RawSalesTable[[#This Row],[Quantity]]*RawSalesTable[[#This Row],[Unit_Price]]</f>
        <v>196.11</v>
      </c>
      <c r="Z677" s="8">
        <f>RawSalesTable[[#This Row],[Gross_Sales]]*RawSalesTable[[#This Row],[Discount_Pct]]</f>
        <v>19.611000000000004</v>
      </c>
      <c r="AA677" s="8">
        <f>RawSalesTable[[#This Row],[Gross_Sales]]-RawSalesTable[[#This Row],[Discount_Amount]]</f>
        <v>176.49900000000002</v>
      </c>
      <c r="AB677" s="8">
        <f>RawSalesTable[[#This Row],[Unit_Cost]]*RawSalesTable[[#This Row],[Quantity]]</f>
        <v>101</v>
      </c>
      <c r="AC677" s="8">
        <f>RawSalesTable[[#This Row],[Net_Sales]]-RawSalesTable[[#This Row],[Total_Cost]]</f>
        <v>75.499000000000024</v>
      </c>
      <c r="AD677" s="9">
        <f>RawSalesTable[[#This Row],[Profit]]/RawSalesTable[[#This Row],[Net_Sales]]</f>
        <v>0.42775879750026918</v>
      </c>
      <c r="AE677" s="8">
        <f>IF(RawSalesTable[[#This Row],[Return_Status]]="Yes",1,0)</f>
        <v>0</v>
      </c>
      <c r="AF677" s="8">
        <f>YEAR(RawSalesTable[[#This Row],[Order_Date]])</f>
        <v>2025</v>
      </c>
      <c r="AG677" s="8">
        <f>MONTH(RawSalesTable[[#This Row],[Order_Date]])</f>
        <v>11</v>
      </c>
      <c r="AH677" s="8" t="str">
        <f>TEXT(RawSalesTable[[#This Row],[Order_Date]],"mmmm")</f>
        <v>novembre</v>
      </c>
      <c r="AI677" s="8" t="str">
        <f>IF(RawSalesTable[[#This Row],[Month_Number]]&lt;=3,"Q1",IF(RawSalesTable[[#This Row],[Month_Number]]&lt;=6,"Q2",IF(RawSalesTable[[#This Row],[Month_Number]]&lt;=9,"Q3","Q4")))</f>
        <v>Q4</v>
      </c>
      <c r="AJ677" s="13">
        <f>DATE(YEAR(RawSalesTable[[#This Row],[Order_Date]]),MONTH(RawSalesTable[[#This Row],[Order_Date]]),1)</f>
        <v>45962</v>
      </c>
      <c r="AK677" s="8" t="str">
        <f>VLOOKUP(RawSalesTable[[#This Row],[Customer_ID_clean]],CustomersTable[],4,FALSE)</f>
        <v>Ontario</v>
      </c>
    </row>
    <row r="678" spans="1:37">
      <c r="A678" t="s">
        <v>1127</v>
      </c>
      <c r="B678" s="3">
        <v>45665</v>
      </c>
      <c r="C678" t="s">
        <v>180</v>
      </c>
      <c r="D678" t="s">
        <v>244</v>
      </c>
      <c r="E678" t="s">
        <v>182</v>
      </c>
      <c r="F678" t="s">
        <v>145</v>
      </c>
      <c r="G678" t="s">
        <v>171</v>
      </c>
      <c r="H678" t="s">
        <v>89</v>
      </c>
      <c r="I678">
        <v>2</v>
      </c>
      <c r="J678" s="2">
        <v>232.33</v>
      </c>
      <c r="K678" s="4">
        <v>0.15</v>
      </c>
      <c r="L678" t="s">
        <v>90</v>
      </c>
      <c r="M678">
        <v>5</v>
      </c>
      <c r="N678" t="s">
        <v>91</v>
      </c>
      <c r="O678" t="str">
        <f>SUBSTITUTE(PROPER(TRIM(RawSalesTable[[#This Row],[Channel_Raw]])), "Market Place", "Marketplace")</f>
        <v>Online</v>
      </c>
      <c r="P678" t="str">
        <f>TRIM(RawSalesTable[[#This Row],[Store_Raw]])</f>
        <v>Calgary North</v>
      </c>
      <c r="Q678" t="str">
        <f>IF(TRIM(RawSalesTable[[#This Row],[Payment_Method_Raw]])="","Non renseigné",SUBSTITUTE(TRIM(RawSalesTable[[#This Row],[Payment_Method_Raw]]),"CC","Credit Card"))</f>
        <v>PayPal</v>
      </c>
      <c r="R678" s="8" t="str">
        <f>UPPER(PROPER(RawSalesTable[[#This Row],[Customer_ID]]))</f>
        <v>C0085</v>
      </c>
      <c r="S678" s="8" t="str">
        <f>TRIM(LEFT(RawSalesTable[[#This Row],[Customer_Info]],FIND(",",RawSalesTable[[#This Row],[Customer_Info]]) -1))</f>
        <v>Yasmine Clark</v>
      </c>
      <c r="T678" s="8" t="str">
        <f>TRIM(MID(RawSalesTable[[#This Row],[Customer_Info]],FIND(",",RawSalesTable[[#This Row],[Customer_Info]])+1,FIND(",",RawSalesTable[[#This Row],[Customer_Info]],FIND(",",RawSalesTable[[#This Row],[Customer_Info]])+1)-FIND(",",RawSalesTable[[#This Row],[Customer_Info]])-1))</f>
        <v>Calgary</v>
      </c>
      <c r="U678" s="8" t="str">
        <f>TRIM(RIGHT(RawSalesTable[[#This Row],[Customer_Info]], LEN(RawSalesTable[[#This Row],[Customer_Info]])-FIND(",",RawSalesTable[[#This Row],[Customer_Info]],FIND(",",RawSalesTable[[#This Row],[Customer_Info]])+1)))</f>
        <v>Consumer</v>
      </c>
      <c r="V678" s="8" t="str">
        <f>VLOOKUP(RawSalesTable[[#This Row],[Product_ID]],ProductsTable[],2,FALSE)</f>
        <v>Portable SSD</v>
      </c>
      <c r="W678" s="8" t="str">
        <f>VLOOKUP(RawSalesTable[[#This Row],[Product_ID]],ProductsTable[],3,FALSE)</f>
        <v>Electronics</v>
      </c>
      <c r="X678" s="8">
        <f>VLOOKUP(RawSalesTable[[#This Row],[Product_ID]],ProductsTable[],5,FALSE)</f>
        <v>131.19</v>
      </c>
      <c r="Y678" s="8">
        <f>RawSalesTable[[#This Row],[Quantity]]*RawSalesTable[[#This Row],[Unit_Price]]</f>
        <v>464.66</v>
      </c>
      <c r="Z678" s="8">
        <f>RawSalesTable[[#This Row],[Gross_Sales]]*RawSalesTable[[#This Row],[Discount_Pct]]</f>
        <v>69.698999999999998</v>
      </c>
      <c r="AA678" s="8">
        <f>RawSalesTable[[#This Row],[Gross_Sales]]-RawSalesTable[[#This Row],[Discount_Amount]]</f>
        <v>394.96100000000001</v>
      </c>
      <c r="AB678" s="8">
        <f>RawSalesTable[[#This Row],[Unit_Cost]]*RawSalesTable[[#This Row],[Quantity]]</f>
        <v>262.38</v>
      </c>
      <c r="AC678" s="8">
        <f>RawSalesTable[[#This Row],[Net_Sales]]-RawSalesTable[[#This Row],[Total_Cost]]</f>
        <v>132.58100000000002</v>
      </c>
      <c r="AD678" s="9">
        <f>RawSalesTable[[#This Row],[Profit]]/RawSalesTable[[#This Row],[Net_Sales]]</f>
        <v>0.33568124447730285</v>
      </c>
      <c r="AE678" s="8">
        <f>IF(RawSalesTable[[#This Row],[Return_Status]]="Yes",1,0)</f>
        <v>0</v>
      </c>
      <c r="AF678" s="8">
        <f>YEAR(RawSalesTable[[#This Row],[Order_Date]])</f>
        <v>2025</v>
      </c>
      <c r="AG678" s="8">
        <f>MONTH(RawSalesTable[[#This Row],[Order_Date]])</f>
        <v>1</v>
      </c>
      <c r="AH678" s="8" t="str">
        <f>TEXT(RawSalesTable[[#This Row],[Order_Date]],"mmmm")</f>
        <v>janvier</v>
      </c>
      <c r="AI678" s="8" t="str">
        <f>IF(RawSalesTable[[#This Row],[Month_Number]]&lt;=3,"Q1",IF(RawSalesTable[[#This Row],[Month_Number]]&lt;=6,"Q2",IF(RawSalesTable[[#This Row],[Month_Number]]&lt;=9,"Q3","Q4")))</f>
        <v>Q1</v>
      </c>
      <c r="AJ678" s="13">
        <f>DATE(YEAR(RawSalesTable[[#This Row],[Order_Date]]),MONTH(RawSalesTable[[#This Row],[Order_Date]]),1)</f>
        <v>45658</v>
      </c>
      <c r="AK678" s="8" t="str">
        <f>VLOOKUP(RawSalesTable[[#This Row],[Customer_ID_clean]],CustomersTable[],4,FALSE)</f>
        <v>Alberta</v>
      </c>
    </row>
    <row r="679" spans="1:37">
      <c r="A679" t="s">
        <v>1128</v>
      </c>
      <c r="B679" s="3">
        <v>45984</v>
      </c>
      <c r="C679" t="s">
        <v>675</v>
      </c>
      <c r="D679" t="s">
        <v>133</v>
      </c>
      <c r="E679" t="s">
        <v>676</v>
      </c>
      <c r="F679" t="s">
        <v>145</v>
      </c>
      <c r="G679" t="s">
        <v>122</v>
      </c>
      <c r="H679" t="s">
        <v>89</v>
      </c>
      <c r="I679">
        <v>1</v>
      </c>
      <c r="J679" s="2">
        <v>328.26</v>
      </c>
      <c r="K679" s="4">
        <v>0.2</v>
      </c>
      <c r="L679" t="s">
        <v>106</v>
      </c>
      <c r="M679">
        <v>1</v>
      </c>
      <c r="N679" t="s">
        <v>147</v>
      </c>
      <c r="O679" t="str">
        <f>SUBSTITUTE(PROPER(TRIM(RawSalesTable[[#This Row],[Channel_Raw]])), "Market Place", "Marketplace")</f>
        <v>Online</v>
      </c>
      <c r="P679" t="str">
        <f>TRIM(RawSalesTable[[#This Row],[Store_Raw]])</f>
        <v>Calgary North</v>
      </c>
      <c r="Q679" t="str">
        <f>IF(TRIM(RawSalesTable[[#This Row],[Payment_Method_Raw]])="","Non renseigné",SUBSTITUTE(TRIM(RawSalesTable[[#This Row],[Payment_Method_Raw]]),"CC","Credit Card"))</f>
        <v>Credit Card</v>
      </c>
      <c r="R679" s="8" t="str">
        <f>UPPER(PROPER(RawSalesTable[[#This Row],[Customer_ID]]))</f>
        <v>C0101</v>
      </c>
      <c r="S679" s="8" t="str">
        <f>TRIM(LEFT(RawSalesTable[[#This Row],[Customer_Info]],FIND(",",RawSalesTable[[#This Row],[Customer_Info]]) -1))</f>
        <v>Noah Martin</v>
      </c>
      <c r="T679" s="8" t="str">
        <f>TRIM(MID(RawSalesTable[[#This Row],[Customer_Info]],FIND(",",RawSalesTable[[#This Row],[Customer_Info]])+1,FIND(",",RawSalesTable[[#This Row],[Customer_Info]],FIND(",",RawSalesTable[[#This Row],[Customer_Info]])+1)-FIND(",",RawSalesTable[[#This Row],[Customer_Info]])-1))</f>
        <v>Saskatoon</v>
      </c>
      <c r="U679" s="8" t="str">
        <f>TRIM(RIGHT(RawSalesTable[[#This Row],[Customer_Info]], LEN(RawSalesTable[[#This Row],[Customer_Info]])-FIND(",",RawSalesTable[[#This Row],[Customer_Info]],FIND(",",RawSalesTable[[#This Row],[Customer_Info]])+1)))</f>
        <v>Small Business</v>
      </c>
      <c r="V679" s="8" t="str">
        <f>VLOOKUP(RawSalesTable[[#This Row],[Product_ID]],ProductsTable[],2,FALSE)</f>
        <v>Travel Adapter</v>
      </c>
      <c r="W679" s="8" t="str">
        <f>VLOOKUP(RawSalesTable[[#This Row],[Product_ID]],ProductsTable[],3,FALSE)</f>
        <v>Accessories</v>
      </c>
      <c r="X679" s="8">
        <f>VLOOKUP(RawSalesTable[[#This Row],[Product_ID]],ProductsTable[],5,FALSE)</f>
        <v>229.86</v>
      </c>
      <c r="Y679" s="8">
        <f>RawSalesTable[[#This Row],[Quantity]]*RawSalesTable[[#This Row],[Unit_Price]]</f>
        <v>328.26</v>
      </c>
      <c r="Z679" s="8">
        <f>RawSalesTable[[#This Row],[Gross_Sales]]*RawSalesTable[[#This Row],[Discount_Pct]]</f>
        <v>65.652000000000001</v>
      </c>
      <c r="AA679" s="8">
        <f>RawSalesTable[[#This Row],[Gross_Sales]]-RawSalesTable[[#This Row],[Discount_Amount]]</f>
        <v>262.608</v>
      </c>
      <c r="AB679" s="8">
        <f>RawSalesTable[[#This Row],[Unit_Cost]]*RawSalesTable[[#This Row],[Quantity]]</f>
        <v>229.86</v>
      </c>
      <c r="AC679" s="8">
        <f>RawSalesTable[[#This Row],[Net_Sales]]-RawSalesTable[[#This Row],[Total_Cost]]</f>
        <v>32.74799999999999</v>
      </c>
      <c r="AD679" s="9">
        <f>RawSalesTable[[#This Row],[Profit]]/RawSalesTable[[#This Row],[Net_Sales]]</f>
        <v>0.12470297934564062</v>
      </c>
      <c r="AE679" s="8">
        <f>IF(RawSalesTable[[#This Row],[Return_Status]]="Yes",1,0)</f>
        <v>1</v>
      </c>
      <c r="AF679" s="8">
        <f>YEAR(RawSalesTable[[#This Row],[Order_Date]])</f>
        <v>2025</v>
      </c>
      <c r="AG679" s="8">
        <f>MONTH(RawSalesTable[[#This Row],[Order_Date]])</f>
        <v>11</v>
      </c>
      <c r="AH679" s="8" t="str">
        <f>TEXT(RawSalesTable[[#This Row],[Order_Date]],"mmmm")</f>
        <v>novembre</v>
      </c>
      <c r="AI679" s="8" t="str">
        <f>IF(RawSalesTable[[#This Row],[Month_Number]]&lt;=3,"Q1",IF(RawSalesTable[[#This Row],[Month_Number]]&lt;=6,"Q2",IF(RawSalesTable[[#This Row],[Month_Number]]&lt;=9,"Q3","Q4")))</f>
        <v>Q4</v>
      </c>
      <c r="AJ679" s="13">
        <f>DATE(YEAR(RawSalesTable[[#This Row],[Order_Date]]),MONTH(RawSalesTable[[#This Row],[Order_Date]]),1)</f>
        <v>45962</v>
      </c>
      <c r="AK679" s="8" t="str">
        <f>VLOOKUP(RawSalesTable[[#This Row],[Customer_ID_clean]],CustomersTable[],4,FALSE)</f>
        <v>Saskatchewan</v>
      </c>
    </row>
    <row r="680" spans="1:37">
      <c r="A680" t="s">
        <v>1129</v>
      </c>
      <c r="B680" s="3">
        <v>45870</v>
      </c>
      <c r="C680" t="s">
        <v>268</v>
      </c>
      <c r="D680" t="s">
        <v>221</v>
      </c>
      <c r="E680" t="s">
        <v>269</v>
      </c>
      <c r="F680" t="s">
        <v>145</v>
      </c>
      <c r="G680" t="s">
        <v>88</v>
      </c>
      <c r="H680" t="s">
        <v>89</v>
      </c>
      <c r="I680">
        <v>1</v>
      </c>
      <c r="J680" s="2">
        <v>29.28</v>
      </c>
      <c r="K680" s="4">
        <v>0.2</v>
      </c>
      <c r="L680" t="s">
        <v>90</v>
      </c>
      <c r="M680">
        <v>9</v>
      </c>
      <c r="N680" t="s">
        <v>91</v>
      </c>
      <c r="O680" t="str">
        <f>SUBSTITUTE(PROPER(TRIM(RawSalesTable[[#This Row],[Channel_Raw]])), "Market Place", "Marketplace")</f>
        <v>Online</v>
      </c>
      <c r="P680" t="str">
        <f>TRIM(RawSalesTable[[#This Row],[Store_Raw]])</f>
        <v>Calgary North</v>
      </c>
      <c r="Q680" t="str">
        <f>IF(TRIM(RawSalesTable[[#This Row],[Payment_Method_Raw]])="","Non renseigné",SUBSTITUTE(TRIM(RawSalesTable[[#This Row],[Payment_Method_Raw]]),"CC","Credit Card"))</f>
        <v>PayPal</v>
      </c>
      <c r="R680" s="8" t="str">
        <f>UPPER(PROPER(RawSalesTable[[#This Row],[Customer_ID]]))</f>
        <v>C0043</v>
      </c>
      <c r="S680" s="8" t="str">
        <f>TRIM(LEFT(RawSalesTable[[#This Row],[Customer_Info]],FIND(",",RawSalesTable[[#This Row],[Customer_Info]]) -1))</f>
        <v>Ava Brown</v>
      </c>
      <c r="T680" s="8" t="str">
        <f>TRIM(MID(RawSalesTable[[#This Row],[Customer_Info]],FIND(",",RawSalesTable[[#This Row],[Customer_Info]])+1,FIND(",",RawSalesTable[[#This Row],[Customer_Info]],FIND(",",RawSalesTable[[#This Row],[Customer_Info]])+1)-FIND(",",RawSalesTable[[#This Row],[Customer_Info]])-1))</f>
        <v>Ottawa</v>
      </c>
      <c r="U680" s="8" t="str">
        <f>TRIM(RIGHT(RawSalesTable[[#This Row],[Customer_Info]], LEN(RawSalesTable[[#This Row],[Customer_Info]])-FIND(",",RawSalesTable[[#This Row],[Customer_Info]],FIND(",",RawSalesTable[[#This Row],[Customer_Info]])+1)))</f>
        <v>Small Business</v>
      </c>
      <c r="V680" s="8" t="str">
        <f>VLOOKUP(RawSalesTable[[#This Row],[Product_ID]],ProductsTable[],2,FALSE)</f>
        <v>Air Fryer</v>
      </c>
      <c r="W680" s="8" t="str">
        <f>VLOOKUP(RawSalesTable[[#This Row],[Product_ID]],ProductsTable[],3,FALSE)</f>
        <v>Home</v>
      </c>
      <c r="X680" s="8">
        <f>VLOOKUP(RawSalesTable[[#This Row],[Product_ID]],ProductsTable[],5,FALSE)</f>
        <v>14.58</v>
      </c>
      <c r="Y680" s="8">
        <f>RawSalesTable[[#This Row],[Quantity]]*RawSalesTable[[#This Row],[Unit_Price]]</f>
        <v>29.28</v>
      </c>
      <c r="Z680" s="8">
        <f>RawSalesTable[[#This Row],[Gross_Sales]]*RawSalesTable[[#This Row],[Discount_Pct]]</f>
        <v>5.8560000000000008</v>
      </c>
      <c r="AA680" s="8">
        <f>RawSalesTable[[#This Row],[Gross_Sales]]-RawSalesTable[[#This Row],[Discount_Amount]]</f>
        <v>23.423999999999999</v>
      </c>
      <c r="AB680" s="8">
        <f>RawSalesTable[[#This Row],[Unit_Cost]]*RawSalesTable[[#This Row],[Quantity]]</f>
        <v>14.58</v>
      </c>
      <c r="AC680" s="8">
        <f>RawSalesTable[[#This Row],[Net_Sales]]-RawSalesTable[[#This Row],[Total_Cost]]</f>
        <v>8.8439999999999994</v>
      </c>
      <c r="AD680" s="9">
        <f>RawSalesTable[[#This Row],[Profit]]/RawSalesTable[[#This Row],[Net_Sales]]</f>
        <v>0.37756147540983603</v>
      </c>
      <c r="AE680" s="8">
        <f>IF(RawSalesTable[[#This Row],[Return_Status]]="Yes",1,0)</f>
        <v>0</v>
      </c>
      <c r="AF680" s="8">
        <f>YEAR(RawSalesTable[[#This Row],[Order_Date]])</f>
        <v>2025</v>
      </c>
      <c r="AG680" s="8">
        <f>MONTH(RawSalesTable[[#This Row],[Order_Date]])</f>
        <v>8</v>
      </c>
      <c r="AH680" s="8" t="str">
        <f>TEXT(RawSalesTable[[#This Row],[Order_Date]],"mmmm")</f>
        <v>août</v>
      </c>
      <c r="AI680" s="8" t="str">
        <f>IF(RawSalesTable[[#This Row],[Month_Number]]&lt;=3,"Q1",IF(RawSalesTable[[#This Row],[Month_Number]]&lt;=6,"Q2",IF(RawSalesTable[[#This Row],[Month_Number]]&lt;=9,"Q3","Q4")))</f>
        <v>Q3</v>
      </c>
      <c r="AJ680" s="13">
        <f>DATE(YEAR(RawSalesTable[[#This Row],[Order_Date]]),MONTH(RawSalesTable[[#This Row],[Order_Date]]),1)</f>
        <v>45870</v>
      </c>
      <c r="AK680" s="8" t="str">
        <f>VLOOKUP(RawSalesTable[[#This Row],[Customer_ID_clean]],CustomersTable[],4,FALSE)</f>
        <v>Ontario</v>
      </c>
    </row>
    <row r="681" spans="1:37">
      <c r="A681" t="s">
        <v>1130</v>
      </c>
      <c r="B681" s="3">
        <v>45687</v>
      </c>
      <c r="C681" t="s">
        <v>386</v>
      </c>
      <c r="D681" t="s">
        <v>133</v>
      </c>
      <c r="E681" t="s">
        <v>576</v>
      </c>
      <c r="F681" t="s">
        <v>111</v>
      </c>
      <c r="G681" t="s">
        <v>122</v>
      </c>
      <c r="H681" t="s">
        <v>89</v>
      </c>
      <c r="I681">
        <v>2</v>
      </c>
      <c r="J681" s="2">
        <v>339.82</v>
      </c>
      <c r="K681" s="4">
        <v>0.05</v>
      </c>
      <c r="L681" t="s">
        <v>98</v>
      </c>
      <c r="M681">
        <v>7</v>
      </c>
      <c r="N681" t="s">
        <v>91</v>
      </c>
      <c r="O681" t="str">
        <f>SUBSTITUTE(PROPER(TRIM(RawSalesTable[[#This Row],[Channel_Raw]])), "Market Place", "Marketplace")</f>
        <v>Online</v>
      </c>
      <c r="P681" t="str">
        <f>TRIM(RawSalesTable[[#This Row],[Store_Raw]])</f>
        <v>Montreal Central</v>
      </c>
      <c r="Q681" t="str">
        <f>IF(TRIM(RawSalesTable[[#This Row],[Payment_Method_Raw]])="","Non renseigné",SUBSTITUTE(TRIM(RawSalesTable[[#This Row],[Payment_Method_Raw]]),"CC","Credit Card"))</f>
        <v>Debit Card</v>
      </c>
      <c r="R681" s="8" t="str">
        <f>UPPER(PROPER(RawSalesTable[[#This Row],[Customer_ID]]))</f>
        <v>C0009</v>
      </c>
      <c r="S681" s="8" t="str">
        <f>TRIM(LEFT(RawSalesTable[[#This Row],[Customer_Info]],FIND(",",RawSalesTable[[#This Row],[Customer_Info]]) -1))</f>
        <v>Ethan Tremblay</v>
      </c>
      <c r="T681" s="8" t="str">
        <f>TRIM(MID(RawSalesTable[[#This Row],[Customer_Info]],FIND(",",RawSalesTable[[#This Row],[Customer_Info]])+1,FIND(",",RawSalesTable[[#This Row],[Customer_Info]],FIND(",",RawSalesTable[[#This Row],[Customer_Info]])+1)-FIND(",",RawSalesTable[[#This Row],[Customer_Info]])-1))</f>
        <v>Mississauga</v>
      </c>
      <c r="U681" s="8" t="str">
        <f>TRIM(RIGHT(RawSalesTable[[#This Row],[Customer_Info]], LEN(RawSalesTable[[#This Row],[Customer_Info]])-FIND(",",RawSalesTable[[#This Row],[Customer_Info]],FIND(",",RawSalesTable[[#This Row],[Customer_Info]])+1)))</f>
        <v>Corporate</v>
      </c>
      <c r="V681" s="8" t="str">
        <f>VLOOKUP(RawSalesTable[[#This Row],[Product_ID]],ProductsTable[],2,FALSE)</f>
        <v>Travel Adapter</v>
      </c>
      <c r="W681" s="8" t="str">
        <f>VLOOKUP(RawSalesTable[[#This Row],[Product_ID]],ProductsTable[],3,FALSE)</f>
        <v>Accessories</v>
      </c>
      <c r="X681" s="8">
        <f>VLOOKUP(RawSalesTable[[#This Row],[Product_ID]],ProductsTable[],5,FALSE)</f>
        <v>229.86</v>
      </c>
      <c r="Y681" s="8">
        <f>RawSalesTable[[#This Row],[Quantity]]*RawSalesTable[[#This Row],[Unit_Price]]</f>
        <v>679.64</v>
      </c>
      <c r="Z681" s="8">
        <f>RawSalesTable[[#This Row],[Gross_Sales]]*RawSalesTable[[#This Row],[Discount_Pct]]</f>
        <v>33.981999999999999</v>
      </c>
      <c r="AA681" s="8">
        <f>RawSalesTable[[#This Row],[Gross_Sales]]-RawSalesTable[[#This Row],[Discount_Amount]]</f>
        <v>645.65800000000002</v>
      </c>
      <c r="AB681" s="8">
        <f>RawSalesTable[[#This Row],[Unit_Cost]]*RawSalesTable[[#This Row],[Quantity]]</f>
        <v>459.72</v>
      </c>
      <c r="AC681" s="8">
        <f>RawSalesTable[[#This Row],[Net_Sales]]-RawSalesTable[[#This Row],[Total_Cost]]</f>
        <v>185.93799999999999</v>
      </c>
      <c r="AD681" s="9">
        <f>RawSalesTable[[#This Row],[Profit]]/RawSalesTable[[#This Row],[Net_Sales]]</f>
        <v>0.2879821825176796</v>
      </c>
      <c r="AE681" s="8">
        <f>IF(RawSalesTable[[#This Row],[Return_Status]]="Yes",1,0)</f>
        <v>0</v>
      </c>
      <c r="AF681" s="8">
        <f>YEAR(RawSalesTable[[#This Row],[Order_Date]])</f>
        <v>2025</v>
      </c>
      <c r="AG681" s="8">
        <f>MONTH(RawSalesTable[[#This Row],[Order_Date]])</f>
        <v>1</v>
      </c>
      <c r="AH681" s="8" t="str">
        <f>TEXT(RawSalesTable[[#This Row],[Order_Date]],"mmmm")</f>
        <v>janvier</v>
      </c>
      <c r="AI681" s="8" t="str">
        <f>IF(RawSalesTable[[#This Row],[Month_Number]]&lt;=3,"Q1",IF(RawSalesTable[[#This Row],[Month_Number]]&lt;=6,"Q2",IF(RawSalesTable[[#This Row],[Month_Number]]&lt;=9,"Q3","Q4")))</f>
        <v>Q1</v>
      </c>
      <c r="AJ681" s="13">
        <f>DATE(YEAR(RawSalesTable[[#This Row],[Order_Date]]),MONTH(RawSalesTable[[#This Row],[Order_Date]]),1)</f>
        <v>45658</v>
      </c>
      <c r="AK681" s="8" t="str">
        <f>VLOOKUP(RawSalesTable[[#This Row],[Customer_ID_clean]],CustomersTable[],4,FALSE)</f>
        <v>Ontario</v>
      </c>
    </row>
    <row r="682" spans="1:37">
      <c r="A682" t="s">
        <v>1131</v>
      </c>
      <c r="B682" s="3">
        <v>45680</v>
      </c>
      <c r="C682" t="s">
        <v>453</v>
      </c>
      <c r="D682" t="s">
        <v>109</v>
      </c>
      <c r="E682" t="s">
        <v>454</v>
      </c>
      <c r="F682" t="s">
        <v>655</v>
      </c>
      <c r="G682" t="s">
        <v>171</v>
      </c>
      <c r="H682" t="s">
        <v>105</v>
      </c>
      <c r="I682">
        <v>5</v>
      </c>
      <c r="J682" s="2">
        <v>210.76</v>
      </c>
      <c r="K682" s="4">
        <v>0</v>
      </c>
      <c r="L682" t="s">
        <v>106</v>
      </c>
      <c r="M682">
        <v>7</v>
      </c>
      <c r="N682" t="s">
        <v>91</v>
      </c>
      <c r="O682" t="str">
        <f>SUBSTITUTE(PROPER(TRIM(RawSalesTable[[#This Row],[Channel_Raw]])), "Market Place", "Marketplace")</f>
        <v>Marketplace</v>
      </c>
      <c r="P682" t="str">
        <f>TRIM(RawSalesTable[[#This Row],[Store_Raw]])</f>
        <v>Online Fulfillment</v>
      </c>
      <c r="Q682" t="str">
        <f>IF(TRIM(RawSalesTable[[#This Row],[Payment_Method_Raw]])="","Non renseigné",SUBSTITUTE(TRIM(RawSalesTable[[#This Row],[Payment_Method_Raw]]),"CC","Credit Card"))</f>
        <v>Credit Card</v>
      </c>
      <c r="R682" s="8" t="str">
        <f>UPPER(PROPER(RawSalesTable[[#This Row],[Customer_ID]]))</f>
        <v>C0070</v>
      </c>
      <c r="S682" s="8" t="str">
        <f>TRIM(LEFT(RawSalesTable[[#This Row],[Customer_Info]],FIND(",",RawSalesTable[[#This Row],[Customer_Info]]) -1))</f>
        <v>Sophia Young</v>
      </c>
      <c r="T682" s="8" t="str">
        <f>TRIM(MID(RawSalesTable[[#This Row],[Customer_Info]],FIND(",",RawSalesTable[[#This Row],[Customer_Info]])+1,FIND(",",RawSalesTable[[#This Row],[Customer_Info]],FIND(",",RawSalesTable[[#This Row],[Customer_Info]])+1)-FIND(",",RawSalesTable[[#This Row],[Customer_Info]])-1))</f>
        <v>Halifax</v>
      </c>
      <c r="U682" s="8" t="str">
        <f>TRIM(RIGHT(RawSalesTable[[#This Row],[Customer_Info]], LEN(RawSalesTable[[#This Row],[Customer_Info]])-FIND(",",RawSalesTable[[#This Row],[Customer_Info]],FIND(",",RawSalesTable[[#This Row],[Customer_Info]])+1)))</f>
        <v>Corporate</v>
      </c>
      <c r="V682" s="8" t="str">
        <f>VLOOKUP(RawSalesTable[[#This Row],[Product_ID]],ProductsTable[],2,FALSE)</f>
        <v>Gym Bag</v>
      </c>
      <c r="W682" s="8" t="str">
        <f>VLOOKUP(RawSalesTable[[#This Row],[Product_ID]],ProductsTable[],3,FALSE)</f>
        <v>Fitness</v>
      </c>
      <c r="X682" s="8">
        <f>VLOOKUP(RawSalesTable[[#This Row],[Product_ID]],ProductsTable[],5,FALSE)</f>
        <v>132.72</v>
      </c>
      <c r="Y682" s="8">
        <f>RawSalesTable[[#This Row],[Quantity]]*RawSalesTable[[#This Row],[Unit_Price]]</f>
        <v>1053.8</v>
      </c>
      <c r="Z682" s="8">
        <f>RawSalesTable[[#This Row],[Gross_Sales]]*RawSalesTable[[#This Row],[Discount_Pct]]</f>
        <v>0</v>
      </c>
      <c r="AA682" s="8">
        <f>RawSalesTable[[#This Row],[Gross_Sales]]-RawSalesTable[[#This Row],[Discount_Amount]]</f>
        <v>1053.8</v>
      </c>
      <c r="AB682" s="8">
        <f>RawSalesTable[[#This Row],[Unit_Cost]]*RawSalesTable[[#This Row],[Quantity]]</f>
        <v>663.6</v>
      </c>
      <c r="AC682" s="8">
        <f>RawSalesTable[[#This Row],[Net_Sales]]-RawSalesTable[[#This Row],[Total_Cost]]</f>
        <v>390.19999999999993</v>
      </c>
      <c r="AD682" s="9">
        <f>RawSalesTable[[#This Row],[Profit]]/RawSalesTable[[#This Row],[Net_Sales]]</f>
        <v>0.37027899032074391</v>
      </c>
      <c r="AE682" s="8">
        <f>IF(RawSalesTable[[#This Row],[Return_Status]]="Yes",1,0)</f>
        <v>0</v>
      </c>
      <c r="AF682" s="8">
        <f>YEAR(RawSalesTable[[#This Row],[Order_Date]])</f>
        <v>2025</v>
      </c>
      <c r="AG682" s="8">
        <f>MONTH(RawSalesTable[[#This Row],[Order_Date]])</f>
        <v>1</v>
      </c>
      <c r="AH682" s="8" t="str">
        <f>TEXT(RawSalesTable[[#This Row],[Order_Date]],"mmmm")</f>
        <v>janvier</v>
      </c>
      <c r="AI682" s="8" t="str">
        <f>IF(RawSalesTable[[#This Row],[Month_Number]]&lt;=3,"Q1",IF(RawSalesTable[[#This Row],[Month_Number]]&lt;=6,"Q2",IF(RawSalesTable[[#This Row],[Month_Number]]&lt;=9,"Q3","Q4")))</f>
        <v>Q1</v>
      </c>
      <c r="AJ682" s="13">
        <f>DATE(YEAR(RawSalesTable[[#This Row],[Order_Date]]),MONTH(RawSalesTable[[#This Row],[Order_Date]]),1)</f>
        <v>45658</v>
      </c>
      <c r="AK682" s="8" t="str">
        <f>VLOOKUP(RawSalesTable[[#This Row],[Customer_ID_clean]],CustomersTable[],4,FALSE)</f>
        <v>Nova Scotia</v>
      </c>
    </row>
    <row r="683" spans="1:37">
      <c r="A683" t="s">
        <v>1132</v>
      </c>
      <c r="B683" s="3">
        <v>45859</v>
      </c>
      <c r="C683" t="s">
        <v>414</v>
      </c>
      <c r="D683" t="s">
        <v>120</v>
      </c>
      <c r="E683" t="s">
        <v>415</v>
      </c>
      <c r="F683" t="s">
        <v>87</v>
      </c>
      <c r="G683" t="s">
        <v>183</v>
      </c>
      <c r="H683" t="s">
        <v>89</v>
      </c>
      <c r="I683">
        <v>2</v>
      </c>
      <c r="J683" s="2">
        <v>399.06</v>
      </c>
      <c r="K683" s="4">
        <v>0</v>
      </c>
      <c r="L683" t="s">
        <v>106</v>
      </c>
      <c r="M683">
        <v>7</v>
      </c>
      <c r="N683" t="s">
        <v>91</v>
      </c>
      <c r="O683" t="str">
        <f>SUBSTITUTE(PROPER(TRIM(RawSalesTable[[#This Row],[Channel_Raw]])), "Market Place", "Marketplace")</f>
        <v>Online</v>
      </c>
      <c r="P683" t="str">
        <f>TRIM(RawSalesTable[[#This Row],[Store_Raw]])</f>
        <v>Online Fulfillment</v>
      </c>
      <c r="Q683" t="str">
        <f>IF(TRIM(RawSalesTable[[#This Row],[Payment_Method_Raw]])="","Non renseigné",SUBSTITUTE(TRIM(RawSalesTable[[#This Row],[Payment_Method_Raw]]),"CC","Credit Card"))</f>
        <v>Credit Card</v>
      </c>
      <c r="R683" s="8" t="str">
        <f>UPPER(PROPER(RawSalesTable[[#This Row],[Customer_ID]]))</f>
        <v>C0052</v>
      </c>
      <c r="S683" s="8" t="str">
        <f>TRIM(LEFT(RawSalesTable[[#This Row],[Customer_Info]],FIND(",",RawSalesTable[[#This Row],[Customer_Info]]) -1))</f>
        <v>Liam Bennett</v>
      </c>
      <c r="T683" s="8" t="str">
        <f>TRIM(MID(RawSalesTable[[#This Row],[Customer_Info]],FIND(",",RawSalesTable[[#This Row],[Customer_Info]])+1,FIND(",",RawSalesTable[[#This Row],[Customer_Info]],FIND(",",RawSalesTable[[#This Row],[Customer_Info]])+1)-FIND(",",RawSalesTable[[#This Row],[Customer_Info]])-1))</f>
        <v>Edmonton</v>
      </c>
      <c r="U683" s="8" t="str">
        <f>TRIM(RIGHT(RawSalesTable[[#This Row],[Customer_Info]], LEN(RawSalesTable[[#This Row],[Customer_Info]])-FIND(",",RawSalesTable[[#This Row],[Customer_Info]],FIND(",",RawSalesTable[[#This Row],[Customer_Info]])+1)))</f>
        <v>Corporate</v>
      </c>
      <c r="V683" s="8" t="str">
        <f>VLOOKUP(RawSalesTable[[#This Row],[Product_ID]],ProductsTable[],2,FALSE)</f>
        <v>Desk Organizer</v>
      </c>
      <c r="W683" s="8" t="str">
        <f>VLOOKUP(RawSalesTable[[#This Row],[Product_ID]],ProductsTable[],3,FALSE)</f>
        <v>Office</v>
      </c>
      <c r="X683" s="8">
        <f>VLOOKUP(RawSalesTable[[#This Row],[Product_ID]],ProductsTable[],5,FALSE)</f>
        <v>235.76</v>
      </c>
      <c r="Y683" s="8">
        <f>RawSalesTable[[#This Row],[Quantity]]*RawSalesTable[[#This Row],[Unit_Price]]</f>
        <v>798.12</v>
      </c>
      <c r="Z683" s="8">
        <f>RawSalesTable[[#This Row],[Gross_Sales]]*RawSalesTable[[#This Row],[Discount_Pct]]</f>
        <v>0</v>
      </c>
      <c r="AA683" s="8">
        <f>RawSalesTable[[#This Row],[Gross_Sales]]-RawSalesTable[[#This Row],[Discount_Amount]]</f>
        <v>798.12</v>
      </c>
      <c r="AB683" s="8">
        <f>RawSalesTable[[#This Row],[Unit_Cost]]*RawSalesTable[[#This Row],[Quantity]]</f>
        <v>471.52</v>
      </c>
      <c r="AC683" s="8">
        <f>RawSalesTable[[#This Row],[Net_Sales]]-RawSalesTable[[#This Row],[Total_Cost]]</f>
        <v>326.60000000000002</v>
      </c>
      <c r="AD683" s="9">
        <f>RawSalesTable[[#This Row],[Profit]]/RawSalesTable[[#This Row],[Net_Sales]]</f>
        <v>0.40921164737132265</v>
      </c>
      <c r="AE683" s="8">
        <f>IF(RawSalesTable[[#This Row],[Return_Status]]="Yes",1,0)</f>
        <v>0</v>
      </c>
      <c r="AF683" s="8">
        <f>YEAR(RawSalesTable[[#This Row],[Order_Date]])</f>
        <v>2025</v>
      </c>
      <c r="AG683" s="8">
        <f>MONTH(RawSalesTable[[#This Row],[Order_Date]])</f>
        <v>7</v>
      </c>
      <c r="AH683" s="8" t="str">
        <f>TEXT(RawSalesTable[[#This Row],[Order_Date]],"mmmm")</f>
        <v>juillet</v>
      </c>
      <c r="AI683" s="8" t="str">
        <f>IF(RawSalesTable[[#This Row],[Month_Number]]&lt;=3,"Q1",IF(RawSalesTable[[#This Row],[Month_Number]]&lt;=6,"Q2",IF(RawSalesTable[[#This Row],[Month_Number]]&lt;=9,"Q3","Q4")))</f>
        <v>Q3</v>
      </c>
      <c r="AJ683" s="13">
        <f>DATE(YEAR(RawSalesTable[[#This Row],[Order_Date]]),MONTH(RawSalesTable[[#This Row],[Order_Date]]),1)</f>
        <v>45839</v>
      </c>
      <c r="AK683" s="8" t="str">
        <f>VLOOKUP(RawSalesTable[[#This Row],[Customer_ID_clean]],CustomersTable[],4,FALSE)</f>
        <v>Alberta</v>
      </c>
    </row>
    <row r="684" spans="1:37">
      <c r="A684" t="s">
        <v>1133</v>
      </c>
      <c r="B684" s="3">
        <v>45870</v>
      </c>
      <c r="C684" t="s">
        <v>225</v>
      </c>
      <c r="D684" t="s">
        <v>114</v>
      </c>
      <c r="E684" t="s">
        <v>227</v>
      </c>
      <c r="F684" t="s">
        <v>87</v>
      </c>
      <c r="G684" t="s">
        <v>88</v>
      </c>
      <c r="H684" t="s">
        <v>97</v>
      </c>
      <c r="I684">
        <v>1</v>
      </c>
      <c r="J684" s="2">
        <v>144.43</v>
      </c>
      <c r="K684" s="4">
        <v>0.15</v>
      </c>
      <c r="L684" t="s">
        <v>90</v>
      </c>
      <c r="M684">
        <v>4</v>
      </c>
      <c r="N684" t="s">
        <v>91</v>
      </c>
      <c r="O684" t="str">
        <f>SUBSTITUTE(PROPER(TRIM(RawSalesTable[[#This Row],[Channel_Raw]])), "Market Place", "Marketplace")</f>
        <v>Retail Store</v>
      </c>
      <c r="P684" t="str">
        <f>TRIM(RawSalesTable[[#This Row],[Store_Raw]])</f>
        <v>Online Fulfillment</v>
      </c>
      <c r="Q684" t="str">
        <f>IF(TRIM(RawSalesTable[[#This Row],[Payment_Method_Raw]])="","Non renseigné",SUBSTITUTE(TRIM(RawSalesTable[[#This Row],[Payment_Method_Raw]]),"CC","Credit Card"))</f>
        <v>PayPal</v>
      </c>
      <c r="R684" s="8" t="str">
        <f>UPPER(PROPER(RawSalesTable[[#This Row],[Customer_ID]]))</f>
        <v>C0110</v>
      </c>
      <c r="S684" s="8" t="str">
        <f>TRIM(LEFT(RawSalesTable[[#This Row],[Customer_Info]],FIND(",",RawSalesTable[[#This Row],[Customer_Info]]) -1))</f>
        <v>Sarah Smith</v>
      </c>
      <c r="T684" s="8" t="str">
        <f>TRIM(MID(RawSalesTable[[#This Row],[Customer_Info]],FIND(",",RawSalesTable[[#This Row],[Customer_Info]])+1,FIND(",",RawSalesTable[[#This Row],[Customer_Info]],FIND(",",RawSalesTable[[#This Row],[Customer_Info]])+1)-FIND(",",RawSalesTable[[#This Row],[Customer_Info]])-1))</f>
        <v>Laval</v>
      </c>
      <c r="U684" s="8" t="str">
        <f>TRIM(RIGHT(RawSalesTable[[#This Row],[Customer_Info]], LEN(RawSalesTable[[#This Row],[Customer_Info]])-FIND(",",RawSalesTable[[#This Row],[Customer_Info]],FIND(",",RawSalesTable[[#This Row],[Customer_Info]])+1)))</f>
        <v>Consumer</v>
      </c>
      <c r="V684" s="8" t="str">
        <f>VLOOKUP(RawSalesTable[[#This Row],[Product_ID]],ProductsTable[],2,FALSE)</f>
        <v>Laptop Sleeve</v>
      </c>
      <c r="W684" s="8" t="str">
        <f>VLOOKUP(RawSalesTable[[#This Row],[Product_ID]],ProductsTable[],3,FALSE)</f>
        <v>Accessories</v>
      </c>
      <c r="X684" s="8">
        <f>VLOOKUP(RawSalesTable[[#This Row],[Product_ID]],ProductsTable[],5,FALSE)</f>
        <v>78.95</v>
      </c>
      <c r="Y684" s="8">
        <f>RawSalesTable[[#This Row],[Quantity]]*RawSalesTable[[#This Row],[Unit_Price]]</f>
        <v>144.43</v>
      </c>
      <c r="Z684" s="8">
        <f>RawSalesTable[[#This Row],[Gross_Sales]]*RawSalesTable[[#This Row],[Discount_Pct]]</f>
        <v>21.6645</v>
      </c>
      <c r="AA684" s="8">
        <f>RawSalesTable[[#This Row],[Gross_Sales]]-RawSalesTable[[#This Row],[Discount_Amount]]</f>
        <v>122.7655</v>
      </c>
      <c r="AB684" s="8">
        <f>RawSalesTable[[#This Row],[Unit_Cost]]*RawSalesTable[[#This Row],[Quantity]]</f>
        <v>78.95</v>
      </c>
      <c r="AC684" s="8">
        <f>RawSalesTable[[#This Row],[Net_Sales]]-RawSalesTable[[#This Row],[Total_Cost]]</f>
        <v>43.8155</v>
      </c>
      <c r="AD684" s="9">
        <f>RawSalesTable[[#This Row],[Profit]]/RawSalesTable[[#This Row],[Net_Sales]]</f>
        <v>0.35690401619347456</v>
      </c>
      <c r="AE684" s="8">
        <f>IF(RawSalesTable[[#This Row],[Return_Status]]="Yes",1,0)</f>
        <v>0</v>
      </c>
      <c r="AF684" s="8">
        <f>YEAR(RawSalesTable[[#This Row],[Order_Date]])</f>
        <v>2025</v>
      </c>
      <c r="AG684" s="8">
        <f>MONTH(RawSalesTable[[#This Row],[Order_Date]])</f>
        <v>8</v>
      </c>
      <c r="AH684" s="8" t="str">
        <f>TEXT(RawSalesTable[[#This Row],[Order_Date]],"mmmm")</f>
        <v>août</v>
      </c>
      <c r="AI684" s="8" t="str">
        <f>IF(RawSalesTable[[#This Row],[Month_Number]]&lt;=3,"Q1",IF(RawSalesTable[[#This Row],[Month_Number]]&lt;=6,"Q2",IF(RawSalesTable[[#This Row],[Month_Number]]&lt;=9,"Q3","Q4")))</f>
        <v>Q3</v>
      </c>
      <c r="AJ684" s="13">
        <f>DATE(YEAR(RawSalesTable[[#This Row],[Order_Date]]),MONTH(RawSalesTable[[#This Row],[Order_Date]]),1)</f>
        <v>45870</v>
      </c>
      <c r="AK684" s="8" t="str">
        <f>VLOOKUP(RawSalesTable[[#This Row],[Customer_ID_clean]],CustomersTable[],4,FALSE)</f>
        <v>Quebec</v>
      </c>
    </row>
    <row r="685" spans="1:37">
      <c r="A685" t="s">
        <v>1134</v>
      </c>
      <c r="B685" s="3">
        <v>45988</v>
      </c>
      <c r="C685" t="s">
        <v>203</v>
      </c>
      <c r="D685" t="s">
        <v>101</v>
      </c>
      <c r="E685" t="s">
        <v>573</v>
      </c>
      <c r="F685" t="s">
        <v>87</v>
      </c>
      <c r="G685" t="s">
        <v>130</v>
      </c>
      <c r="H685" t="s">
        <v>228</v>
      </c>
      <c r="I685">
        <v>3</v>
      </c>
      <c r="J685" s="2">
        <v>308.36</v>
      </c>
      <c r="K685" s="4">
        <v>0.1</v>
      </c>
      <c r="L685" t="s">
        <v>106</v>
      </c>
      <c r="M685">
        <v>8</v>
      </c>
      <c r="N685" t="s">
        <v>91</v>
      </c>
      <c r="O685" t="str">
        <f>SUBSTITUTE(PROPER(TRIM(RawSalesTable[[#This Row],[Channel_Raw]])), "Market Place", "Marketplace")</f>
        <v>Online</v>
      </c>
      <c r="P685" t="str">
        <f>TRIM(RawSalesTable[[#This Row],[Store_Raw]])</f>
        <v>Online Fulfillment</v>
      </c>
      <c r="Q685" t="str">
        <f>IF(TRIM(RawSalesTable[[#This Row],[Payment_Method_Raw]])="","Non renseigné",SUBSTITUTE(TRIM(RawSalesTable[[#This Row],[Payment_Method_Raw]]),"CC","Credit Card"))</f>
        <v>Credit Card</v>
      </c>
      <c r="R685" s="8" t="str">
        <f>UPPER(PROPER(RawSalesTable[[#This Row],[Customer_ID]]))</f>
        <v>C0029</v>
      </c>
      <c r="S685" s="8" t="str">
        <f>TRIM(LEFT(RawSalesTable[[#This Row],[Customer_Info]],FIND(",",RawSalesTable[[#This Row],[Customer_Info]]) -1))</f>
        <v>Olivia White</v>
      </c>
      <c r="T685" s="8" t="str">
        <f>TRIM(MID(RawSalesTable[[#This Row],[Customer_Info]],FIND(",",RawSalesTable[[#This Row],[Customer_Info]])+1,FIND(",",RawSalesTable[[#This Row],[Customer_Info]],FIND(",",RawSalesTable[[#This Row],[Customer_Info]])+1)-FIND(",",RawSalesTable[[#This Row],[Customer_Info]])-1))</f>
        <v>Victoria</v>
      </c>
      <c r="U685" s="8" t="str">
        <f>TRIM(RIGHT(RawSalesTable[[#This Row],[Customer_Info]], LEN(RawSalesTable[[#This Row],[Customer_Info]])-FIND(",",RawSalesTable[[#This Row],[Customer_Info]],FIND(",",RawSalesTable[[#This Row],[Customer_Info]])+1)))</f>
        <v>Consumer</v>
      </c>
      <c r="V685" s="8" t="str">
        <f>VLOOKUP(RawSalesTable[[#This Row],[Product_ID]],ProductsTable[],2,FALSE)</f>
        <v>Kettle</v>
      </c>
      <c r="W685" s="8" t="str">
        <f>VLOOKUP(RawSalesTable[[#This Row],[Product_ID]],ProductsTable[],3,FALSE)</f>
        <v>Home</v>
      </c>
      <c r="X685" s="8">
        <f>VLOOKUP(RawSalesTable[[#This Row],[Product_ID]],ProductsTable[],5,FALSE)</f>
        <v>139.86000000000001</v>
      </c>
      <c r="Y685" s="8">
        <f>RawSalesTable[[#This Row],[Quantity]]*RawSalesTable[[#This Row],[Unit_Price]]</f>
        <v>925.08</v>
      </c>
      <c r="Z685" s="8">
        <f>RawSalesTable[[#This Row],[Gross_Sales]]*RawSalesTable[[#This Row],[Discount_Pct]]</f>
        <v>92.50800000000001</v>
      </c>
      <c r="AA685" s="8">
        <f>RawSalesTable[[#This Row],[Gross_Sales]]-RawSalesTable[[#This Row],[Discount_Amount]]</f>
        <v>832.572</v>
      </c>
      <c r="AB685" s="8">
        <f>RawSalesTable[[#This Row],[Unit_Cost]]*RawSalesTable[[#This Row],[Quantity]]</f>
        <v>419.58000000000004</v>
      </c>
      <c r="AC685" s="8">
        <f>RawSalesTable[[#This Row],[Net_Sales]]-RawSalesTable[[#This Row],[Total_Cost]]</f>
        <v>412.99199999999996</v>
      </c>
      <c r="AD685" s="9">
        <f>RawSalesTable[[#This Row],[Profit]]/RawSalesTable[[#This Row],[Net_Sales]]</f>
        <v>0.49604358541963933</v>
      </c>
      <c r="AE685" s="8">
        <f>IF(RawSalesTable[[#This Row],[Return_Status]]="Yes",1,0)</f>
        <v>0</v>
      </c>
      <c r="AF685" s="8">
        <f>YEAR(RawSalesTable[[#This Row],[Order_Date]])</f>
        <v>2025</v>
      </c>
      <c r="AG685" s="8">
        <f>MONTH(RawSalesTable[[#This Row],[Order_Date]])</f>
        <v>11</v>
      </c>
      <c r="AH685" s="8" t="str">
        <f>TEXT(RawSalesTable[[#This Row],[Order_Date]],"mmmm")</f>
        <v>novembre</v>
      </c>
      <c r="AI685" s="8" t="str">
        <f>IF(RawSalesTable[[#This Row],[Month_Number]]&lt;=3,"Q1",IF(RawSalesTable[[#This Row],[Month_Number]]&lt;=6,"Q2",IF(RawSalesTable[[#This Row],[Month_Number]]&lt;=9,"Q3","Q4")))</f>
        <v>Q4</v>
      </c>
      <c r="AJ685" s="13">
        <f>DATE(YEAR(RawSalesTable[[#This Row],[Order_Date]]),MONTH(RawSalesTable[[#This Row],[Order_Date]]),1)</f>
        <v>45962</v>
      </c>
      <c r="AK685" s="8" t="str">
        <f>VLOOKUP(RawSalesTable[[#This Row],[Customer_ID_clean]],CustomersTable[],4,FALSE)</f>
        <v>British Columbia</v>
      </c>
    </row>
    <row r="686" spans="1:37">
      <c r="A686" t="s">
        <v>1135</v>
      </c>
      <c r="B686" s="3">
        <v>45984</v>
      </c>
      <c r="C686" t="s">
        <v>248</v>
      </c>
      <c r="D686" t="s">
        <v>255</v>
      </c>
      <c r="E686" t="s">
        <v>250</v>
      </c>
      <c r="F686" t="s">
        <v>103</v>
      </c>
      <c r="G686" t="s">
        <v>183</v>
      </c>
      <c r="H686" t="s">
        <v>97</v>
      </c>
      <c r="I686">
        <v>1</v>
      </c>
      <c r="J686" s="2">
        <v>229.18</v>
      </c>
      <c r="K686" s="4">
        <v>0.25</v>
      </c>
      <c r="L686" t="s">
        <v>106</v>
      </c>
      <c r="M686">
        <v>0</v>
      </c>
      <c r="N686" t="s">
        <v>91</v>
      </c>
      <c r="O686" t="str">
        <f>SUBSTITUTE(PROPER(TRIM(RawSalesTable[[#This Row],[Channel_Raw]])), "Market Place", "Marketplace")</f>
        <v>Retail Store</v>
      </c>
      <c r="P686" t="str">
        <f>TRIM(RawSalesTable[[#This Row],[Store_Raw]])</f>
        <v>Vancouver West</v>
      </c>
      <c r="Q686" t="str">
        <f>IF(TRIM(RawSalesTable[[#This Row],[Payment_Method_Raw]])="","Non renseigné",SUBSTITUTE(TRIM(RawSalesTable[[#This Row],[Payment_Method_Raw]]),"CC","Credit Card"))</f>
        <v>Credit Card</v>
      </c>
      <c r="R686" s="8" t="str">
        <f>UPPER(PROPER(RawSalesTable[[#This Row],[Customer_ID]]))</f>
        <v>C0012</v>
      </c>
      <c r="S686" s="8" t="str">
        <f>TRIM(LEFT(RawSalesTable[[#This Row],[Customer_Info]],FIND(",",RawSalesTable[[#This Row],[Customer_Info]]) -1))</f>
        <v>Daniel Taylor</v>
      </c>
      <c r="T686" s="8" t="str">
        <f>TRIM(MID(RawSalesTable[[#This Row],[Customer_Info]],FIND(",",RawSalesTable[[#This Row],[Customer_Info]])+1,FIND(",",RawSalesTable[[#This Row],[Customer_Info]],FIND(",",RawSalesTable[[#This Row],[Customer_Info]])+1)-FIND(",",RawSalesTable[[#This Row],[Customer_Info]])-1))</f>
        <v>Victoria</v>
      </c>
      <c r="U686" s="8" t="str">
        <f>TRIM(RIGHT(RawSalesTable[[#This Row],[Customer_Info]], LEN(RawSalesTable[[#This Row],[Customer_Info]])-FIND(",",RawSalesTable[[#This Row],[Customer_Info]],FIND(",",RawSalesTable[[#This Row],[Customer_Info]])+1)))</f>
        <v>Corporate</v>
      </c>
      <c r="V686" s="8" t="str">
        <f>VLOOKUP(RawSalesTable[[#This Row],[Product_ID]],ProductsTable[],2,FALSE)</f>
        <v>Document Shredder</v>
      </c>
      <c r="W686" s="8" t="str">
        <f>VLOOKUP(RawSalesTable[[#This Row],[Product_ID]],ProductsTable[],3,FALSE)</f>
        <v>Office</v>
      </c>
      <c r="X686" s="8">
        <f>VLOOKUP(RawSalesTable[[#This Row],[Product_ID]],ProductsTable[],5,FALSE)</f>
        <v>117.65</v>
      </c>
      <c r="Y686" s="8">
        <f>RawSalesTable[[#This Row],[Quantity]]*RawSalesTable[[#This Row],[Unit_Price]]</f>
        <v>229.18</v>
      </c>
      <c r="Z686" s="8">
        <f>RawSalesTable[[#This Row],[Gross_Sales]]*RawSalesTable[[#This Row],[Discount_Pct]]</f>
        <v>57.295000000000002</v>
      </c>
      <c r="AA686" s="8">
        <f>RawSalesTable[[#This Row],[Gross_Sales]]-RawSalesTable[[#This Row],[Discount_Amount]]</f>
        <v>171.88499999999999</v>
      </c>
      <c r="AB686" s="8">
        <f>RawSalesTable[[#This Row],[Unit_Cost]]*RawSalesTable[[#This Row],[Quantity]]</f>
        <v>117.65</v>
      </c>
      <c r="AC686" s="8">
        <f>RawSalesTable[[#This Row],[Net_Sales]]-RawSalesTable[[#This Row],[Total_Cost]]</f>
        <v>54.234999999999985</v>
      </c>
      <c r="AD686" s="9">
        <f>RawSalesTable[[#This Row],[Profit]]/RawSalesTable[[#This Row],[Net_Sales]]</f>
        <v>0.31553073275736676</v>
      </c>
      <c r="AE686" s="8">
        <f>IF(RawSalesTable[[#This Row],[Return_Status]]="Yes",1,0)</f>
        <v>0</v>
      </c>
      <c r="AF686" s="8">
        <f>YEAR(RawSalesTable[[#This Row],[Order_Date]])</f>
        <v>2025</v>
      </c>
      <c r="AG686" s="8">
        <f>MONTH(RawSalesTable[[#This Row],[Order_Date]])</f>
        <v>11</v>
      </c>
      <c r="AH686" s="8" t="str">
        <f>TEXT(RawSalesTable[[#This Row],[Order_Date]],"mmmm")</f>
        <v>novembre</v>
      </c>
      <c r="AI686" s="8" t="str">
        <f>IF(RawSalesTable[[#This Row],[Month_Number]]&lt;=3,"Q1",IF(RawSalesTable[[#This Row],[Month_Number]]&lt;=6,"Q2",IF(RawSalesTable[[#This Row],[Month_Number]]&lt;=9,"Q3","Q4")))</f>
        <v>Q4</v>
      </c>
      <c r="AJ686" s="13">
        <f>DATE(YEAR(RawSalesTable[[#This Row],[Order_Date]]),MONTH(RawSalesTable[[#This Row],[Order_Date]]),1)</f>
        <v>45962</v>
      </c>
      <c r="AK686" s="8" t="str">
        <f>VLOOKUP(RawSalesTable[[#This Row],[Customer_ID_clean]],CustomersTable[],4,FALSE)</f>
        <v>British Columbia</v>
      </c>
    </row>
    <row r="687" spans="1:37">
      <c r="A687" t="s">
        <v>1136</v>
      </c>
      <c r="B687" s="3">
        <v>45735</v>
      </c>
      <c r="C687" t="s">
        <v>322</v>
      </c>
      <c r="D687" t="s">
        <v>252</v>
      </c>
      <c r="E687" t="s">
        <v>470</v>
      </c>
      <c r="F687" t="s">
        <v>145</v>
      </c>
      <c r="G687" t="s">
        <v>183</v>
      </c>
      <c r="H687" t="s">
        <v>105</v>
      </c>
      <c r="I687">
        <v>1</v>
      </c>
      <c r="J687" s="2">
        <v>280.38</v>
      </c>
      <c r="K687" s="4">
        <v>0.25</v>
      </c>
      <c r="L687" t="s">
        <v>98</v>
      </c>
      <c r="M687">
        <v>2</v>
      </c>
      <c r="N687" t="s">
        <v>147</v>
      </c>
      <c r="O687" t="str">
        <f>SUBSTITUTE(PROPER(TRIM(RawSalesTable[[#This Row],[Channel_Raw]])), "Market Place", "Marketplace")</f>
        <v>Marketplace</v>
      </c>
      <c r="P687" t="str">
        <f>TRIM(RawSalesTable[[#This Row],[Store_Raw]])</f>
        <v>Calgary North</v>
      </c>
      <c r="Q687" t="str">
        <f>IF(TRIM(RawSalesTable[[#This Row],[Payment_Method_Raw]])="","Non renseigné",SUBSTITUTE(TRIM(RawSalesTable[[#This Row],[Payment_Method_Raw]]),"CC","Credit Card"))</f>
        <v>Debit Card</v>
      </c>
      <c r="R687" s="8" t="str">
        <f>UPPER(PROPER(RawSalesTable[[#This Row],[Customer_ID]]))</f>
        <v>C0119</v>
      </c>
      <c r="S687" s="8" t="str">
        <f>TRIM(LEFT(RawSalesTable[[#This Row],[Customer_Info]],FIND(",",RawSalesTable[[#This Row],[Customer_Info]]) -1))</f>
        <v>Liam Chen</v>
      </c>
      <c r="T687" s="8" t="str">
        <f>TRIM(MID(RawSalesTable[[#This Row],[Customer_Info]],FIND(",",RawSalesTable[[#This Row],[Customer_Info]])+1,FIND(",",RawSalesTable[[#This Row],[Customer_Info]],FIND(",",RawSalesTable[[#This Row],[Customer_Info]])+1)-FIND(",",RawSalesTable[[#This Row],[Customer_Info]])-1))</f>
        <v>Winnipeg</v>
      </c>
      <c r="U687" s="8" t="str">
        <f>TRIM(RIGHT(RawSalesTable[[#This Row],[Customer_Info]], LEN(RawSalesTable[[#This Row],[Customer_Info]])-FIND(",",RawSalesTable[[#This Row],[Customer_Info]],FIND(",",RawSalesTable[[#This Row],[Customer_Info]])+1)))</f>
        <v>Consumer</v>
      </c>
      <c r="V687" s="8" t="str">
        <f>VLOOKUP(RawSalesTable[[#This Row],[Product_ID]],ProductsTable[],2,FALSE)</f>
        <v>Vacuum</v>
      </c>
      <c r="W687" s="8" t="str">
        <f>VLOOKUP(RawSalesTable[[#This Row],[Product_ID]],ProductsTable[],3,FALSE)</f>
        <v>Home</v>
      </c>
      <c r="X687" s="8">
        <f>VLOOKUP(RawSalesTable[[#This Row],[Product_ID]],ProductsTable[],5,FALSE)</f>
        <v>186.94</v>
      </c>
      <c r="Y687" s="8">
        <f>RawSalesTable[[#This Row],[Quantity]]*RawSalesTable[[#This Row],[Unit_Price]]</f>
        <v>280.38</v>
      </c>
      <c r="Z687" s="8">
        <f>RawSalesTable[[#This Row],[Gross_Sales]]*RawSalesTable[[#This Row],[Discount_Pct]]</f>
        <v>70.094999999999999</v>
      </c>
      <c r="AA687" s="8">
        <f>RawSalesTable[[#This Row],[Gross_Sales]]-RawSalesTable[[#This Row],[Discount_Amount]]</f>
        <v>210.285</v>
      </c>
      <c r="AB687" s="8">
        <f>RawSalesTable[[#This Row],[Unit_Cost]]*RawSalesTable[[#This Row],[Quantity]]</f>
        <v>186.94</v>
      </c>
      <c r="AC687" s="8">
        <f>RawSalesTable[[#This Row],[Net_Sales]]-RawSalesTable[[#This Row],[Total_Cost]]</f>
        <v>23.344999999999999</v>
      </c>
      <c r="AD687" s="9">
        <f>RawSalesTable[[#This Row],[Profit]]/RawSalesTable[[#This Row],[Net_Sales]]</f>
        <v>0.11101600209239841</v>
      </c>
      <c r="AE687" s="8">
        <f>IF(RawSalesTable[[#This Row],[Return_Status]]="Yes",1,0)</f>
        <v>1</v>
      </c>
      <c r="AF687" s="8">
        <f>YEAR(RawSalesTable[[#This Row],[Order_Date]])</f>
        <v>2025</v>
      </c>
      <c r="AG687" s="8">
        <f>MONTH(RawSalesTable[[#This Row],[Order_Date]])</f>
        <v>3</v>
      </c>
      <c r="AH687" s="8" t="str">
        <f>TEXT(RawSalesTable[[#This Row],[Order_Date]],"mmmm")</f>
        <v>mars</v>
      </c>
      <c r="AI687" s="8" t="str">
        <f>IF(RawSalesTable[[#This Row],[Month_Number]]&lt;=3,"Q1",IF(RawSalesTable[[#This Row],[Month_Number]]&lt;=6,"Q2",IF(RawSalesTable[[#This Row],[Month_Number]]&lt;=9,"Q3","Q4")))</f>
        <v>Q1</v>
      </c>
      <c r="AJ687" s="13">
        <f>DATE(YEAR(RawSalesTable[[#This Row],[Order_Date]]),MONTH(RawSalesTable[[#This Row],[Order_Date]]),1)</f>
        <v>45717</v>
      </c>
      <c r="AK687" s="8" t="str">
        <f>VLOOKUP(RawSalesTable[[#This Row],[Customer_ID_clean]],CustomersTable[],4,FALSE)</f>
        <v>Manitoba</v>
      </c>
    </row>
    <row r="688" spans="1:37">
      <c r="A688" t="s">
        <v>1137</v>
      </c>
      <c r="B688" s="3">
        <v>45797</v>
      </c>
      <c r="C688" t="s">
        <v>239</v>
      </c>
      <c r="D688" t="s">
        <v>277</v>
      </c>
      <c r="E688" t="s">
        <v>240</v>
      </c>
      <c r="F688" t="s">
        <v>87</v>
      </c>
      <c r="G688" t="s">
        <v>88</v>
      </c>
      <c r="H688" t="s">
        <v>89</v>
      </c>
      <c r="I688">
        <v>2</v>
      </c>
      <c r="J688" s="2">
        <v>350.77</v>
      </c>
      <c r="K688" s="4">
        <v>0.1</v>
      </c>
      <c r="L688" t="s">
        <v>90</v>
      </c>
      <c r="M688">
        <v>9</v>
      </c>
      <c r="N688" t="s">
        <v>91</v>
      </c>
      <c r="O688" t="str">
        <f>SUBSTITUTE(PROPER(TRIM(RawSalesTable[[#This Row],[Channel_Raw]])), "Market Place", "Marketplace")</f>
        <v>Online</v>
      </c>
      <c r="P688" t="str">
        <f>TRIM(RawSalesTable[[#This Row],[Store_Raw]])</f>
        <v>Online Fulfillment</v>
      </c>
      <c r="Q688" t="str">
        <f>IF(TRIM(RawSalesTable[[#This Row],[Payment_Method_Raw]])="","Non renseigné",SUBSTITUTE(TRIM(RawSalesTable[[#This Row],[Payment_Method_Raw]]),"CC","Credit Card"))</f>
        <v>PayPal</v>
      </c>
      <c r="R688" s="8" t="str">
        <f>UPPER(PROPER(RawSalesTable[[#This Row],[Customer_ID]]))</f>
        <v>C0089</v>
      </c>
      <c r="S688" s="8" t="str">
        <f>TRIM(LEFT(RawSalesTable[[#This Row],[Customer_Info]],FIND(",",RawSalesTable[[#This Row],[Customer_Info]]) -1))</f>
        <v>Lucas Martin</v>
      </c>
      <c r="T688" s="8" t="str">
        <f>TRIM(MID(RawSalesTable[[#This Row],[Customer_Info]],FIND(",",RawSalesTable[[#This Row],[Customer_Info]])+1,FIND(",",RawSalesTable[[#This Row],[Customer_Info]],FIND(",",RawSalesTable[[#This Row],[Customer_Info]])+1)-FIND(",",RawSalesTable[[#This Row],[Customer_Info]])-1))</f>
        <v>Vancouver</v>
      </c>
      <c r="U688" s="8" t="str">
        <f>TRIM(RIGHT(RawSalesTable[[#This Row],[Customer_Info]], LEN(RawSalesTable[[#This Row],[Customer_Info]])-FIND(",",RawSalesTable[[#This Row],[Customer_Info]],FIND(",",RawSalesTable[[#This Row],[Customer_Info]])+1)))</f>
        <v>Consumer</v>
      </c>
      <c r="V688" s="8" t="str">
        <f>VLOOKUP(RawSalesTable[[#This Row],[Product_ID]],ProductsTable[],2,FALSE)</f>
        <v>Headphones</v>
      </c>
      <c r="W688" s="8" t="str">
        <f>VLOOKUP(RawSalesTable[[#This Row],[Product_ID]],ProductsTable[],3,FALSE)</f>
        <v>Electronics</v>
      </c>
      <c r="X688" s="8">
        <f>VLOOKUP(RawSalesTable[[#This Row],[Product_ID]],ProductsTable[],5,FALSE)</f>
        <v>254.6</v>
      </c>
      <c r="Y688" s="8">
        <f>RawSalesTable[[#This Row],[Quantity]]*RawSalesTable[[#This Row],[Unit_Price]]</f>
        <v>701.54</v>
      </c>
      <c r="Z688" s="8">
        <f>RawSalesTable[[#This Row],[Gross_Sales]]*RawSalesTable[[#This Row],[Discount_Pct]]</f>
        <v>70.153999999999996</v>
      </c>
      <c r="AA688" s="8">
        <f>RawSalesTable[[#This Row],[Gross_Sales]]-RawSalesTable[[#This Row],[Discount_Amount]]</f>
        <v>631.38599999999997</v>
      </c>
      <c r="AB688" s="8">
        <f>RawSalesTable[[#This Row],[Unit_Cost]]*RawSalesTable[[#This Row],[Quantity]]</f>
        <v>509.2</v>
      </c>
      <c r="AC688" s="8">
        <f>RawSalesTable[[#This Row],[Net_Sales]]-RawSalesTable[[#This Row],[Total_Cost]]</f>
        <v>122.18599999999998</v>
      </c>
      <c r="AD688" s="9">
        <f>RawSalesTable[[#This Row],[Profit]]/RawSalesTable[[#This Row],[Net_Sales]]</f>
        <v>0.19352028711438007</v>
      </c>
      <c r="AE688" s="8">
        <f>IF(RawSalesTable[[#This Row],[Return_Status]]="Yes",1,0)</f>
        <v>0</v>
      </c>
      <c r="AF688" s="8">
        <f>YEAR(RawSalesTable[[#This Row],[Order_Date]])</f>
        <v>2025</v>
      </c>
      <c r="AG688" s="8">
        <f>MONTH(RawSalesTable[[#This Row],[Order_Date]])</f>
        <v>5</v>
      </c>
      <c r="AH688" s="8" t="str">
        <f>TEXT(RawSalesTable[[#This Row],[Order_Date]],"mmmm")</f>
        <v>mai</v>
      </c>
      <c r="AI688" s="8" t="str">
        <f>IF(RawSalesTable[[#This Row],[Month_Number]]&lt;=3,"Q1",IF(RawSalesTable[[#This Row],[Month_Number]]&lt;=6,"Q2",IF(RawSalesTable[[#This Row],[Month_Number]]&lt;=9,"Q3","Q4")))</f>
        <v>Q2</v>
      </c>
      <c r="AJ688" s="13">
        <f>DATE(YEAR(RawSalesTable[[#This Row],[Order_Date]]),MONTH(RawSalesTable[[#This Row],[Order_Date]]),1)</f>
        <v>45778</v>
      </c>
      <c r="AK688" s="8" t="str">
        <f>VLOOKUP(RawSalesTable[[#This Row],[Customer_ID_clean]],CustomersTable[],4,FALSE)</f>
        <v>British Columbia</v>
      </c>
    </row>
    <row r="689" spans="1:37">
      <c r="A689" t="s">
        <v>1138</v>
      </c>
      <c r="B689" s="3">
        <v>45956</v>
      </c>
      <c r="C689" t="s">
        <v>516</v>
      </c>
      <c r="D689" t="s">
        <v>346</v>
      </c>
      <c r="E689" t="s">
        <v>517</v>
      </c>
      <c r="F689" t="s">
        <v>111</v>
      </c>
      <c r="G689" t="s">
        <v>122</v>
      </c>
      <c r="H689" t="s">
        <v>89</v>
      </c>
      <c r="I689">
        <v>1</v>
      </c>
      <c r="J689" s="2">
        <v>240.35</v>
      </c>
      <c r="K689" s="4">
        <v>0</v>
      </c>
      <c r="L689" t="s">
        <v>106</v>
      </c>
      <c r="M689">
        <v>8</v>
      </c>
      <c r="N689" t="s">
        <v>91</v>
      </c>
      <c r="O689" t="str">
        <f>SUBSTITUTE(PROPER(TRIM(RawSalesTable[[#This Row],[Channel_Raw]])), "Market Place", "Marketplace")</f>
        <v>Online</v>
      </c>
      <c r="P689" t="str">
        <f>TRIM(RawSalesTable[[#This Row],[Store_Raw]])</f>
        <v>Montreal Central</v>
      </c>
      <c r="Q689" t="str">
        <f>IF(TRIM(RawSalesTable[[#This Row],[Payment_Method_Raw]])="","Non renseigné",SUBSTITUTE(TRIM(RawSalesTable[[#This Row],[Payment_Method_Raw]]),"CC","Credit Card"))</f>
        <v>Credit Card</v>
      </c>
      <c r="R689" s="8" t="str">
        <f>UPPER(PROPER(RawSalesTable[[#This Row],[Customer_ID]]))</f>
        <v>C0120</v>
      </c>
      <c r="S689" s="8" t="str">
        <f>TRIM(LEFT(RawSalesTable[[#This Row],[Customer_Info]],FIND(",",RawSalesTable[[#This Row],[Customer_Info]]) -1))</f>
        <v>Ethan King</v>
      </c>
      <c r="T689" s="8" t="str">
        <f>TRIM(MID(RawSalesTable[[#This Row],[Customer_Info]],FIND(",",RawSalesTable[[#This Row],[Customer_Info]])+1,FIND(",",RawSalesTable[[#This Row],[Customer_Info]],FIND(",",RawSalesTable[[#This Row],[Customer_Info]])+1)-FIND(",",RawSalesTable[[#This Row],[Customer_Info]])-1))</f>
        <v>Mississauga</v>
      </c>
      <c r="U689" s="8" t="str">
        <f>TRIM(RIGHT(RawSalesTable[[#This Row],[Customer_Info]], LEN(RawSalesTable[[#This Row],[Customer_Info]])-FIND(",",RawSalesTable[[#This Row],[Customer_Info]],FIND(",",RawSalesTable[[#This Row],[Customer_Info]])+1)))</f>
        <v>Small Business</v>
      </c>
      <c r="V689" s="8" t="str">
        <f>VLOOKUP(RawSalesTable[[#This Row],[Product_ID]],ProductsTable[],2,FALSE)</f>
        <v>Pull-up Bar</v>
      </c>
      <c r="W689" s="8" t="str">
        <f>VLOOKUP(RawSalesTable[[#This Row],[Product_ID]],ProductsTable[],3,FALSE)</f>
        <v>Fitness</v>
      </c>
      <c r="X689" s="8">
        <f>VLOOKUP(RawSalesTable[[#This Row],[Product_ID]],ProductsTable[],5,FALSE)</f>
        <v>125.4</v>
      </c>
      <c r="Y689" s="8">
        <f>RawSalesTable[[#This Row],[Quantity]]*RawSalesTable[[#This Row],[Unit_Price]]</f>
        <v>240.35</v>
      </c>
      <c r="Z689" s="8">
        <f>RawSalesTable[[#This Row],[Gross_Sales]]*RawSalesTable[[#This Row],[Discount_Pct]]</f>
        <v>0</v>
      </c>
      <c r="AA689" s="8">
        <f>RawSalesTable[[#This Row],[Gross_Sales]]-RawSalesTable[[#This Row],[Discount_Amount]]</f>
        <v>240.35</v>
      </c>
      <c r="AB689" s="8">
        <f>RawSalesTable[[#This Row],[Unit_Cost]]*RawSalesTable[[#This Row],[Quantity]]</f>
        <v>125.4</v>
      </c>
      <c r="AC689" s="8">
        <f>RawSalesTable[[#This Row],[Net_Sales]]-RawSalesTable[[#This Row],[Total_Cost]]</f>
        <v>114.94999999999999</v>
      </c>
      <c r="AD689" s="9">
        <f>RawSalesTable[[#This Row],[Profit]]/RawSalesTable[[#This Row],[Net_Sales]]</f>
        <v>0.47826086956521735</v>
      </c>
      <c r="AE689" s="8">
        <f>IF(RawSalesTable[[#This Row],[Return_Status]]="Yes",1,0)</f>
        <v>0</v>
      </c>
      <c r="AF689" s="8">
        <f>YEAR(RawSalesTable[[#This Row],[Order_Date]])</f>
        <v>2025</v>
      </c>
      <c r="AG689" s="8">
        <f>MONTH(RawSalesTable[[#This Row],[Order_Date]])</f>
        <v>10</v>
      </c>
      <c r="AH689" s="8" t="str">
        <f>TEXT(RawSalesTable[[#This Row],[Order_Date]],"mmmm")</f>
        <v>octobre</v>
      </c>
      <c r="AI689" s="8" t="str">
        <f>IF(RawSalesTable[[#This Row],[Month_Number]]&lt;=3,"Q1",IF(RawSalesTable[[#This Row],[Month_Number]]&lt;=6,"Q2",IF(RawSalesTable[[#This Row],[Month_Number]]&lt;=9,"Q3","Q4")))</f>
        <v>Q4</v>
      </c>
      <c r="AJ689" s="13">
        <f>DATE(YEAR(RawSalesTable[[#This Row],[Order_Date]]),MONTH(RawSalesTable[[#This Row],[Order_Date]]),1)</f>
        <v>45931</v>
      </c>
      <c r="AK689" s="8" t="str">
        <f>VLOOKUP(RawSalesTable[[#This Row],[Customer_ID_clean]],CustomersTable[],4,FALSE)</f>
        <v>Ontario</v>
      </c>
    </row>
    <row r="690" spans="1:37">
      <c r="A690" t="s">
        <v>1139</v>
      </c>
      <c r="B690" s="3">
        <v>45691</v>
      </c>
      <c r="C690" t="s">
        <v>512</v>
      </c>
      <c r="D690" t="s">
        <v>143</v>
      </c>
      <c r="E690" t="s">
        <v>513</v>
      </c>
      <c r="F690" t="s">
        <v>111</v>
      </c>
      <c r="G690" t="s">
        <v>117</v>
      </c>
      <c r="H690" t="s">
        <v>89</v>
      </c>
      <c r="I690">
        <v>2</v>
      </c>
      <c r="J690" s="2">
        <v>261.43</v>
      </c>
      <c r="K690" s="4">
        <v>0.15</v>
      </c>
      <c r="L690" t="s">
        <v>106</v>
      </c>
      <c r="M690">
        <v>2</v>
      </c>
      <c r="N690" t="s">
        <v>91</v>
      </c>
      <c r="O690" t="str">
        <f>SUBSTITUTE(PROPER(TRIM(RawSalesTable[[#This Row],[Channel_Raw]])), "Market Place", "Marketplace")</f>
        <v>Online</v>
      </c>
      <c r="P690" t="str">
        <f>TRIM(RawSalesTable[[#This Row],[Store_Raw]])</f>
        <v>Montreal Central</v>
      </c>
      <c r="Q690" t="str">
        <f>IF(TRIM(RawSalesTable[[#This Row],[Payment_Method_Raw]])="","Non renseigné",SUBSTITUTE(TRIM(RawSalesTable[[#This Row],[Payment_Method_Raw]]),"CC","Credit Card"))</f>
        <v>Credit Card</v>
      </c>
      <c r="R690" s="8" t="str">
        <f>UPPER(PROPER(RawSalesTable[[#This Row],[Customer_ID]]))</f>
        <v>C0082</v>
      </c>
      <c r="S690" s="8" t="str">
        <f>TRIM(LEFT(RawSalesTable[[#This Row],[Customer_Info]],FIND(",",RawSalesTable[[#This Row],[Customer_Info]]) -1))</f>
        <v>Ryan King</v>
      </c>
      <c r="T690" s="8" t="str">
        <f>TRIM(MID(RawSalesTable[[#This Row],[Customer_Info]],FIND(",",RawSalesTable[[#This Row],[Customer_Info]])+1,FIND(",",RawSalesTable[[#This Row],[Customer_Info]],FIND(",",RawSalesTable[[#This Row],[Customer_Info]])+1)-FIND(",",RawSalesTable[[#This Row],[Customer_Info]])-1))</f>
        <v>Winnipeg</v>
      </c>
      <c r="U690" s="8" t="str">
        <f>TRIM(RIGHT(RawSalesTable[[#This Row],[Customer_Info]], LEN(RawSalesTable[[#This Row],[Customer_Info]])-FIND(",",RawSalesTable[[#This Row],[Customer_Info]],FIND(",",RawSalesTable[[#This Row],[Customer_Info]])+1)))</f>
        <v>Small Business</v>
      </c>
      <c r="V690" s="8" t="str">
        <f>VLOOKUP(RawSalesTable[[#This Row],[Product_ID]],ProductsTable[],2,FALSE)</f>
        <v>Water Bottle</v>
      </c>
      <c r="W690" s="8" t="str">
        <f>VLOOKUP(RawSalesTable[[#This Row],[Product_ID]],ProductsTable[],3,FALSE)</f>
        <v>Accessories</v>
      </c>
      <c r="X690" s="8">
        <f>VLOOKUP(RawSalesTable[[#This Row],[Product_ID]],ProductsTable[],5,FALSE)</f>
        <v>119.16</v>
      </c>
      <c r="Y690" s="8">
        <f>RawSalesTable[[#This Row],[Quantity]]*RawSalesTable[[#This Row],[Unit_Price]]</f>
        <v>522.86</v>
      </c>
      <c r="Z690" s="8">
        <f>RawSalesTable[[#This Row],[Gross_Sales]]*RawSalesTable[[#This Row],[Discount_Pct]]</f>
        <v>78.429000000000002</v>
      </c>
      <c r="AA690" s="8">
        <f>RawSalesTable[[#This Row],[Gross_Sales]]-RawSalesTable[[#This Row],[Discount_Amount]]</f>
        <v>444.43100000000004</v>
      </c>
      <c r="AB690" s="8">
        <f>RawSalesTable[[#This Row],[Unit_Cost]]*RawSalesTable[[#This Row],[Quantity]]</f>
        <v>238.32</v>
      </c>
      <c r="AC690" s="8">
        <f>RawSalesTable[[#This Row],[Net_Sales]]-RawSalesTable[[#This Row],[Total_Cost]]</f>
        <v>206.11100000000005</v>
      </c>
      <c r="AD690" s="9">
        <f>RawSalesTable[[#This Row],[Profit]]/RawSalesTable[[#This Row],[Net_Sales]]</f>
        <v>0.46376377885431042</v>
      </c>
      <c r="AE690" s="8">
        <f>IF(RawSalesTable[[#This Row],[Return_Status]]="Yes",1,0)</f>
        <v>0</v>
      </c>
      <c r="AF690" s="8">
        <f>YEAR(RawSalesTable[[#This Row],[Order_Date]])</f>
        <v>2025</v>
      </c>
      <c r="AG690" s="8">
        <f>MONTH(RawSalesTable[[#This Row],[Order_Date]])</f>
        <v>2</v>
      </c>
      <c r="AH690" s="8" t="str">
        <f>TEXT(RawSalesTable[[#This Row],[Order_Date]],"mmmm")</f>
        <v>février</v>
      </c>
      <c r="AI690" s="8" t="str">
        <f>IF(RawSalesTable[[#This Row],[Month_Number]]&lt;=3,"Q1",IF(RawSalesTable[[#This Row],[Month_Number]]&lt;=6,"Q2",IF(RawSalesTable[[#This Row],[Month_Number]]&lt;=9,"Q3","Q4")))</f>
        <v>Q1</v>
      </c>
      <c r="AJ690" s="13">
        <f>DATE(YEAR(RawSalesTable[[#This Row],[Order_Date]]),MONTH(RawSalesTable[[#This Row],[Order_Date]]),1)</f>
        <v>45689</v>
      </c>
      <c r="AK690" s="8" t="str">
        <f>VLOOKUP(RawSalesTable[[#This Row],[Customer_ID_clean]],CustomersTable[],4,FALSE)</f>
        <v>Manitoba</v>
      </c>
    </row>
    <row r="691" spans="1:37">
      <c r="A691" t="s">
        <v>1140</v>
      </c>
      <c r="B691" s="3">
        <v>45833</v>
      </c>
      <c r="C691" t="s">
        <v>399</v>
      </c>
      <c r="D691" t="s">
        <v>252</v>
      </c>
      <c r="E691" t="s">
        <v>400</v>
      </c>
      <c r="F691" t="s">
        <v>87</v>
      </c>
      <c r="G691" t="s">
        <v>104</v>
      </c>
      <c r="H691" t="s">
        <v>97</v>
      </c>
      <c r="I691">
        <v>2</v>
      </c>
      <c r="J691" s="2">
        <v>279.02999999999997</v>
      </c>
      <c r="K691" s="4">
        <v>0.05</v>
      </c>
      <c r="L691" t="s">
        <v>106</v>
      </c>
      <c r="M691">
        <v>4</v>
      </c>
      <c r="N691" t="s">
        <v>91</v>
      </c>
      <c r="O691" t="str">
        <f>SUBSTITUTE(PROPER(TRIM(RawSalesTable[[#This Row],[Channel_Raw]])), "Market Place", "Marketplace")</f>
        <v>Retail Store</v>
      </c>
      <c r="P691" t="str">
        <f>TRIM(RawSalesTable[[#This Row],[Store_Raw]])</f>
        <v>Online Fulfillment</v>
      </c>
      <c r="Q691" t="str">
        <f>IF(TRIM(RawSalesTable[[#This Row],[Payment_Method_Raw]])="","Non renseigné",SUBSTITUTE(TRIM(RawSalesTable[[#This Row],[Payment_Method_Raw]]),"CC","Credit Card"))</f>
        <v>Credit Card</v>
      </c>
      <c r="R691" s="8" t="str">
        <f>UPPER(PROPER(RawSalesTable[[#This Row],[Customer_ID]]))</f>
        <v>C0090</v>
      </c>
      <c r="S691" s="8" t="str">
        <f>TRIM(LEFT(RawSalesTable[[#This Row],[Customer_Info]],FIND(",",RawSalesTable[[#This Row],[Customer_Info]]) -1))</f>
        <v>Nora Young</v>
      </c>
      <c r="T691" s="8" t="str">
        <f>TRIM(MID(RawSalesTable[[#This Row],[Customer_Info]],FIND(",",RawSalesTable[[#This Row],[Customer_Info]])+1,FIND(",",RawSalesTable[[#This Row],[Customer_Info]],FIND(",",RawSalesTable[[#This Row],[Customer_Info]])+1)-FIND(",",RawSalesTable[[#This Row],[Customer_Info]])-1))</f>
        <v>Montreal</v>
      </c>
      <c r="U691" s="8" t="str">
        <f>TRIM(RIGHT(RawSalesTable[[#This Row],[Customer_Info]], LEN(RawSalesTable[[#This Row],[Customer_Info]])-FIND(",",RawSalesTable[[#This Row],[Customer_Info]],FIND(",",RawSalesTable[[#This Row],[Customer_Info]])+1)))</f>
        <v>Small Business</v>
      </c>
      <c r="V691" s="8" t="str">
        <f>VLOOKUP(RawSalesTable[[#This Row],[Product_ID]],ProductsTable[],2,FALSE)</f>
        <v>Vacuum</v>
      </c>
      <c r="W691" s="8" t="str">
        <f>VLOOKUP(RawSalesTable[[#This Row],[Product_ID]],ProductsTable[],3,FALSE)</f>
        <v>Home</v>
      </c>
      <c r="X691" s="8">
        <f>VLOOKUP(RawSalesTable[[#This Row],[Product_ID]],ProductsTable[],5,FALSE)</f>
        <v>186.94</v>
      </c>
      <c r="Y691" s="8">
        <f>RawSalesTable[[#This Row],[Quantity]]*RawSalesTable[[#This Row],[Unit_Price]]</f>
        <v>558.05999999999995</v>
      </c>
      <c r="Z691" s="8">
        <f>RawSalesTable[[#This Row],[Gross_Sales]]*RawSalesTable[[#This Row],[Discount_Pct]]</f>
        <v>27.902999999999999</v>
      </c>
      <c r="AA691" s="8">
        <f>RawSalesTable[[#This Row],[Gross_Sales]]-RawSalesTable[[#This Row],[Discount_Amount]]</f>
        <v>530.15699999999993</v>
      </c>
      <c r="AB691" s="8">
        <f>RawSalesTable[[#This Row],[Unit_Cost]]*RawSalesTable[[#This Row],[Quantity]]</f>
        <v>373.88</v>
      </c>
      <c r="AC691" s="8">
        <f>RawSalesTable[[#This Row],[Net_Sales]]-RawSalesTable[[#This Row],[Total_Cost]]</f>
        <v>156.27699999999993</v>
      </c>
      <c r="AD691" s="9">
        <f>RawSalesTable[[#This Row],[Profit]]/RawSalesTable[[#This Row],[Net_Sales]]</f>
        <v>0.29477494402601484</v>
      </c>
      <c r="AE691" s="8">
        <f>IF(RawSalesTable[[#This Row],[Return_Status]]="Yes",1,0)</f>
        <v>0</v>
      </c>
      <c r="AF691" s="8">
        <f>YEAR(RawSalesTable[[#This Row],[Order_Date]])</f>
        <v>2025</v>
      </c>
      <c r="AG691" s="8">
        <f>MONTH(RawSalesTable[[#This Row],[Order_Date]])</f>
        <v>6</v>
      </c>
      <c r="AH691" s="8" t="str">
        <f>TEXT(RawSalesTable[[#This Row],[Order_Date]],"mmmm")</f>
        <v>juin</v>
      </c>
      <c r="AI691" s="8" t="str">
        <f>IF(RawSalesTable[[#This Row],[Month_Number]]&lt;=3,"Q1",IF(RawSalesTable[[#This Row],[Month_Number]]&lt;=6,"Q2",IF(RawSalesTable[[#This Row],[Month_Number]]&lt;=9,"Q3","Q4")))</f>
        <v>Q2</v>
      </c>
      <c r="AJ691" s="13">
        <f>DATE(YEAR(RawSalesTable[[#This Row],[Order_Date]]),MONTH(RawSalesTable[[#This Row],[Order_Date]]),1)</f>
        <v>45809</v>
      </c>
      <c r="AK691" s="8" t="str">
        <f>VLOOKUP(RawSalesTable[[#This Row],[Customer_ID_clean]],CustomersTable[],4,FALSE)</f>
        <v>Quebec</v>
      </c>
    </row>
    <row r="692" spans="1:37">
      <c r="A692" t="s">
        <v>1141</v>
      </c>
      <c r="B692" s="3">
        <v>45768</v>
      </c>
      <c r="C692" t="s">
        <v>699</v>
      </c>
      <c r="D692" t="s">
        <v>323</v>
      </c>
      <c r="E692" t="s">
        <v>700</v>
      </c>
      <c r="F692" t="s">
        <v>103</v>
      </c>
      <c r="G692" t="s">
        <v>130</v>
      </c>
      <c r="H692" t="s">
        <v>105</v>
      </c>
      <c r="I692">
        <v>1</v>
      </c>
      <c r="J692" s="2">
        <v>312.32</v>
      </c>
      <c r="K692" s="4">
        <v>0.05</v>
      </c>
      <c r="L692" t="s">
        <v>106</v>
      </c>
      <c r="M692">
        <v>7</v>
      </c>
      <c r="N692" t="s">
        <v>91</v>
      </c>
      <c r="O692" t="str">
        <f>SUBSTITUTE(PROPER(TRIM(RawSalesTable[[#This Row],[Channel_Raw]])), "Market Place", "Marketplace")</f>
        <v>Marketplace</v>
      </c>
      <c r="P692" t="str">
        <f>TRIM(RawSalesTable[[#This Row],[Store_Raw]])</f>
        <v>Vancouver West</v>
      </c>
      <c r="Q692" t="str">
        <f>IF(TRIM(RawSalesTable[[#This Row],[Payment_Method_Raw]])="","Non renseigné",SUBSTITUTE(TRIM(RawSalesTable[[#This Row],[Payment_Method_Raw]]),"CC","Credit Card"))</f>
        <v>Credit Card</v>
      </c>
      <c r="R692" s="8" t="str">
        <f>UPPER(PROPER(RawSalesTable[[#This Row],[Customer_ID]]))</f>
        <v>C0097</v>
      </c>
      <c r="S692" s="8" t="str">
        <f>TRIM(LEFT(RawSalesTable[[#This Row],[Customer_Info]],FIND(",",RawSalesTable[[#This Row],[Customer_Info]]) -1))</f>
        <v>Sarah Khan</v>
      </c>
      <c r="T692" s="8" t="str">
        <f>TRIM(MID(RawSalesTable[[#This Row],[Customer_Info]],FIND(",",RawSalesTable[[#This Row],[Customer_Info]])+1,FIND(",",RawSalesTable[[#This Row],[Customer_Info]],FIND(",",RawSalesTable[[#This Row],[Customer_Info]])+1)-FIND(",",RawSalesTable[[#This Row],[Customer_Info]])-1))</f>
        <v>Montreal</v>
      </c>
      <c r="U692" s="8" t="str">
        <f>TRIM(RIGHT(RawSalesTable[[#This Row],[Customer_Info]], LEN(RawSalesTable[[#This Row],[Customer_Info]])-FIND(",",RawSalesTable[[#This Row],[Customer_Info]],FIND(",",RawSalesTable[[#This Row],[Customer_Info]])+1)))</f>
        <v>Consumer</v>
      </c>
      <c r="V692" s="8" t="str">
        <f>VLOOKUP(RawSalesTable[[#This Row],[Product_ID]],ProductsTable[],2,FALSE)</f>
        <v>Toaster</v>
      </c>
      <c r="W692" s="8" t="str">
        <f>VLOOKUP(RawSalesTable[[#This Row],[Product_ID]],ProductsTable[],3,FALSE)</f>
        <v>Home</v>
      </c>
      <c r="X692" s="8">
        <f>VLOOKUP(RawSalesTable[[#This Row],[Product_ID]],ProductsTable[],5,FALSE)</f>
        <v>152.88</v>
      </c>
      <c r="Y692" s="8">
        <f>RawSalesTable[[#This Row],[Quantity]]*RawSalesTable[[#This Row],[Unit_Price]]</f>
        <v>312.32</v>
      </c>
      <c r="Z692" s="8">
        <f>RawSalesTable[[#This Row],[Gross_Sales]]*RawSalesTable[[#This Row],[Discount_Pct]]</f>
        <v>15.616</v>
      </c>
      <c r="AA692" s="8">
        <f>RawSalesTable[[#This Row],[Gross_Sales]]-RawSalesTable[[#This Row],[Discount_Amount]]</f>
        <v>296.70400000000001</v>
      </c>
      <c r="AB692" s="8">
        <f>RawSalesTable[[#This Row],[Unit_Cost]]*RawSalesTable[[#This Row],[Quantity]]</f>
        <v>152.88</v>
      </c>
      <c r="AC692" s="8">
        <f>RawSalesTable[[#This Row],[Net_Sales]]-RawSalesTable[[#This Row],[Total_Cost]]</f>
        <v>143.82400000000001</v>
      </c>
      <c r="AD692" s="9">
        <f>RawSalesTable[[#This Row],[Profit]]/RawSalesTable[[#This Row],[Net_Sales]]</f>
        <v>0.48473899913718727</v>
      </c>
      <c r="AE692" s="8">
        <f>IF(RawSalesTable[[#This Row],[Return_Status]]="Yes",1,0)</f>
        <v>0</v>
      </c>
      <c r="AF692" s="8">
        <f>YEAR(RawSalesTable[[#This Row],[Order_Date]])</f>
        <v>2025</v>
      </c>
      <c r="AG692" s="8">
        <f>MONTH(RawSalesTable[[#This Row],[Order_Date]])</f>
        <v>4</v>
      </c>
      <c r="AH692" s="8" t="str">
        <f>TEXT(RawSalesTable[[#This Row],[Order_Date]],"mmmm")</f>
        <v>avril</v>
      </c>
      <c r="AI692" s="8" t="str">
        <f>IF(RawSalesTable[[#This Row],[Month_Number]]&lt;=3,"Q1",IF(RawSalesTable[[#This Row],[Month_Number]]&lt;=6,"Q2",IF(RawSalesTable[[#This Row],[Month_Number]]&lt;=9,"Q3","Q4")))</f>
        <v>Q2</v>
      </c>
      <c r="AJ692" s="13">
        <f>DATE(YEAR(RawSalesTable[[#This Row],[Order_Date]]),MONTH(RawSalesTable[[#This Row],[Order_Date]]),1)</f>
        <v>45748</v>
      </c>
      <c r="AK692" s="8" t="str">
        <f>VLOOKUP(RawSalesTable[[#This Row],[Customer_ID_clean]],CustomersTable[],4,FALSE)</f>
        <v>Quebec</v>
      </c>
    </row>
    <row r="693" spans="1:37">
      <c r="A693" t="s">
        <v>1142</v>
      </c>
      <c r="B693" s="3">
        <v>45756</v>
      </c>
      <c r="C693" t="s">
        <v>414</v>
      </c>
      <c r="D693" t="s">
        <v>503</v>
      </c>
      <c r="E693" t="s">
        <v>415</v>
      </c>
      <c r="F693" t="s">
        <v>87</v>
      </c>
      <c r="G693" t="s">
        <v>183</v>
      </c>
      <c r="H693" t="s">
        <v>89</v>
      </c>
      <c r="I693">
        <v>2</v>
      </c>
      <c r="J693" s="2">
        <v>128.16</v>
      </c>
      <c r="K693" s="4">
        <v>0.15</v>
      </c>
      <c r="L693" t="s">
        <v>106</v>
      </c>
      <c r="M693">
        <v>1</v>
      </c>
      <c r="N693" t="s">
        <v>91</v>
      </c>
      <c r="O693" t="str">
        <f>SUBSTITUTE(PROPER(TRIM(RawSalesTable[[#This Row],[Channel_Raw]])), "Market Place", "Marketplace")</f>
        <v>Online</v>
      </c>
      <c r="P693" t="str">
        <f>TRIM(RawSalesTable[[#This Row],[Store_Raw]])</f>
        <v>Online Fulfillment</v>
      </c>
      <c r="Q693" t="str">
        <f>IF(TRIM(RawSalesTable[[#This Row],[Payment_Method_Raw]])="","Non renseigné",SUBSTITUTE(TRIM(RawSalesTable[[#This Row],[Payment_Method_Raw]]),"CC","Credit Card"))</f>
        <v>Credit Card</v>
      </c>
      <c r="R693" s="8" t="str">
        <f>UPPER(PROPER(RawSalesTable[[#This Row],[Customer_ID]]))</f>
        <v>C0052</v>
      </c>
      <c r="S693" s="8" t="str">
        <f>TRIM(LEFT(RawSalesTable[[#This Row],[Customer_Info]],FIND(",",RawSalesTable[[#This Row],[Customer_Info]]) -1))</f>
        <v>Liam Bennett</v>
      </c>
      <c r="T693" s="8" t="str">
        <f>TRIM(MID(RawSalesTable[[#This Row],[Customer_Info]],FIND(",",RawSalesTable[[#This Row],[Customer_Info]])+1,FIND(",",RawSalesTable[[#This Row],[Customer_Info]],FIND(",",RawSalesTable[[#This Row],[Customer_Info]])+1)-FIND(",",RawSalesTable[[#This Row],[Customer_Info]])-1))</f>
        <v>Edmonton</v>
      </c>
      <c r="U693" s="8" t="str">
        <f>TRIM(RIGHT(RawSalesTable[[#This Row],[Customer_Info]], LEN(RawSalesTable[[#This Row],[Customer_Info]])-FIND(",",RawSalesTable[[#This Row],[Customer_Info]],FIND(",",RawSalesTable[[#This Row],[Customer_Info]])+1)))</f>
        <v>Corporate</v>
      </c>
      <c r="V693" s="8" t="str">
        <f>VLOOKUP(RawSalesTable[[#This Row],[Product_ID]],ProductsTable[],2,FALSE)</f>
        <v>Whiteboard</v>
      </c>
      <c r="W693" s="8" t="str">
        <f>VLOOKUP(RawSalesTable[[#This Row],[Product_ID]],ProductsTable[],3,FALSE)</f>
        <v>Office</v>
      </c>
      <c r="X693" s="8">
        <f>VLOOKUP(RawSalesTable[[#This Row],[Product_ID]],ProductsTable[],5,FALSE)</f>
        <v>85.73</v>
      </c>
      <c r="Y693" s="8">
        <f>RawSalesTable[[#This Row],[Quantity]]*RawSalesTable[[#This Row],[Unit_Price]]</f>
        <v>256.32</v>
      </c>
      <c r="Z693" s="8">
        <f>RawSalesTable[[#This Row],[Gross_Sales]]*RawSalesTable[[#This Row],[Discount_Pct]]</f>
        <v>38.448</v>
      </c>
      <c r="AA693" s="8">
        <f>RawSalesTable[[#This Row],[Gross_Sales]]-RawSalesTable[[#This Row],[Discount_Amount]]</f>
        <v>217.87199999999999</v>
      </c>
      <c r="AB693" s="8">
        <f>RawSalesTable[[#This Row],[Unit_Cost]]*RawSalesTable[[#This Row],[Quantity]]</f>
        <v>171.46</v>
      </c>
      <c r="AC693" s="8">
        <f>RawSalesTable[[#This Row],[Net_Sales]]-RawSalesTable[[#This Row],[Total_Cost]]</f>
        <v>46.411999999999978</v>
      </c>
      <c r="AD693" s="9">
        <f>RawSalesTable[[#This Row],[Profit]]/RawSalesTable[[#This Row],[Net_Sales]]</f>
        <v>0.21302416097525143</v>
      </c>
      <c r="AE693" s="8">
        <f>IF(RawSalesTable[[#This Row],[Return_Status]]="Yes",1,0)</f>
        <v>0</v>
      </c>
      <c r="AF693" s="8">
        <f>YEAR(RawSalesTable[[#This Row],[Order_Date]])</f>
        <v>2025</v>
      </c>
      <c r="AG693" s="8">
        <f>MONTH(RawSalesTable[[#This Row],[Order_Date]])</f>
        <v>4</v>
      </c>
      <c r="AH693" s="8" t="str">
        <f>TEXT(RawSalesTable[[#This Row],[Order_Date]],"mmmm")</f>
        <v>avril</v>
      </c>
      <c r="AI693" s="8" t="str">
        <f>IF(RawSalesTable[[#This Row],[Month_Number]]&lt;=3,"Q1",IF(RawSalesTable[[#This Row],[Month_Number]]&lt;=6,"Q2",IF(RawSalesTable[[#This Row],[Month_Number]]&lt;=9,"Q3","Q4")))</f>
        <v>Q2</v>
      </c>
      <c r="AJ693" s="13">
        <f>DATE(YEAR(RawSalesTable[[#This Row],[Order_Date]]),MONTH(RawSalesTable[[#This Row],[Order_Date]]),1)</f>
        <v>45748</v>
      </c>
      <c r="AK693" s="8" t="str">
        <f>VLOOKUP(RawSalesTable[[#This Row],[Customer_ID_clean]],CustomersTable[],4,FALSE)</f>
        <v>Alberta</v>
      </c>
    </row>
    <row r="694" spans="1:37">
      <c r="A694" t="s">
        <v>1143</v>
      </c>
      <c r="B694" s="3">
        <v>45796</v>
      </c>
      <c r="C694" t="s">
        <v>257</v>
      </c>
      <c r="D694" t="s">
        <v>181</v>
      </c>
      <c r="E694" t="s">
        <v>258</v>
      </c>
      <c r="F694" t="s">
        <v>145</v>
      </c>
      <c r="G694" t="s">
        <v>130</v>
      </c>
      <c r="H694" t="s">
        <v>89</v>
      </c>
      <c r="I694">
        <v>3</v>
      </c>
      <c r="J694" s="2">
        <v>367.91</v>
      </c>
      <c r="K694" s="4">
        <v>0</v>
      </c>
      <c r="L694" t="s">
        <v>106</v>
      </c>
      <c r="M694">
        <v>8</v>
      </c>
      <c r="N694" t="s">
        <v>91</v>
      </c>
      <c r="O694" t="str">
        <f>SUBSTITUTE(PROPER(TRIM(RawSalesTable[[#This Row],[Channel_Raw]])), "Market Place", "Marketplace")</f>
        <v>Online</v>
      </c>
      <c r="P694" t="str">
        <f>TRIM(RawSalesTable[[#This Row],[Store_Raw]])</f>
        <v>Calgary North</v>
      </c>
      <c r="Q694" t="str">
        <f>IF(TRIM(RawSalesTable[[#This Row],[Payment_Method_Raw]])="","Non renseigné",SUBSTITUTE(TRIM(RawSalesTable[[#This Row],[Payment_Method_Raw]]),"CC","Credit Card"))</f>
        <v>Credit Card</v>
      </c>
      <c r="R694" s="8" t="str">
        <f>UPPER(PROPER(RawSalesTable[[#This Row],[Customer_ID]]))</f>
        <v>C0068</v>
      </c>
      <c r="S694" s="8" t="str">
        <f>TRIM(LEFT(RawSalesTable[[#This Row],[Customer_Info]],FIND(",",RawSalesTable[[#This Row],[Customer_Info]]) -1))</f>
        <v>Yasmine Martin</v>
      </c>
      <c r="T694" s="8" t="str">
        <f>TRIM(MID(RawSalesTable[[#This Row],[Customer_Info]],FIND(",",RawSalesTable[[#This Row],[Customer_Info]])+1,FIND(",",RawSalesTable[[#This Row],[Customer_Info]],FIND(",",RawSalesTable[[#This Row],[Customer_Info]])+1)-FIND(",",RawSalesTable[[#This Row],[Customer_Info]])-1))</f>
        <v>Calgary</v>
      </c>
      <c r="U694" s="8" t="str">
        <f>TRIM(RIGHT(RawSalesTable[[#This Row],[Customer_Info]], LEN(RawSalesTable[[#This Row],[Customer_Info]])-FIND(",",RawSalesTable[[#This Row],[Customer_Info]],FIND(",",RawSalesTable[[#This Row],[Customer_Info]])+1)))</f>
        <v>Consumer</v>
      </c>
      <c r="V694" s="8" t="str">
        <f>VLOOKUP(RawSalesTable[[#This Row],[Product_ID]],ProductsTable[],2,FALSE)</f>
        <v>Monitor</v>
      </c>
      <c r="W694" s="8" t="str">
        <f>VLOOKUP(RawSalesTable[[#This Row],[Product_ID]],ProductsTable[],3,FALSE)</f>
        <v>Electronics</v>
      </c>
      <c r="X694" s="8">
        <f>VLOOKUP(RawSalesTable[[#This Row],[Product_ID]],ProductsTable[],5,FALSE)</f>
        <v>224.47</v>
      </c>
      <c r="Y694" s="8">
        <f>RawSalesTable[[#This Row],[Quantity]]*RawSalesTable[[#This Row],[Unit_Price]]</f>
        <v>1103.73</v>
      </c>
      <c r="Z694" s="8">
        <f>RawSalesTable[[#This Row],[Gross_Sales]]*RawSalesTable[[#This Row],[Discount_Pct]]</f>
        <v>0</v>
      </c>
      <c r="AA694" s="8">
        <f>RawSalesTable[[#This Row],[Gross_Sales]]-RawSalesTable[[#This Row],[Discount_Amount]]</f>
        <v>1103.73</v>
      </c>
      <c r="AB694" s="8">
        <f>RawSalesTable[[#This Row],[Unit_Cost]]*RawSalesTable[[#This Row],[Quantity]]</f>
        <v>673.41</v>
      </c>
      <c r="AC694" s="8">
        <f>RawSalesTable[[#This Row],[Net_Sales]]-RawSalesTable[[#This Row],[Total_Cost]]</f>
        <v>430.32000000000005</v>
      </c>
      <c r="AD694" s="9">
        <f>RawSalesTable[[#This Row],[Profit]]/RawSalesTable[[#This Row],[Net_Sales]]</f>
        <v>0.38987795928352048</v>
      </c>
      <c r="AE694" s="8">
        <f>IF(RawSalesTable[[#This Row],[Return_Status]]="Yes",1,0)</f>
        <v>0</v>
      </c>
      <c r="AF694" s="8">
        <f>YEAR(RawSalesTable[[#This Row],[Order_Date]])</f>
        <v>2025</v>
      </c>
      <c r="AG694" s="8">
        <f>MONTH(RawSalesTable[[#This Row],[Order_Date]])</f>
        <v>5</v>
      </c>
      <c r="AH694" s="8" t="str">
        <f>TEXT(RawSalesTable[[#This Row],[Order_Date]],"mmmm")</f>
        <v>mai</v>
      </c>
      <c r="AI694" s="8" t="str">
        <f>IF(RawSalesTable[[#This Row],[Month_Number]]&lt;=3,"Q1",IF(RawSalesTable[[#This Row],[Month_Number]]&lt;=6,"Q2",IF(RawSalesTable[[#This Row],[Month_Number]]&lt;=9,"Q3","Q4")))</f>
        <v>Q2</v>
      </c>
      <c r="AJ694" s="13">
        <f>DATE(YEAR(RawSalesTable[[#This Row],[Order_Date]]),MONTH(RawSalesTable[[#This Row],[Order_Date]]),1)</f>
        <v>45778</v>
      </c>
      <c r="AK694" s="8" t="str">
        <f>VLOOKUP(RawSalesTable[[#This Row],[Customer_ID_clean]],CustomersTable[],4,FALSE)</f>
        <v>Alberta</v>
      </c>
    </row>
    <row r="695" spans="1:37">
      <c r="A695" t="s">
        <v>1144</v>
      </c>
      <c r="B695" s="3">
        <v>45875</v>
      </c>
      <c r="C695" t="s">
        <v>600</v>
      </c>
      <c r="D695" t="s">
        <v>165</v>
      </c>
      <c r="E695" t="s">
        <v>601</v>
      </c>
      <c r="F695" t="s">
        <v>145</v>
      </c>
      <c r="G695" t="s">
        <v>88</v>
      </c>
      <c r="H695" t="s">
        <v>97</v>
      </c>
      <c r="I695">
        <v>3</v>
      </c>
      <c r="J695" s="2">
        <v>103.07</v>
      </c>
      <c r="K695" s="4">
        <v>0.1</v>
      </c>
      <c r="L695" t="s">
        <v>90</v>
      </c>
      <c r="M695">
        <v>4</v>
      </c>
      <c r="N695" t="s">
        <v>91</v>
      </c>
      <c r="O695" t="str">
        <f>SUBSTITUTE(PROPER(TRIM(RawSalesTable[[#This Row],[Channel_Raw]])), "Market Place", "Marketplace")</f>
        <v>Retail Store</v>
      </c>
      <c r="P695" t="str">
        <f>TRIM(RawSalesTable[[#This Row],[Store_Raw]])</f>
        <v>Calgary North</v>
      </c>
      <c r="Q695" t="str">
        <f>IF(TRIM(RawSalesTable[[#This Row],[Payment_Method_Raw]])="","Non renseigné",SUBSTITUTE(TRIM(RawSalesTable[[#This Row],[Payment_Method_Raw]]),"CC","Credit Card"))</f>
        <v>PayPal</v>
      </c>
      <c r="R695" s="8" t="str">
        <f>UPPER(PROPER(RawSalesTable[[#This Row],[Customer_ID]]))</f>
        <v>C0109</v>
      </c>
      <c r="S695" s="8" t="str">
        <f>TRIM(LEFT(RawSalesTable[[#This Row],[Customer_Info]],FIND(",",RawSalesTable[[#This Row],[Customer_Info]]) -1))</f>
        <v>Emma Wilson</v>
      </c>
      <c r="T695" s="8" t="str">
        <f>TRIM(MID(RawSalesTable[[#This Row],[Customer_Info]],FIND(",",RawSalesTable[[#This Row],[Customer_Info]])+1,FIND(",",RawSalesTable[[#This Row],[Customer_Info]],FIND(",",RawSalesTable[[#This Row],[Customer_Info]])+1)-FIND(",",RawSalesTable[[#This Row],[Customer_Info]])-1))</f>
        <v>Victoria</v>
      </c>
      <c r="U695" s="8" t="str">
        <f>TRIM(RIGHT(RawSalesTable[[#This Row],[Customer_Info]], LEN(RawSalesTable[[#This Row],[Customer_Info]])-FIND(",",RawSalesTable[[#This Row],[Customer_Info]],FIND(",",RawSalesTable[[#This Row],[Customer_Info]])+1)))</f>
        <v>Consumer</v>
      </c>
      <c r="V695" s="8" t="str">
        <f>VLOOKUP(RawSalesTable[[#This Row],[Product_ID]],ProductsTable[],2,FALSE)</f>
        <v>Food Scale</v>
      </c>
      <c r="W695" s="8" t="str">
        <f>VLOOKUP(RawSalesTable[[#This Row],[Product_ID]],ProductsTable[],3,FALSE)</f>
        <v>Home</v>
      </c>
      <c r="X695" s="8">
        <f>VLOOKUP(RawSalesTable[[#This Row],[Product_ID]],ProductsTable[],5,FALSE)</f>
        <v>46.07</v>
      </c>
      <c r="Y695" s="8">
        <f>RawSalesTable[[#This Row],[Quantity]]*RawSalesTable[[#This Row],[Unit_Price]]</f>
        <v>309.20999999999998</v>
      </c>
      <c r="Z695" s="8">
        <f>RawSalesTable[[#This Row],[Gross_Sales]]*RawSalesTable[[#This Row],[Discount_Pct]]</f>
        <v>30.920999999999999</v>
      </c>
      <c r="AA695" s="8">
        <f>RawSalesTable[[#This Row],[Gross_Sales]]-RawSalesTable[[#This Row],[Discount_Amount]]</f>
        <v>278.28899999999999</v>
      </c>
      <c r="AB695" s="8">
        <f>RawSalesTable[[#This Row],[Unit_Cost]]*RawSalesTable[[#This Row],[Quantity]]</f>
        <v>138.21</v>
      </c>
      <c r="AC695" s="8">
        <f>RawSalesTable[[#This Row],[Net_Sales]]-RawSalesTable[[#This Row],[Total_Cost]]</f>
        <v>140.07899999999998</v>
      </c>
      <c r="AD695" s="9">
        <f>RawSalesTable[[#This Row],[Profit]]/RawSalesTable[[#This Row],[Net_Sales]]</f>
        <v>0.5033580199001757</v>
      </c>
      <c r="AE695" s="8">
        <f>IF(RawSalesTable[[#This Row],[Return_Status]]="Yes",1,0)</f>
        <v>0</v>
      </c>
      <c r="AF695" s="8">
        <f>YEAR(RawSalesTable[[#This Row],[Order_Date]])</f>
        <v>2025</v>
      </c>
      <c r="AG695" s="8">
        <f>MONTH(RawSalesTable[[#This Row],[Order_Date]])</f>
        <v>8</v>
      </c>
      <c r="AH695" s="8" t="str">
        <f>TEXT(RawSalesTable[[#This Row],[Order_Date]],"mmmm")</f>
        <v>août</v>
      </c>
      <c r="AI695" s="8" t="str">
        <f>IF(RawSalesTable[[#This Row],[Month_Number]]&lt;=3,"Q1",IF(RawSalesTable[[#This Row],[Month_Number]]&lt;=6,"Q2",IF(RawSalesTable[[#This Row],[Month_Number]]&lt;=9,"Q3","Q4")))</f>
        <v>Q3</v>
      </c>
      <c r="AJ695" s="13">
        <f>DATE(YEAR(RawSalesTable[[#This Row],[Order_Date]]),MONTH(RawSalesTable[[#This Row],[Order_Date]]),1)</f>
        <v>45870</v>
      </c>
      <c r="AK695" s="8" t="str">
        <f>VLOOKUP(RawSalesTable[[#This Row],[Customer_ID_clean]],CustomersTable[],4,FALSE)</f>
        <v>British Columbia</v>
      </c>
    </row>
    <row r="696" spans="1:37">
      <c r="A696" t="s">
        <v>1145</v>
      </c>
      <c r="B696" s="3">
        <v>45961</v>
      </c>
      <c r="C696" t="s">
        <v>675</v>
      </c>
      <c r="D696" t="s">
        <v>226</v>
      </c>
      <c r="E696" t="s">
        <v>676</v>
      </c>
      <c r="F696" t="s">
        <v>111</v>
      </c>
      <c r="G696" t="s">
        <v>96</v>
      </c>
      <c r="H696" t="s">
        <v>89</v>
      </c>
      <c r="I696">
        <v>4</v>
      </c>
      <c r="J696" s="2">
        <v>210.06</v>
      </c>
      <c r="K696" s="4">
        <v>0.05</v>
      </c>
      <c r="L696" t="s">
        <v>504</v>
      </c>
      <c r="M696">
        <v>1</v>
      </c>
      <c r="N696" t="s">
        <v>91</v>
      </c>
      <c r="O696" t="str">
        <f>SUBSTITUTE(PROPER(TRIM(RawSalesTable[[#This Row],[Channel_Raw]])), "Market Place", "Marketplace")</f>
        <v>Online</v>
      </c>
      <c r="P696" t="str">
        <f>TRIM(RawSalesTable[[#This Row],[Store_Raw]])</f>
        <v>Montreal Central</v>
      </c>
      <c r="Q696" t="str">
        <f>IF(TRIM(RawSalesTable[[#This Row],[Payment_Method_Raw]])="","Non renseigné",SUBSTITUTE(TRIM(RawSalesTable[[#This Row],[Payment_Method_Raw]]),"CC","Credit Card"))</f>
        <v>Debit Card</v>
      </c>
      <c r="R696" s="8" t="str">
        <f>UPPER(PROPER(RawSalesTable[[#This Row],[Customer_ID]]))</f>
        <v>C0101</v>
      </c>
      <c r="S696" s="8" t="str">
        <f>TRIM(LEFT(RawSalesTable[[#This Row],[Customer_Info]],FIND(",",RawSalesTable[[#This Row],[Customer_Info]]) -1))</f>
        <v>Noah Martin</v>
      </c>
      <c r="T696" s="8" t="str">
        <f>TRIM(MID(RawSalesTable[[#This Row],[Customer_Info]],FIND(",",RawSalesTable[[#This Row],[Customer_Info]])+1,FIND(",",RawSalesTable[[#This Row],[Customer_Info]],FIND(",",RawSalesTable[[#This Row],[Customer_Info]])+1)-FIND(",",RawSalesTable[[#This Row],[Customer_Info]])-1))</f>
        <v>Saskatoon</v>
      </c>
      <c r="U696" s="8" t="str">
        <f>TRIM(RIGHT(RawSalesTable[[#This Row],[Customer_Info]], LEN(RawSalesTable[[#This Row],[Customer_Info]])-FIND(",",RawSalesTable[[#This Row],[Customer_Info]],FIND(",",RawSalesTable[[#This Row],[Customer_Info]])+1)))</f>
        <v>Small Business</v>
      </c>
      <c r="V696" s="8" t="str">
        <f>VLOOKUP(RawSalesTable[[#This Row],[Product_ID]],ProductsTable[],2,FALSE)</f>
        <v>Desk Lamp</v>
      </c>
      <c r="W696" s="8" t="str">
        <f>VLOOKUP(RawSalesTable[[#This Row],[Product_ID]],ProductsTable[],3,FALSE)</f>
        <v>Office</v>
      </c>
      <c r="X696" s="8">
        <f>VLOOKUP(RawSalesTable[[#This Row],[Product_ID]],ProductsTable[],5,FALSE)</f>
        <v>127.21</v>
      </c>
      <c r="Y696" s="8">
        <f>RawSalesTable[[#This Row],[Quantity]]*RawSalesTable[[#This Row],[Unit_Price]]</f>
        <v>840.24</v>
      </c>
      <c r="Z696" s="8">
        <f>RawSalesTable[[#This Row],[Gross_Sales]]*RawSalesTable[[#This Row],[Discount_Pct]]</f>
        <v>42.012</v>
      </c>
      <c r="AA696" s="8">
        <f>RawSalesTable[[#This Row],[Gross_Sales]]-RawSalesTable[[#This Row],[Discount_Amount]]</f>
        <v>798.22800000000007</v>
      </c>
      <c r="AB696" s="8">
        <f>RawSalesTable[[#This Row],[Unit_Cost]]*RawSalesTable[[#This Row],[Quantity]]</f>
        <v>508.84</v>
      </c>
      <c r="AC696" s="8">
        <f>RawSalesTable[[#This Row],[Net_Sales]]-RawSalesTable[[#This Row],[Total_Cost]]</f>
        <v>289.38800000000009</v>
      </c>
      <c r="AD696" s="9">
        <f>RawSalesTable[[#This Row],[Profit]]/RawSalesTable[[#This Row],[Net_Sales]]</f>
        <v>0.36253802171810567</v>
      </c>
      <c r="AE696" s="8">
        <f>IF(RawSalesTable[[#This Row],[Return_Status]]="Yes",1,0)</f>
        <v>0</v>
      </c>
      <c r="AF696" s="8">
        <f>YEAR(RawSalesTable[[#This Row],[Order_Date]])</f>
        <v>2025</v>
      </c>
      <c r="AG696" s="8">
        <f>MONTH(RawSalesTable[[#This Row],[Order_Date]])</f>
        <v>10</v>
      </c>
      <c r="AH696" s="8" t="str">
        <f>TEXT(RawSalesTable[[#This Row],[Order_Date]],"mmmm")</f>
        <v>octobre</v>
      </c>
      <c r="AI696" s="8" t="str">
        <f>IF(RawSalesTable[[#This Row],[Month_Number]]&lt;=3,"Q1",IF(RawSalesTable[[#This Row],[Month_Number]]&lt;=6,"Q2",IF(RawSalesTable[[#This Row],[Month_Number]]&lt;=9,"Q3","Q4")))</f>
        <v>Q4</v>
      </c>
      <c r="AJ696" s="13">
        <f>DATE(YEAR(RawSalesTable[[#This Row],[Order_Date]]),MONTH(RawSalesTable[[#This Row],[Order_Date]]),1)</f>
        <v>45931</v>
      </c>
      <c r="AK696" s="8" t="str">
        <f>VLOOKUP(RawSalesTable[[#This Row],[Customer_ID_clean]],CustomersTable[],4,FALSE)</f>
        <v>Saskatchewan</v>
      </c>
    </row>
    <row r="697" spans="1:37">
      <c r="A697" t="s">
        <v>1146</v>
      </c>
      <c r="B697" s="3">
        <v>45706</v>
      </c>
      <c r="C697" t="s">
        <v>142</v>
      </c>
      <c r="D697" t="s">
        <v>231</v>
      </c>
      <c r="E697" t="s">
        <v>144</v>
      </c>
      <c r="F697" t="s">
        <v>87</v>
      </c>
      <c r="G697" t="s">
        <v>130</v>
      </c>
      <c r="H697" t="s">
        <v>89</v>
      </c>
      <c r="I697">
        <v>2</v>
      </c>
      <c r="J697" s="2">
        <v>352.47</v>
      </c>
      <c r="K697" s="4">
        <v>0</v>
      </c>
      <c r="L697" t="s">
        <v>154</v>
      </c>
      <c r="M697">
        <v>9</v>
      </c>
      <c r="N697" t="s">
        <v>147</v>
      </c>
      <c r="O697" t="str">
        <f>SUBSTITUTE(PROPER(TRIM(RawSalesTable[[#This Row],[Channel_Raw]])), "Market Place", "Marketplace")</f>
        <v>Online</v>
      </c>
      <c r="P697" t="str">
        <f>TRIM(RawSalesTable[[#This Row],[Store_Raw]])</f>
        <v>Online Fulfillment</v>
      </c>
      <c r="Q697" t="str">
        <f>IF(TRIM(RawSalesTable[[#This Row],[Payment_Method_Raw]])="","Non renseigné",SUBSTITUTE(TRIM(RawSalesTable[[#This Row],[Payment_Method_Raw]]),"CC","Credit Card"))</f>
        <v>Gift Card</v>
      </c>
      <c r="R697" s="8" t="str">
        <f>UPPER(PROPER(RawSalesTable[[#This Row],[Customer_ID]]))</f>
        <v>C0002</v>
      </c>
      <c r="S697" s="8" t="str">
        <f>TRIM(LEFT(RawSalesTable[[#This Row],[Customer_Info]],FIND(",",RawSalesTable[[#This Row],[Customer_Info]]) -1))</f>
        <v>Ryan Johnson</v>
      </c>
      <c r="T697" s="8" t="str">
        <f>TRIM(MID(RawSalesTable[[#This Row],[Customer_Info]],FIND(",",RawSalesTable[[#This Row],[Customer_Info]])+1,FIND(",",RawSalesTable[[#This Row],[Customer_Info]],FIND(",",RawSalesTable[[#This Row],[Customer_Info]])+1)-FIND(",",RawSalesTable[[#This Row],[Customer_Info]])-1))</f>
        <v>Montreal</v>
      </c>
      <c r="U697" s="8" t="str">
        <f>TRIM(RIGHT(RawSalesTable[[#This Row],[Customer_Info]], LEN(RawSalesTable[[#This Row],[Customer_Info]])-FIND(",",RawSalesTable[[#This Row],[Customer_Info]],FIND(",",RawSalesTable[[#This Row],[Customer_Info]])+1)))</f>
        <v>Small Business</v>
      </c>
      <c r="V697" s="8" t="str">
        <f>VLOOKUP(RawSalesTable[[#This Row],[Product_ID]],ProductsTable[],2,FALSE)</f>
        <v>Cable Set</v>
      </c>
      <c r="W697" s="8" t="str">
        <f>VLOOKUP(RawSalesTable[[#This Row],[Product_ID]],ProductsTable[],3,FALSE)</f>
        <v>Accessories</v>
      </c>
      <c r="X697" s="8">
        <f>VLOOKUP(RawSalesTable[[#This Row],[Product_ID]],ProductsTable[],5,FALSE)</f>
        <v>200.16</v>
      </c>
      <c r="Y697" s="8">
        <f>RawSalesTable[[#This Row],[Quantity]]*RawSalesTable[[#This Row],[Unit_Price]]</f>
        <v>704.94</v>
      </c>
      <c r="Z697" s="8">
        <f>RawSalesTable[[#This Row],[Gross_Sales]]*RawSalesTable[[#This Row],[Discount_Pct]]</f>
        <v>0</v>
      </c>
      <c r="AA697" s="8">
        <f>RawSalesTable[[#This Row],[Gross_Sales]]-RawSalesTable[[#This Row],[Discount_Amount]]</f>
        <v>704.94</v>
      </c>
      <c r="AB697" s="8">
        <f>RawSalesTable[[#This Row],[Unit_Cost]]*RawSalesTable[[#This Row],[Quantity]]</f>
        <v>400.32</v>
      </c>
      <c r="AC697" s="8">
        <f>RawSalesTable[[#This Row],[Net_Sales]]-RawSalesTable[[#This Row],[Total_Cost]]</f>
        <v>304.62000000000006</v>
      </c>
      <c r="AD697" s="9">
        <f>RawSalesTable[[#This Row],[Profit]]/RawSalesTable[[#This Row],[Net_Sales]]</f>
        <v>0.43212188271342244</v>
      </c>
      <c r="AE697" s="8">
        <f>IF(RawSalesTable[[#This Row],[Return_Status]]="Yes",1,0)</f>
        <v>1</v>
      </c>
      <c r="AF697" s="8">
        <f>YEAR(RawSalesTable[[#This Row],[Order_Date]])</f>
        <v>2025</v>
      </c>
      <c r="AG697" s="8">
        <f>MONTH(RawSalesTable[[#This Row],[Order_Date]])</f>
        <v>2</v>
      </c>
      <c r="AH697" s="8" t="str">
        <f>TEXT(RawSalesTable[[#This Row],[Order_Date]],"mmmm")</f>
        <v>février</v>
      </c>
      <c r="AI697" s="8" t="str">
        <f>IF(RawSalesTable[[#This Row],[Month_Number]]&lt;=3,"Q1",IF(RawSalesTable[[#This Row],[Month_Number]]&lt;=6,"Q2",IF(RawSalesTable[[#This Row],[Month_Number]]&lt;=9,"Q3","Q4")))</f>
        <v>Q1</v>
      </c>
      <c r="AJ697" s="13">
        <f>DATE(YEAR(RawSalesTable[[#This Row],[Order_Date]]),MONTH(RawSalesTable[[#This Row],[Order_Date]]),1)</f>
        <v>45689</v>
      </c>
      <c r="AK697" s="8" t="str">
        <f>VLOOKUP(RawSalesTable[[#This Row],[Customer_ID_clean]],CustomersTable[],4,FALSE)</f>
        <v>Quebec</v>
      </c>
    </row>
    <row r="698" spans="1:37">
      <c r="A698" t="s">
        <v>1147</v>
      </c>
      <c r="B698" s="3">
        <v>45747</v>
      </c>
      <c r="C698" t="s">
        <v>84</v>
      </c>
      <c r="D698" t="s">
        <v>520</v>
      </c>
      <c r="E698" t="s">
        <v>86</v>
      </c>
      <c r="F698" t="s">
        <v>116</v>
      </c>
      <c r="G698" t="s">
        <v>96</v>
      </c>
      <c r="H698" t="s">
        <v>89</v>
      </c>
      <c r="I698">
        <v>3</v>
      </c>
      <c r="J698" s="2">
        <v>363.97</v>
      </c>
      <c r="K698" s="4">
        <v>0</v>
      </c>
      <c r="L698" t="s">
        <v>90</v>
      </c>
      <c r="M698">
        <v>1</v>
      </c>
      <c r="N698" t="s">
        <v>91</v>
      </c>
      <c r="O698" t="str">
        <f>SUBSTITUTE(PROPER(TRIM(RawSalesTable[[#This Row],[Channel_Raw]])), "Market Place", "Marketplace")</f>
        <v>Online</v>
      </c>
      <c r="P698" t="str">
        <f>TRIM(RawSalesTable[[#This Row],[Store_Raw]])</f>
        <v>Toronto Downtown</v>
      </c>
      <c r="Q698" t="str">
        <f>IF(TRIM(RawSalesTable[[#This Row],[Payment_Method_Raw]])="","Non renseigné",SUBSTITUTE(TRIM(RawSalesTable[[#This Row],[Payment_Method_Raw]]),"CC","Credit Card"))</f>
        <v>PayPal</v>
      </c>
      <c r="R698" s="8" t="str">
        <f>UPPER(PROPER(RawSalesTable[[#This Row],[Customer_ID]]))</f>
        <v>C0113</v>
      </c>
      <c r="S698" s="8" t="str">
        <f>TRIM(LEFT(RawSalesTable[[#This Row],[Customer_Info]],FIND(",",RawSalesTable[[#This Row],[Customer_Info]]) -1))</f>
        <v>Olivia Johnson</v>
      </c>
      <c r="T698" s="8" t="str">
        <f>TRIM(MID(RawSalesTable[[#This Row],[Customer_Info]],FIND(",",RawSalesTable[[#This Row],[Customer_Info]])+1,FIND(",",RawSalesTable[[#This Row],[Customer_Info]],FIND(",",RawSalesTable[[#This Row],[Customer_Info]])+1)-FIND(",",RawSalesTable[[#This Row],[Customer_Info]])-1))</f>
        <v>Surrey</v>
      </c>
      <c r="U698" s="8" t="str">
        <f>TRIM(RIGHT(RawSalesTable[[#This Row],[Customer_Info]], LEN(RawSalesTable[[#This Row],[Customer_Info]])-FIND(",",RawSalesTable[[#This Row],[Customer_Info]],FIND(",",RawSalesTable[[#This Row],[Customer_Info]])+1)))</f>
        <v>Consumer</v>
      </c>
      <c r="V698" s="8" t="str">
        <f>VLOOKUP(RawSalesTable[[#This Row],[Product_ID]],ProductsTable[],2,FALSE)</f>
        <v>Coffee Maker</v>
      </c>
      <c r="W698" s="8" t="str">
        <f>VLOOKUP(RawSalesTable[[#This Row],[Product_ID]],ProductsTable[],3,FALSE)</f>
        <v>Home</v>
      </c>
      <c r="X698" s="8">
        <f>VLOOKUP(RawSalesTable[[#This Row],[Product_ID]],ProductsTable[],5,FALSE)</f>
        <v>241.16</v>
      </c>
      <c r="Y698" s="8">
        <f>RawSalesTable[[#This Row],[Quantity]]*RawSalesTable[[#This Row],[Unit_Price]]</f>
        <v>1091.9100000000001</v>
      </c>
      <c r="Z698" s="8">
        <f>RawSalesTable[[#This Row],[Gross_Sales]]*RawSalesTable[[#This Row],[Discount_Pct]]</f>
        <v>0</v>
      </c>
      <c r="AA698" s="8">
        <f>RawSalesTable[[#This Row],[Gross_Sales]]-RawSalesTable[[#This Row],[Discount_Amount]]</f>
        <v>1091.9100000000001</v>
      </c>
      <c r="AB698" s="8">
        <f>RawSalesTable[[#This Row],[Unit_Cost]]*RawSalesTable[[#This Row],[Quantity]]</f>
        <v>723.48</v>
      </c>
      <c r="AC698" s="8">
        <f>RawSalesTable[[#This Row],[Net_Sales]]-RawSalesTable[[#This Row],[Total_Cost]]</f>
        <v>368.43000000000006</v>
      </c>
      <c r="AD698" s="9">
        <f>RawSalesTable[[#This Row],[Profit]]/RawSalesTable[[#This Row],[Net_Sales]]</f>
        <v>0.33741791905926316</v>
      </c>
      <c r="AE698" s="8">
        <f>IF(RawSalesTable[[#This Row],[Return_Status]]="Yes",1,0)</f>
        <v>0</v>
      </c>
      <c r="AF698" s="8">
        <f>YEAR(RawSalesTable[[#This Row],[Order_Date]])</f>
        <v>2025</v>
      </c>
      <c r="AG698" s="8">
        <f>MONTH(RawSalesTable[[#This Row],[Order_Date]])</f>
        <v>3</v>
      </c>
      <c r="AH698" s="8" t="str">
        <f>TEXT(RawSalesTable[[#This Row],[Order_Date]],"mmmm")</f>
        <v>mars</v>
      </c>
      <c r="AI698" s="8" t="str">
        <f>IF(RawSalesTable[[#This Row],[Month_Number]]&lt;=3,"Q1",IF(RawSalesTable[[#This Row],[Month_Number]]&lt;=6,"Q2",IF(RawSalesTable[[#This Row],[Month_Number]]&lt;=9,"Q3","Q4")))</f>
        <v>Q1</v>
      </c>
      <c r="AJ698" s="13">
        <f>DATE(YEAR(RawSalesTable[[#This Row],[Order_Date]]),MONTH(RawSalesTable[[#This Row],[Order_Date]]),1)</f>
        <v>45717</v>
      </c>
      <c r="AK698" s="8" t="str">
        <f>VLOOKUP(RawSalesTable[[#This Row],[Customer_ID_clean]],CustomersTable[],4,FALSE)</f>
        <v>British Columbia</v>
      </c>
    </row>
    <row r="699" spans="1:37">
      <c r="A699" t="s">
        <v>1148</v>
      </c>
      <c r="B699" s="3">
        <v>45942</v>
      </c>
      <c r="C699" t="s">
        <v>322</v>
      </c>
      <c r="D699" t="s">
        <v>469</v>
      </c>
      <c r="E699" t="s">
        <v>470</v>
      </c>
      <c r="F699" t="s">
        <v>116</v>
      </c>
      <c r="G699" t="s">
        <v>130</v>
      </c>
      <c r="H699" t="s">
        <v>97</v>
      </c>
      <c r="I699">
        <v>1</v>
      </c>
      <c r="J699" s="2">
        <v>82.58</v>
      </c>
      <c r="K699" s="4">
        <v>0</v>
      </c>
      <c r="L699" t="s">
        <v>90</v>
      </c>
      <c r="M699">
        <v>4</v>
      </c>
      <c r="N699" t="s">
        <v>91</v>
      </c>
      <c r="O699" t="str">
        <f>SUBSTITUTE(PROPER(TRIM(RawSalesTable[[#This Row],[Channel_Raw]])), "Market Place", "Marketplace")</f>
        <v>Retail Store</v>
      </c>
      <c r="P699" t="str">
        <f>TRIM(RawSalesTable[[#This Row],[Store_Raw]])</f>
        <v>Toronto Downtown</v>
      </c>
      <c r="Q699" t="str">
        <f>IF(TRIM(RawSalesTable[[#This Row],[Payment_Method_Raw]])="","Non renseigné",SUBSTITUTE(TRIM(RawSalesTable[[#This Row],[Payment_Method_Raw]]),"CC","Credit Card"))</f>
        <v>PayPal</v>
      </c>
      <c r="R699" s="8" t="str">
        <f>UPPER(PROPER(RawSalesTable[[#This Row],[Customer_ID]]))</f>
        <v>C0119</v>
      </c>
      <c r="S699" s="8" t="str">
        <f>TRIM(LEFT(RawSalesTable[[#This Row],[Customer_Info]],FIND(",",RawSalesTable[[#This Row],[Customer_Info]]) -1))</f>
        <v>Liam Chen</v>
      </c>
      <c r="T699" s="8" t="str">
        <f>TRIM(MID(RawSalesTable[[#This Row],[Customer_Info]],FIND(",",RawSalesTable[[#This Row],[Customer_Info]])+1,FIND(",",RawSalesTable[[#This Row],[Customer_Info]],FIND(",",RawSalesTable[[#This Row],[Customer_Info]])+1)-FIND(",",RawSalesTable[[#This Row],[Customer_Info]])-1))</f>
        <v>Winnipeg</v>
      </c>
      <c r="U699" s="8" t="str">
        <f>TRIM(RIGHT(RawSalesTable[[#This Row],[Customer_Info]], LEN(RawSalesTable[[#This Row],[Customer_Info]])-FIND(",",RawSalesTable[[#This Row],[Customer_Info]],FIND(",",RawSalesTable[[#This Row],[Customer_Info]])+1)))</f>
        <v>Consumer</v>
      </c>
      <c r="V699" s="8" t="str">
        <f>VLOOKUP(RawSalesTable[[#This Row],[Product_ID]],ProductsTable[],2,FALSE)</f>
        <v>Phone Stand</v>
      </c>
      <c r="W699" s="8" t="str">
        <f>VLOOKUP(RawSalesTable[[#This Row],[Product_ID]],ProductsTable[],3,FALSE)</f>
        <v>Accessories</v>
      </c>
      <c r="X699" s="8">
        <f>VLOOKUP(RawSalesTable[[#This Row],[Product_ID]],ProductsTable[],5,FALSE)</f>
        <v>59.85</v>
      </c>
      <c r="Y699" s="8">
        <f>RawSalesTable[[#This Row],[Quantity]]*RawSalesTable[[#This Row],[Unit_Price]]</f>
        <v>82.58</v>
      </c>
      <c r="Z699" s="8">
        <f>RawSalesTable[[#This Row],[Gross_Sales]]*RawSalesTable[[#This Row],[Discount_Pct]]</f>
        <v>0</v>
      </c>
      <c r="AA699" s="8">
        <f>RawSalesTable[[#This Row],[Gross_Sales]]-RawSalesTable[[#This Row],[Discount_Amount]]</f>
        <v>82.58</v>
      </c>
      <c r="AB699" s="8">
        <f>RawSalesTable[[#This Row],[Unit_Cost]]*RawSalesTable[[#This Row],[Quantity]]</f>
        <v>59.85</v>
      </c>
      <c r="AC699" s="8">
        <f>RawSalesTable[[#This Row],[Net_Sales]]-RawSalesTable[[#This Row],[Total_Cost]]</f>
        <v>22.729999999999997</v>
      </c>
      <c r="AD699" s="9">
        <f>RawSalesTable[[#This Row],[Profit]]/RawSalesTable[[#This Row],[Net_Sales]]</f>
        <v>0.27524824412690718</v>
      </c>
      <c r="AE699" s="8">
        <f>IF(RawSalesTable[[#This Row],[Return_Status]]="Yes",1,0)</f>
        <v>0</v>
      </c>
      <c r="AF699" s="8">
        <f>YEAR(RawSalesTable[[#This Row],[Order_Date]])</f>
        <v>2025</v>
      </c>
      <c r="AG699" s="8">
        <f>MONTH(RawSalesTable[[#This Row],[Order_Date]])</f>
        <v>10</v>
      </c>
      <c r="AH699" s="8" t="str">
        <f>TEXT(RawSalesTable[[#This Row],[Order_Date]],"mmmm")</f>
        <v>octobre</v>
      </c>
      <c r="AI699" s="8" t="str">
        <f>IF(RawSalesTable[[#This Row],[Month_Number]]&lt;=3,"Q1",IF(RawSalesTable[[#This Row],[Month_Number]]&lt;=6,"Q2",IF(RawSalesTable[[#This Row],[Month_Number]]&lt;=9,"Q3","Q4")))</f>
        <v>Q4</v>
      </c>
      <c r="AJ699" s="13">
        <f>DATE(YEAR(RawSalesTable[[#This Row],[Order_Date]]),MONTH(RawSalesTable[[#This Row],[Order_Date]]),1)</f>
        <v>45931</v>
      </c>
      <c r="AK699" s="8" t="str">
        <f>VLOOKUP(RawSalesTable[[#This Row],[Customer_ID_clean]],CustomersTable[],4,FALSE)</f>
        <v>Manitoba</v>
      </c>
    </row>
    <row r="700" spans="1:37">
      <c r="A700" t="s">
        <v>1149</v>
      </c>
      <c r="B700" s="3">
        <v>45925</v>
      </c>
      <c r="C700" t="s">
        <v>516</v>
      </c>
      <c r="D700" t="s">
        <v>114</v>
      </c>
      <c r="E700" t="s">
        <v>517</v>
      </c>
      <c r="F700" t="s">
        <v>87</v>
      </c>
      <c r="G700" t="s">
        <v>183</v>
      </c>
      <c r="H700" t="s">
        <v>308</v>
      </c>
      <c r="I700">
        <v>1</v>
      </c>
      <c r="J700" s="2">
        <v>149.07</v>
      </c>
      <c r="K700" s="4">
        <v>0.1</v>
      </c>
      <c r="L700" t="s">
        <v>106</v>
      </c>
      <c r="M700">
        <v>8</v>
      </c>
      <c r="N700" t="s">
        <v>91</v>
      </c>
      <c r="O700" t="str">
        <f>SUBSTITUTE(PROPER(TRIM(RawSalesTable[[#This Row],[Channel_Raw]])), "Market Place", "Marketplace")</f>
        <v>Online</v>
      </c>
      <c r="P700" t="str">
        <f>TRIM(RawSalesTable[[#This Row],[Store_Raw]])</f>
        <v>Online Fulfillment</v>
      </c>
      <c r="Q700" t="str">
        <f>IF(TRIM(RawSalesTable[[#This Row],[Payment_Method_Raw]])="","Non renseigné",SUBSTITUTE(TRIM(RawSalesTable[[#This Row],[Payment_Method_Raw]]),"CC","Credit Card"))</f>
        <v>Credit Card</v>
      </c>
      <c r="R700" s="8" t="str">
        <f>UPPER(PROPER(RawSalesTable[[#This Row],[Customer_ID]]))</f>
        <v>C0120</v>
      </c>
      <c r="S700" s="8" t="str">
        <f>TRIM(LEFT(RawSalesTable[[#This Row],[Customer_Info]],FIND(",",RawSalesTable[[#This Row],[Customer_Info]]) -1))</f>
        <v>Ethan King</v>
      </c>
      <c r="T700" s="8" t="str">
        <f>TRIM(MID(RawSalesTable[[#This Row],[Customer_Info]],FIND(",",RawSalesTable[[#This Row],[Customer_Info]])+1,FIND(",",RawSalesTable[[#This Row],[Customer_Info]],FIND(",",RawSalesTable[[#This Row],[Customer_Info]])+1)-FIND(",",RawSalesTable[[#This Row],[Customer_Info]])-1))</f>
        <v>Mississauga</v>
      </c>
      <c r="U700" s="8" t="str">
        <f>TRIM(RIGHT(RawSalesTable[[#This Row],[Customer_Info]], LEN(RawSalesTable[[#This Row],[Customer_Info]])-FIND(",",RawSalesTable[[#This Row],[Customer_Info]],FIND(",",RawSalesTable[[#This Row],[Customer_Info]])+1)))</f>
        <v>Small Business</v>
      </c>
      <c r="V700" s="8" t="str">
        <f>VLOOKUP(RawSalesTable[[#This Row],[Product_ID]],ProductsTable[],2,FALSE)</f>
        <v>Laptop Sleeve</v>
      </c>
      <c r="W700" s="8" t="str">
        <f>VLOOKUP(RawSalesTable[[#This Row],[Product_ID]],ProductsTable[],3,FALSE)</f>
        <v>Accessories</v>
      </c>
      <c r="X700" s="8">
        <f>VLOOKUP(RawSalesTable[[#This Row],[Product_ID]],ProductsTable[],5,FALSE)</f>
        <v>78.95</v>
      </c>
      <c r="Y700" s="8">
        <f>RawSalesTable[[#This Row],[Quantity]]*RawSalesTable[[#This Row],[Unit_Price]]</f>
        <v>149.07</v>
      </c>
      <c r="Z700" s="8">
        <f>RawSalesTable[[#This Row],[Gross_Sales]]*RawSalesTable[[#This Row],[Discount_Pct]]</f>
        <v>14.907</v>
      </c>
      <c r="AA700" s="8">
        <f>RawSalesTable[[#This Row],[Gross_Sales]]-RawSalesTable[[#This Row],[Discount_Amount]]</f>
        <v>134.16299999999998</v>
      </c>
      <c r="AB700" s="8">
        <f>RawSalesTable[[#This Row],[Unit_Cost]]*RawSalesTable[[#This Row],[Quantity]]</f>
        <v>78.95</v>
      </c>
      <c r="AC700" s="8">
        <f>RawSalesTable[[#This Row],[Net_Sales]]-RawSalesTable[[#This Row],[Total_Cost]]</f>
        <v>55.21299999999998</v>
      </c>
      <c r="AD700" s="9">
        <f>RawSalesTable[[#This Row],[Profit]]/RawSalesTable[[#This Row],[Net_Sales]]</f>
        <v>0.41153671280457343</v>
      </c>
      <c r="AE700" s="8">
        <f>IF(RawSalesTable[[#This Row],[Return_Status]]="Yes",1,0)</f>
        <v>0</v>
      </c>
      <c r="AF700" s="8">
        <f>YEAR(RawSalesTable[[#This Row],[Order_Date]])</f>
        <v>2025</v>
      </c>
      <c r="AG700" s="8">
        <f>MONTH(RawSalesTable[[#This Row],[Order_Date]])</f>
        <v>9</v>
      </c>
      <c r="AH700" s="8" t="str">
        <f>TEXT(RawSalesTable[[#This Row],[Order_Date]],"mmmm")</f>
        <v>septembre</v>
      </c>
      <c r="AI700" s="8" t="str">
        <f>IF(RawSalesTable[[#This Row],[Month_Number]]&lt;=3,"Q1",IF(RawSalesTable[[#This Row],[Month_Number]]&lt;=6,"Q2",IF(RawSalesTable[[#This Row],[Month_Number]]&lt;=9,"Q3","Q4")))</f>
        <v>Q3</v>
      </c>
      <c r="AJ700" s="13">
        <f>DATE(YEAR(RawSalesTable[[#This Row],[Order_Date]]),MONTH(RawSalesTable[[#This Row],[Order_Date]]),1)</f>
        <v>45901</v>
      </c>
      <c r="AK700" s="8" t="str">
        <f>VLOOKUP(RawSalesTable[[#This Row],[Customer_ID_clean]],CustomersTable[],4,FALSE)</f>
        <v>Ontario</v>
      </c>
    </row>
    <row r="701" spans="1:37">
      <c r="A701" t="s">
        <v>1150</v>
      </c>
      <c r="B701" s="3">
        <v>45854</v>
      </c>
      <c r="C701" t="s">
        <v>335</v>
      </c>
      <c r="D701" t="s">
        <v>323</v>
      </c>
      <c r="E701" t="s">
        <v>336</v>
      </c>
      <c r="F701" t="s">
        <v>111</v>
      </c>
      <c r="G701" t="s">
        <v>96</v>
      </c>
      <c r="H701" t="s">
        <v>89</v>
      </c>
      <c r="I701">
        <v>3</v>
      </c>
      <c r="J701" s="2">
        <v>319.41000000000003</v>
      </c>
      <c r="K701" s="4">
        <v>0.15</v>
      </c>
      <c r="L701" t="s">
        <v>369</v>
      </c>
      <c r="M701">
        <v>2</v>
      </c>
      <c r="N701" t="s">
        <v>91</v>
      </c>
      <c r="O701" t="str">
        <f>SUBSTITUTE(PROPER(TRIM(RawSalesTable[[#This Row],[Channel_Raw]])), "Market Place", "Marketplace")</f>
        <v>Online</v>
      </c>
      <c r="P701" t="str">
        <f>TRIM(RawSalesTable[[#This Row],[Store_Raw]])</f>
        <v>Montreal Central</v>
      </c>
      <c r="Q701" t="str">
        <f>IF(TRIM(RawSalesTable[[#This Row],[Payment_Method_Raw]])="","Non renseigné",SUBSTITUTE(TRIM(RawSalesTable[[#This Row],[Payment_Method_Raw]]),"CC","Credit Card"))</f>
        <v>Paypal</v>
      </c>
      <c r="R701" s="8" t="str">
        <f>UPPER(PROPER(RawSalesTable[[#This Row],[Customer_ID]]))</f>
        <v>C0037</v>
      </c>
      <c r="S701" s="8" t="str">
        <f>TRIM(LEFT(RawSalesTable[[#This Row],[Customer_Info]],FIND(",",RawSalesTable[[#This Row],[Customer_Info]]) -1))</f>
        <v>Lucas Scott</v>
      </c>
      <c r="T701" s="8" t="str">
        <f>TRIM(MID(RawSalesTable[[#This Row],[Customer_Info]],FIND(",",RawSalesTable[[#This Row],[Customer_Info]])+1,FIND(",",RawSalesTable[[#This Row],[Customer_Info]],FIND(",",RawSalesTable[[#This Row],[Customer_Info]])+1)-FIND(",",RawSalesTable[[#This Row],[Customer_Info]])-1))</f>
        <v>Victoria</v>
      </c>
      <c r="U701" s="8" t="str">
        <f>TRIM(RIGHT(RawSalesTable[[#This Row],[Customer_Info]], LEN(RawSalesTable[[#This Row],[Customer_Info]])-FIND(",",RawSalesTable[[#This Row],[Customer_Info]],FIND(",",RawSalesTable[[#This Row],[Customer_Info]])+1)))</f>
        <v>Small Business</v>
      </c>
      <c r="V701" s="8" t="str">
        <f>VLOOKUP(RawSalesTable[[#This Row],[Product_ID]],ProductsTable[],2,FALSE)</f>
        <v>Toaster</v>
      </c>
      <c r="W701" s="8" t="str">
        <f>VLOOKUP(RawSalesTable[[#This Row],[Product_ID]],ProductsTable[],3,FALSE)</f>
        <v>Home</v>
      </c>
      <c r="X701" s="8">
        <f>VLOOKUP(RawSalesTable[[#This Row],[Product_ID]],ProductsTable[],5,FALSE)</f>
        <v>152.88</v>
      </c>
      <c r="Y701" s="8">
        <f>RawSalesTable[[#This Row],[Quantity]]*RawSalesTable[[#This Row],[Unit_Price]]</f>
        <v>958.23</v>
      </c>
      <c r="Z701" s="8">
        <f>RawSalesTable[[#This Row],[Gross_Sales]]*RawSalesTable[[#This Row],[Discount_Pct]]</f>
        <v>143.7345</v>
      </c>
      <c r="AA701" s="8">
        <f>RawSalesTable[[#This Row],[Gross_Sales]]-RawSalesTable[[#This Row],[Discount_Amount]]</f>
        <v>814.49549999999999</v>
      </c>
      <c r="AB701" s="8">
        <f>RawSalesTable[[#This Row],[Unit_Cost]]*RawSalesTable[[#This Row],[Quantity]]</f>
        <v>458.64</v>
      </c>
      <c r="AC701" s="8">
        <f>RawSalesTable[[#This Row],[Net_Sales]]-RawSalesTable[[#This Row],[Total_Cost]]</f>
        <v>355.85550000000001</v>
      </c>
      <c r="AD701" s="9">
        <f>RawSalesTable[[#This Row],[Profit]]/RawSalesTable[[#This Row],[Net_Sales]]</f>
        <v>0.43690296631473102</v>
      </c>
      <c r="AE701" s="8">
        <f>IF(RawSalesTable[[#This Row],[Return_Status]]="Yes",1,0)</f>
        <v>0</v>
      </c>
      <c r="AF701" s="8">
        <f>YEAR(RawSalesTable[[#This Row],[Order_Date]])</f>
        <v>2025</v>
      </c>
      <c r="AG701" s="8">
        <f>MONTH(RawSalesTable[[#This Row],[Order_Date]])</f>
        <v>7</v>
      </c>
      <c r="AH701" s="8" t="str">
        <f>TEXT(RawSalesTable[[#This Row],[Order_Date]],"mmmm")</f>
        <v>juillet</v>
      </c>
      <c r="AI701" s="8" t="str">
        <f>IF(RawSalesTable[[#This Row],[Month_Number]]&lt;=3,"Q1",IF(RawSalesTable[[#This Row],[Month_Number]]&lt;=6,"Q2",IF(RawSalesTable[[#This Row],[Month_Number]]&lt;=9,"Q3","Q4")))</f>
        <v>Q3</v>
      </c>
      <c r="AJ701" s="13">
        <f>DATE(YEAR(RawSalesTable[[#This Row],[Order_Date]]),MONTH(RawSalesTable[[#This Row],[Order_Date]]),1)</f>
        <v>45839</v>
      </c>
      <c r="AK701" s="8" t="str">
        <f>VLOOKUP(RawSalesTable[[#This Row],[Customer_ID_clean]],CustomersTable[],4,FALSE)</f>
        <v>British Columbia</v>
      </c>
    </row>
    <row r="702" spans="1:37">
      <c r="A702" t="s">
        <v>1151</v>
      </c>
      <c r="B702" s="3">
        <v>45801</v>
      </c>
      <c r="C702" t="s">
        <v>706</v>
      </c>
      <c r="D702" t="s">
        <v>157</v>
      </c>
      <c r="E702" t="s">
        <v>707</v>
      </c>
      <c r="F702" t="s">
        <v>111</v>
      </c>
      <c r="G702" t="s">
        <v>104</v>
      </c>
      <c r="H702" t="s">
        <v>97</v>
      </c>
      <c r="I702">
        <v>1</v>
      </c>
      <c r="J702" s="2">
        <v>297.7</v>
      </c>
      <c r="K702" s="4">
        <v>0.15</v>
      </c>
      <c r="L702" t="s">
        <v>90</v>
      </c>
      <c r="M702">
        <v>0</v>
      </c>
      <c r="N702" t="s">
        <v>91</v>
      </c>
      <c r="O702" t="str">
        <f>SUBSTITUTE(PROPER(TRIM(RawSalesTable[[#This Row],[Channel_Raw]])), "Market Place", "Marketplace")</f>
        <v>Retail Store</v>
      </c>
      <c r="P702" t="str">
        <f>TRIM(RawSalesTable[[#This Row],[Store_Raw]])</f>
        <v>Montreal Central</v>
      </c>
      <c r="Q702" t="str">
        <f>IF(TRIM(RawSalesTable[[#This Row],[Payment_Method_Raw]])="","Non renseigné",SUBSTITUTE(TRIM(RawSalesTable[[#This Row],[Payment_Method_Raw]]),"CC","Credit Card"))</f>
        <v>PayPal</v>
      </c>
      <c r="R702" s="8" t="str">
        <f>UPPER(PROPER(RawSalesTable[[#This Row],[Customer_ID]]))</f>
        <v>C0006</v>
      </c>
      <c r="S702" s="8" t="str">
        <f>TRIM(LEFT(RawSalesTable[[#This Row],[Customer_Info]],FIND(",",RawSalesTable[[#This Row],[Customer_Info]]) -1))</f>
        <v>Nora Wilson</v>
      </c>
      <c r="T702" s="8" t="str">
        <f>TRIM(MID(RawSalesTable[[#This Row],[Customer_Info]],FIND(",",RawSalesTable[[#This Row],[Customer_Info]])+1,FIND(",",RawSalesTable[[#This Row],[Customer_Info]],FIND(",",RawSalesTable[[#This Row],[Customer_Info]])+1)-FIND(",",RawSalesTable[[#This Row],[Customer_Info]])-1))</f>
        <v>Laval</v>
      </c>
      <c r="U702" s="8" t="str">
        <f>TRIM(RIGHT(RawSalesTable[[#This Row],[Customer_Info]], LEN(RawSalesTable[[#This Row],[Customer_Info]])-FIND(",",RawSalesTable[[#This Row],[Customer_Info]],FIND(",",RawSalesTable[[#This Row],[Customer_Info]])+1)))</f>
        <v>Consumer</v>
      </c>
      <c r="V702" s="8" t="str">
        <f>VLOOKUP(RawSalesTable[[#This Row],[Product_ID]],ProductsTable[],2,FALSE)</f>
        <v>Notebook</v>
      </c>
      <c r="W702" s="8" t="str">
        <f>VLOOKUP(RawSalesTable[[#This Row],[Product_ID]],ProductsTable[],3,FALSE)</f>
        <v>Office</v>
      </c>
      <c r="X702" s="8">
        <f>VLOOKUP(RawSalesTable[[#This Row],[Product_ID]],ProductsTable[],5,FALSE)</f>
        <v>176.13</v>
      </c>
      <c r="Y702" s="8">
        <f>RawSalesTable[[#This Row],[Quantity]]*RawSalesTable[[#This Row],[Unit_Price]]</f>
        <v>297.7</v>
      </c>
      <c r="Z702" s="8">
        <f>RawSalesTable[[#This Row],[Gross_Sales]]*RawSalesTable[[#This Row],[Discount_Pct]]</f>
        <v>44.654999999999994</v>
      </c>
      <c r="AA702" s="8">
        <f>RawSalesTable[[#This Row],[Gross_Sales]]-RawSalesTable[[#This Row],[Discount_Amount]]</f>
        <v>253.04499999999999</v>
      </c>
      <c r="AB702" s="8">
        <f>RawSalesTable[[#This Row],[Unit_Cost]]*RawSalesTable[[#This Row],[Quantity]]</f>
        <v>176.13</v>
      </c>
      <c r="AC702" s="8">
        <f>RawSalesTable[[#This Row],[Net_Sales]]-RawSalesTable[[#This Row],[Total_Cost]]</f>
        <v>76.914999999999992</v>
      </c>
      <c r="AD702" s="9">
        <f>RawSalesTable[[#This Row],[Profit]]/RawSalesTable[[#This Row],[Net_Sales]]</f>
        <v>0.30395779406824869</v>
      </c>
      <c r="AE702" s="8">
        <f>IF(RawSalesTable[[#This Row],[Return_Status]]="Yes",1,0)</f>
        <v>0</v>
      </c>
      <c r="AF702" s="8">
        <f>YEAR(RawSalesTable[[#This Row],[Order_Date]])</f>
        <v>2025</v>
      </c>
      <c r="AG702" s="8">
        <f>MONTH(RawSalesTable[[#This Row],[Order_Date]])</f>
        <v>5</v>
      </c>
      <c r="AH702" s="8" t="str">
        <f>TEXT(RawSalesTable[[#This Row],[Order_Date]],"mmmm")</f>
        <v>mai</v>
      </c>
      <c r="AI702" s="8" t="str">
        <f>IF(RawSalesTable[[#This Row],[Month_Number]]&lt;=3,"Q1",IF(RawSalesTable[[#This Row],[Month_Number]]&lt;=6,"Q2",IF(RawSalesTable[[#This Row],[Month_Number]]&lt;=9,"Q3","Q4")))</f>
        <v>Q2</v>
      </c>
      <c r="AJ702" s="13">
        <f>DATE(YEAR(RawSalesTable[[#This Row],[Order_Date]]),MONTH(RawSalesTable[[#This Row],[Order_Date]]),1)</f>
        <v>45778</v>
      </c>
      <c r="AK702" s="8" t="str">
        <f>VLOOKUP(RawSalesTable[[#This Row],[Customer_ID_clean]],CustomersTable[],4,FALSE)</f>
        <v>Quebec</v>
      </c>
    </row>
    <row r="703" spans="1:37">
      <c r="A703" t="s">
        <v>1152</v>
      </c>
      <c r="B703" s="3">
        <v>45703</v>
      </c>
      <c r="C703" t="s">
        <v>379</v>
      </c>
      <c r="D703" t="s">
        <v>190</v>
      </c>
      <c r="E703" t="s">
        <v>380</v>
      </c>
      <c r="F703" t="s">
        <v>103</v>
      </c>
      <c r="G703" t="s">
        <v>122</v>
      </c>
      <c r="H703" t="s">
        <v>89</v>
      </c>
      <c r="I703">
        <v>2</v>
      </c>
      <c r="J703" s="2">
        <v>274.38</v>
      </c>
      <c r="K703" s="4">
        <v>0.15</v>
      </c>
      <c r="L703" t="s">
        <v>521</v>
      </c>
      <c r="M703">
        <v>4</v>
      </c>
      <c r="N703" t="s">
        <v>91</v>
      </c>
      <c r="O703" t="str">
        <f>SUBSTITUTE(PROPER(TRIM(RawSalesTable[[#This Row],[Channel_Raw]])), "Market Place", "Marketplace")</f>
        <v>Online</v>
      </c>
      <c r="P703" t="str">
        <f>TRIM(RawSalesTable[[#This Row],[Store_Raw]])</f>
        <v>Vancouver West</v>
      </c>
      <c r="Q703" t="str">
        <f>IF(TRIM(RawSalesTable[[#This Row],[Payment_Method_Raw]])="","Non renseigné",SUBSTITUTE(TRIM(RawSalesTable[[#This Row],[Payment_Method_Raw]]),"CC","Credit Card"))</f>
        <v>debit card</v>
      </c>
      <c r="R703" s="8" t="str">
        <f>UPPER(PROPER(RawSalesTable[[#This Row],[Customer_ID]]))</f>
        <v>C0072</v>
      </c>
      <c r="S703" s="8" t="str">
        <f>TRIM(LEFT(RawSalesTable[[#This Row],[Customer_Info]],FIND(",",RawSalesTable[[#This Row],[Customer_Info]]) -1))</f>
        <v>Ryan Bennett</v>
      </c>
      <c r="T703" s="8" t="str">
        <f>TRIM(MID(RawSalesTable[[#This Row],[Customer_Info]],FIND(",",RawSalesTable[[#This Row],[Customer_Info]])+1,FIND(",",RawSalesTable[[#This Row],[Customer_Info]],FIND(",",RawSalesTable[[#This Row],[Customer_Info]])+1)-FIND(",",RawSalesTable[[#This Row],[Customer_Info]])-1))</f>
        <v>Montreal</v>
      </c>
      <c r="U703" s="8" t="str">
        <f>TRIM(RIGHT(RawSalesTable[[#This Row],[Customer_Info]], LEN(RawSalesTable[[#This Row],[Customer_Info]])-FIND(",",RawSalesTable[[#This Row],[Customer_Info]],FIND(",",RawSalesTable[[#This Row],[Customer_Info]])+1)))</f>
        <v>Corporate</v>
      </c>
      <c r="V703" s="8" t="str">
        <f>VLOOKUP(RawSalesTable[[#This Row],[Product_ID]],ProductsTable[],2,FALSE)</f>
        <v>Webcam</v>
      </c>
      <c r="W703" s="8" t="str">
        <f>VLOOKUP(RawSalesTable[[#This Row],[Product_ID]],ProductsTable[],3,FALSE)</f>
        <v>Electronics</v>
      </c>
      <c r="X703" s="8">
        <f>VLOOKUP(RawSalesTable[[#This Row],[Product_ID]],ProductsTable[],5,FALSE)</f>
        <v>154.72999999999999</v>
      </c>
      <c r="Y703" s="8">
        <f>RawSalesTable[[#This Row],[Quantity]]*RawSalesTable[[#This Row],[Unit_Price]]</f>
        <v>548.76</v>
      </c>
      <c r="Z703" s="8">
        <f>RawSalesTable[[#This Row],[Gross_Sales]]*RawSalesTable[[#This Row],[Discount_Pct]]</f>
        <v>82.313999999999993</v>
      </c>
      <c r="AA703" s="8">
        <f>RawSalesTable[[#This Row],[Gross_Sales]]-RawSalesTable[[#This Row],[Discount_Amount]]</f>
        <v>466.44600000000003</v>
      </c>
      <c r="AB703" s="8">
        <f>RawSalesTable[[#This Row],[Unit_Cost]]*RawSalesTable[[#This Row],[Quantity]]</f>
        <v>309.45999999999998</v>
      </c>
      <c r="AC703" s="8">
        <f>RawSalesTable[[#This Row],[Net_Sales]]-RawSalesTable[[#This Row],[Total_Cost]]</f>
        <v>156.98600000000005</v>
      </c>
      <c r="AD703" s="9">
        <f>RawSalesTable[[#This Row],[Profit]]/RawSalesTable[[#This Row],[Net_Sales]]</f>
        <v>0.33655771514816302</v>
      </c>
      <c r="AE703" s="8">
        <f>IF(RawSalesTable[[#This Row],[Return_Status]]="Yes",1,0)</f>
        <v>0</v>
      </c>
      <c r="AF703" s="8">
        <f>YEAR(RawSalesTable[[#This Row],[Order_Date]])</f>
        <v>2025</v>
      </c>
      <c r="AG703" s="8">
        <f>MONTH(RawSalesTable[[#This Row],[Order_Date]])</f>
        <v>2</v>
      </c>
      <c r="AH703" s="8" t="str">
        <f>TEXT(RawSalesTable[[#This Row],[Order_Date]],"mmmm")</f>
        <v>février</v>
      </c>
      <c r="AI703" s="8" t="str">
        <f>IF(RawSalesTable[[#This Row],[Month_Number]]&lt;=3,"Q1",IF(RawSalesTable[[#This Row],[Month_Number]]&lt;=6,"Q2",IF(RawSalesTable[[#This Row],[Month_Number]]&lt;=9,"Q3","Q4")))</f>
        <v>Q1</v>
      </c>
      <c r="AJ703" s="13">
        <f>DATE(YEAR(RawSalesTable[[#This Row],[Order_Date]]),MONTH(RawSalesTable[[#This Row],[Order_Date]]),1)</f>
        <v>45689</v>
      </c>
      <c r="AK703" s="8" t="str">
        <f>VLOOKUP(RawSalesTable[[#This Row],[Customer_ID_clean]],CustomersTable[],4,FALSE)</f>
        <v>Quebec</v>
      </c>
    </row>
    <row r="704" spans="1:37">
      <c r="A704" t="s">
        <v>1153</v>
      </c>
      <c r="B704" s="3">
        <v>45695</v>
      </c>
      <c r="C704" t="s">
        <v>220</v>
      </c>
      <c r="D704" t="s">
        <v>738</v>
      </c>
      <c r="E704" t="s">
        <v>222</v>
      </c>
      <c r="F704" t="s">
        <v>116</v>
      </c>
      <c r="G704" t="s">
        <v>130</v>
      </c>
      <c r="H704" t="s">
        <v>97</v>
      </c>
      <c r="I704">
        <v>2</v>
      </c>
      <c r="J704" s="2">
        <v>328.35</v>
      </c>
      <c r="K704" s="4">
        <v>0.05</v>
      </c>
      <c r="L704" t="s">
        <v>106</v>
      </c>
      <c r="M704">
        <v>3</v>
      </c>
      <c r="N704" t="s">
        <v>91</v>
      </c>
      <c r="O704" t="str">
        <f>SUBSTITUTE(PROPER(TRIM(RawSalesTable[[#This Row],[Channel_Raw]])), "Market Place", "Marketplace")</f>
        <v>Retail Store</v>
      </c>
      <c r="P704" t="str">
        <f>TRIM(RawSalesTable[[#This Row],[Store_Raw]])</f>
        <v>Toronto Downtown</v>
      </c>
      <c r="Q704" t="str">
        <f>IF(TRIM(RawSalesTable[[#This Row],[Payment_Method_Raw]])="","Non renseigné",SUBSTITUTE(TRIM(RawSalesTable[[#This Row],[Payment_Method_Raw]]),"CC","Credit Card"))</f>
        <v>Credit Card</v>
      </c>
      <c r="R704" s="8" t="str">
        <f>UPPER(PROPER(RawSalesTable[[#This Row],[Customer_ID]]))</f>
        <v>C0067</v>
      </c>
      <c r="S704" s="8" t="str">
        <f>TRIM(LEFT(RawSalesTable[[#This Row],[Customer_Info]],FIND(",",RawSalesTable[[#This Row],[Customer_Info]]) -1))</f>
        <v>Leo Bennett</v>
      </c>
      <c r="T704" s="8" t="str">
        <f>TRIM(MID(RawSalesTable[[#This Row],[Customer_Info]],FIND(",",RawSalesTable[[#This Row],[Customer_Info]])+1,FIND(",",RawSalesTable[[#This Row],[Customer_Info]],FIND(",",RawSalesTable[[#This Row],[Customer_Info]])+1)-FIND(",",RawSalesTable[[#This Row],[Customer_Info]])-1))</f>
        <v>Mississauga</v>
      </c>
      <c r="U704" s="8" t="str">
        <f>TRIM(RIGHT(RawSalesTable[[#This Row],[Customer_Info]], LEN(RawSalesTable[[#This Row],[Customer_Info]])-FIND(",",RawSalesTable[[#This Row],[Customer_Info]],FIND(",",RawSalesTable[[#This Row],[Customer_Info]])+1)))</f>
        <v>Consumer</v>
      </c>
      <c r="V704" s="8" t="str">
        <f>VLOOKUP(RawSalesTable[[#This Row],[Product_ID]],ProductsTable[],2,FALSE)</f>
        <v>Printer</v>
      </c>
      <c r="W704" s="8" t="str">
        <f>VLOOKUP(RawSalesTable[[#This Row],[Product_ID]],ProductsTable[],3,FALSE)</f>
        <v>Office</v>
      </c>
      <c r="X704" s="8">
        <f>VLOOKUP(RawSalesTable[[#This Row],[Product_ID]],ProductsTable[],5,FALSE)</f>
        <v>156.75</v>
      </c>
      <c r="Y704" s="8">
        <f>RawSalesTable[[#This Row],[Quantity]]*RawSalesTable[[#This Row],[Unit_Price]]</f>
        <v>656.7</v>
      </c>
      <c r="Z704" s="8">
        <f>RawSalesTable[[#This Row],[Gross_Sales]]*RawSalesTable[[#This Row],[Discount_Pct]]</f>
        <v>32.835000000000001</v>
      </c>
      <c r="AA704" s="8">
        <f>RawSalesTable[[#This Row],[Gross_Sales]]-RawSalesTable[[#This Row],[Discount_Amount]]</f>
        <v>623.86500000000001</v>
      </c>
      <c r="AB704" s="8">
        <f>RawSalesTable[[#This Row],[Unit_Cost]]*RawSalesTable[[#This Row],[Quantity]]</f>
        <v>313.5</v>
      </c>
      <c r="AC704" s="8">
        <f>RawSalesTable[[#This Row],[Net_Sales]]-RawSalesTable[[#This Row],[Total_Cost]]</f>
        <v>310.36500000000001</v>
      </c>
      <c r="AD704" s="9">
        <f>RawSalesTable[[#This Row],[Profit]]/RawSalesTable[[#This Row],[Net_Sales]]</f>
        <v>0.49748743718592964</v>
      </c>
      <c r="AE704" s="8">
        <f>IF(RawSalesTable[[#This Row],[Return_Status]]="Yes",1,0)</f>
        <v>0</v>
      </c>
      <c r="AF704" s="8">
        <f>YEAR(RawSalesTable[[#This Row],[Order_Date]])</f>
        <v>2025</v>
      </c>
      <c r="AG704" s="8">
        <f>MONTH(RawSalesTable[[#This Row],[Order_Date]])</f>
        <v>2</v>
      </c>
      <c r="AH704" s="8" t="str">
        <f>TEXT(RawSalesTable[[#This Row],[Order_Date]],"mmmm")</f>
        <v>février</v>
      </c>
      <c r="AI704" s="8" t="str">
        <f>IF(RawSalesTable[[#This Row],[Month_Number]]&lt;=3,"Q1",IF(RawSalesTable[[#This Row],[Month_Number]]&lt;=6,"Q2",IF(RawSalesTable[[#This Row],[Month_Number]]&lt;=9,"Q3","Q4")))</f>
        <v>Q1</v>
      </c>
      <c r="AJ704" s="13">
        <f>DATE(YEAR(RawSalesTable[[#This Row],[Order_Date]]),MONTH(RawSalesTable[[#This Row],[Order_Date]]),1)</f>
        <v>45689</v>
      </c>
      <c r="AK704" s="8" t="str">
        <f>VLOOKUP(RawSalesTable[[#This Row],[Customer_ID_clean]],CustomersTable[],4,FALSE)</f>
        <v>Ontario</v>
      </c>
    </row>
    <row r="705" spans="1:37">
      <c r="A705" t="s">
        <v>1154</v>
      </c>
      <c r="B705" s="3">
        <v>46014</v>
      </c>
      <c r="C705" t="s">
        <v>290</v>
      </c>
      <c r="D705" t="s">
        <v>120</v>
      </c>
      <c r="E705" t="s">
        <v>732</v>
      </c>
      <c r="F705" t="s">
        <v>87</v>
      </c>
      <c r="G705" t="s">
        <v>117</v>
      </c>
      <c r="H705" t="s">
        <v>89</v>
      </c>
      <c r="I705">
        <v>2</v>
      </c>
      <c r="J705" s="2">
        <v>377.86</v>
      </c>
      <c r="K705" s="4">
        <v>0.25</v>
      </c>
      <c r="L705" t="s">
        <v>98</v>
      </c>
      <c r="M705">
        <v>6</v>
      </c>
      <c r="N705" t="s">
        <v>91</v>
      </c>
      <c r="O705" t="str">
        <f>SUBSTITUTE(PROPER(TRIM(RawSalesTable[[#This Row],[Channel_Raw]])), "Market Place", "Marketplace")</f>
        <v>Online</v>
      </c>
      <c r="P705" t="str">
        <f>TRIM(RawSalesTable[[#This Row],[Store_Raw]])</f>
        <v>Online Fulfillment</v>
      </c>
      <c r="Q705" t="str">
        <f>IF(TRIM(RawSalesTable[[#This Row],[Payment_Method_Raw]])="","Non renseigné",SUBSTITUTE(TRIM(RawSalesTable[[#This Row],[Payment_Method_Raw]]),"CC","Credit Card"))</f>
        <v>Debit Card</v>
      </c>
      <c r="R705" s="8" t="str">
        <f>UPPER(PROPER(RawSalesTable[[#This Row],[Customer_ID]]))</f>
        <v>C0116</v>
      </c>
      <c r="S705" s="8" t="str">
        <f>TRIM(LEFT(RawSalesTable[[#This Row],[Customer_Info]],FIND(",",RawSalesTable[[#This Row],[Customer_Info]]) -1))</f>
        <v>Lucas Brown</v>
      </c>
      <c r="T705" s="8" t="str">
        <f>TRIM(MID(RawSalesTable[[#This Row],[Customer_Info]],FIND(",",RawSalesTable[[#This Row],[Customer_Info]])+1,FIND(",",RawSalesTable[[#This Row],[Customer_Info]],FIND(",",RawSalesTable[[#This Row],[Customer_Info]])+1)-FIND(",",RawSalesTable[[#This Row],[Customer_Info]])-1))</f>
        <v>Mississauga</v>
      </c>
      <c r="U705" s="8" t="str">
        <f>TRIM(RIGHT(RawSalesTable[[#This Row],[Customer_Info]], LEN(RawSalesTable[[#This Row],[Customer_Info]])-FIND(",",RawSalesTable[[#This Row],[Customer_Info]],FIND(",",RawSalesTable[[#This Row],[Customer_Info]])+1)))</f>
        <v>Corporate</v>
      </c>
      <c r="V705" s="8" t="str">
        <f>VLOOKUP(RawSalesTable[[#This Row],[Product_ID]],ProductsTable[],2,FALSE)</f>
        <v>Desk Organizer</v>
      </c>
      <c r="W705" s="8" t="str">
        <f>VLOOKUP(RawSalesTable[[#This Row],[Product_ID]],ProductsTable[],3,FALSE)</f>
        <v>Office</v>
      </c>
      <c r="X705" s="8">
        <f>VLOOKUP(RawSalesTable[[#This Row],[Product_ID]],ProductsTable[],5,FALSE)</f>
        <v>235.76</v>
      </c>
      <c r="Y705" s="8">
        <f>RawSalesTable[[#This Row],[Quantity]]*RawSalesTable[[#This Row],[Unit_Price]]</f>
        <v>755.72</v>
      </c>
      <c r="Z705" s="8">
        <f>RawSalesTable[[#This Row],[Gross_Sales]]*RawSalesTable[[#This Row],[Discount_Pct]]</f>
        <v>188.93</v>
      </c>
      <c r="AA705" s="8">
        <f>RawSalesTable[[#This Row],[Gross_Sales]]-RawSalesTable[[#This Row],[Discount_Amount]]</f>
        <v>566.79</v>
      </c>
      <c r="AB705" s="8">
        <f>RawSalesTable[[#This Row],[Unit_Cost]]*RawSalesTable[[#This Row],[Quantity]]</f>
        <v>471.52</v>
      </c>
      <c r="AC705" s="8">
        <f>RawSalesTable[[#This Row],[Net_Sales]]-RawSalesTable[[#This Row],[Total_Cost]]</f>
        <v>95.269999999999982</v>
      </c>
      <c r="AD705" s="9">
        <f>RawSalesTable[[#This Row],[Profit]]/RawSalesTable[[#This Row],[Net_Sales]]</f>
        <v>0.16808694578238853</v>
      </c>
      <c r="AE705" s="8">
        <f>IF(RawSalesTable[[#This Row],[Return_Status]]="Yes",1,0)</f>
        <v>0</v>
      </c>
      <c r="AF705" s="8">
        <f>YEAR(RawSalesTable[[#This Row],[Order_Date]])</f>
        <v>2025</v>
      </c>
      <c r="AG705" s="8">
        <f>MONTH(RawSalesTable[[#This Row],[Order_Date]])</f>
        <v>12</v>
      </c>
      <c r="AH705" s="8" t="str">
        <f>TEXT(RawSalesTable[[#This Row],[Order_Date]],"mmmm")</f>
        <v>décembre</v>
      </c>
      <c r="AI705" s="8" t="str">
        <f>IF(RawSalesTable[[#This Row],[Month_Number]]&lt;=3,"Q1",IF(RawSalesTable[[#This Row],[Month_Number]]&lt;=6,"Q2",IF(RawSalesTable[[#This Row],[Month_Number]]&lt;=9,"Q3","Q4")))</f>
        <v>Q4</v>
      </c>
      <c r="AJ705" s="13">
        <f>DATE(YEAR(RawSalesTable[[#This Row],[Order_Date]]),MONTH(RawSalesTable[[#This Row],[Order_Date]]),1)</f>
        <v>45992</v>
      </c>
      <c r="AK705" s="8" t="str">
        <f>VLOOKUP(RawSalesTable[[#This Row],[Customer_ID_clean]],CustomersTable[],4,FALSE)</f>
        <v>Ontario</v>
      </c>
    </row>
    <row r="706" spans="1:37">
      <c r="A706" t="s">
        <v>1155</v>
      </c>
      <c r="B706" s="3">
        <v>45874</v>
      </c>
      <c r="C706" t="s">
        <v>670</v>
      </c>
      <c r="D706" t="s">
        <v>114</v>
      </c>
      <c r="E706" t="s">
        <v>671</v>
      </c>
      <c r="F706" t="s">
        <v>145</v>
      </c>
      <c r="G706" t="s">
        <v>130</v>
      </c>
      <c r="H706" t="s">
        <v>89</v>
      </c>
      <c r="I706">
        <v>4</v>
      </c>
      <c r="J706" s="2">
        <v>141.24</v>
      </c>
      <c r="K706" s="4">
        <v>0</v>
      </c>
      <c r="L706" t="s">
        <v>106</v>
      </c>
      <c r="M706">
        <v>4</v>
      </c>
      <c r="N706" t="s">
        <v>91</v>
      </c>
      <c r="O706" t="str">
        <f>SUBSTITUTE(PROPER(TRIM(RawSalesTable[[#This Row],[Channel_Raw]])), "Market Place", "Marketplace")</f>
        <v>Online</v>
      </c>
      <c r="P706" t="str">
        <f>TRIM(RawSalesTable[[#This Row],[Store_Raw]])</f>
        <v>Calgary North</v>
      </c>
      <c r="Q706" t="str">
        <f>IF(TRIM(RawSalesTable[[#This Row],[Payment_Method_Raw]])="","Non renseigné",SUBSTITUTE(TRIM(RawSalesTable[[#This Row],[Payment_Method_Raw]]),"CC","Credit Card"))</f>
        <v>Credit Card</v>
      </c>
      <c r="R706" s="8" t="str">
        <f>UPPER(PROPER(RawSalesTable[[#This Row],[Customer_ID]]))</f>
        <v>C0107</v>
      </c>
      <c r="S706" s="8" t="str">
        <f>TRIM(LEFT(RawSalesTable[[#This Row],[Customer_Info]],FIND(",",RawSalesTable[[#This Row],[Customer_Info]]) -1))</f>
        <v>Ava Lee</v>
      </c>
      <c r="T706" s="8" t="str">
        <f>TRIM(MID(RawSalesTable[[#This Row],[Customer_Info]],FIND(",",RawSalesTable[[#This Row],[Customer_Info]])+1,FIND(",",RawSalesTable[[#This Row],[Customer_Info]],FIND(",",RawSalesTable[[#This Row],[Customer_Info]])+1)-FIND(",",RawSalesTable[[#This Row],[Customer_Info]])-1))</f>
        <v>Calgary</v>
      </c>
      <c r="U706" s="8" t="str">
        <f>TRIM(RIGHT(RawSalesTable[[#This Row],[Customer_Info]], LEN(RawSalesTable[[#This Row],[Customer_Info]])-FIND(",",RawSalesTable[[#This Row],[Customer_Info]],FIND(",",RawSalesTable[[#This Row],[Customer_Info]])+1)))</f>
        <v>Small Business</v>
      </c>
      <c r="V706" s="8" t="str">
        <f>VLOOKUP(RawSalesTable[[#This Row],[Product_ID]],ProductsTable[],2,FALSE)</f>
        <v>Laptop Sleeve</v>
      </c>
      <c r="W706" s="8" t="str">
        <f>VLOOKUP(RawSalesTable[[#This Row],[Product_ID]],ProductsTable[],3,FALSE)</f>
        <v>Accessories</v>
      </c>
      <c r="X706" s="8">
        <f>VLOOKUP(RawSalesTable[[#This Row],[Product_ID]],ProductsTable[],5,FALSE)</f>
        <v>78.95</v>
      </c>
      <c r="Y706" s="8">
        <f>RawSalesTable[[#This Row],[Quantity]]*RawSalesTable[[#This Row],[Unit_Price]]</f>
        <v>564.96</v>
      </c>
      <c r="Z706" s="8">
        <f>RawSalesTable[[#This Row],[Gross_Sales]]*RawSalesTable[[#This Row],[Discount_Pct]]</f>
        <v>0</v>
      </c>
      <c r="AA706" s="8">
        <f>RawSalesTable[[#This Row],[Gross_Sales]]-RawSalesTable[[#This Row],[Discount_Amount]]</f>
        <v>564.96</v>
      </c>
      <c r="AB706" s="8">
        <f>RawSalesTable[[#This Row],[Unit_Cost]]*RawSalesTable[[#This Row],[Quantity]]</f>
        <v>315.8</v>
      </c>
      <c r="AC706" s="8">
        <f>RawSalesTable[[#This Row],[Net_Sales]]-RawSalesTable[[#This Row],[Total_Cost]]</f>
        <v>249.16000000000003</v>
      </c>
      <c r="AD706" s="9">
        <f>RawSalesTable[[#This Row],[Profit]]/RawSalesTable[[#This Row],[Net_Sales]]</f>
        <v>0.44102237326536392</v>
      </c>
      <c r="AE706" s="8">
        <f>IF(RawSalesTable[[#This Row],[Return_Status]]="Yes",1,0)</f>
        <v>0</v>
      </c>
      <c r="AF706" s="8">
        <f>YEAR(RawSalesTable[[#This Row],[Order_Date]])</f>
        <v>2025</v>
      </c>
      <c r="AG706" s="8">
        <f>MONTH(RawSalesTable[[#This Row],[Order_Date]])</f>
        <v>8</v>
      </c>
      <c r="AH706" s="8" t="str">
        <f>TEXT(RawSalesTable[[#This Row],[Order_Date]],"mmmm")</f>
        <v>août</v>
      </c>
      <c r="AI706" s="8" t="str">
        <f>IF(RawSalesTable[[#This Row],[Month_Number]]&lt;=3,"Q1",IF(RawSalesTable[[#This Row],[Month_Number]]&lt;=6,"Q2",IF(RawSalesTable[[#This Row],[Month_Number]]&lt;=9,"Q3","Q4")))</f>
        <v>Q3</v>
      </c>
      <c r="AJ706" s="13">
        <f>DATE(YEAR(RawSalesTable[[#This Row],[Order_Date]]),MONTH(RawSalesTable[[#This Row],[Order_Date]]),1)</f>
        <v>45870</v>
      </c>
      <c r="AK706" s="8" t="str">
        <f>VLOOKUP(RawSalesTable[[#This Row],[Customer_ID_clean]],CustomersTable[],4,FALSE)</f>
        <v>Alberta</v>
      </c>
    </row>
    <row r="707" spans="1:37">
      <c r="A707" t="s">
        <v>1156</v>
      </c>
      <c r="B707" s="3">
        <v>45718</v>
      </c>
      <c r="C707" t="s">
        <v>243</v>
      </c>
      <c r="D707" t="s">
        <v>94</v>
      </c>
      <c r="E707" t="s">
        <v>245</v>
      </c>
      <c r="F707" t="s">
        <v>103</v>
      </c>
      <c r="G707" t="s">
        <v>96</v>
      </c>
      <c r="H707" t="s">
        <v>89</v>
      </c>
      <c r="I707">
        <v>3</v>
      </c>
      <c r="J707" s="2">
        <v>318.18</v>
      </c>
      <c r="K707" s="4">
        <v>0.1</v>
      </c>
      <c r="L707" t="s">
        <v>98</v>
      </c>
      <c r="M707">
        <v>7</v>
      </c>
      <c r="N707" t="s">
        <v>91</v>
      </c>
      <c r="O707" t="str">
        <f>SUBSTITUTE(PROPER(TRIM(RawSalesTable[[#This Row],[Channel_Raw]])), "Market Place", "Marketplace")</f>
        <v>Online</v>
      </c>
      <c r="P707" t="str">
        <f>TRIM(RawSalesTable[[#This Row],[Store_Raw]])</f>
        <v>Vancouver West</v>
      </c>
      <c r="Q707" t="str">
        <f>IF(TRIM(RawSalesTable[[#This Row],[Payment_Method_Raw]])="","Non renseigné",SUBSTITUTE(TRIM(RawSalesTable[[#This Row],[Payment_Method_Raw]]),"CC","Credit Card"))</f>
        <v>Debit Card</v>
      </c>
      <c r="R707" s="8" t="str">
        <f>UPPER(PROPER(RawSalesTable[[#This Row],[Customer_ID]]))</f>
        <v>C0048</v>
      </c>
      <c r="S707" s="8" t="str">
        <f>TRIM(LEFT(RawSalesTable[[#This Row],[Customer_Info]],FIND(",",RawSalesTable[[#This Row],[Customer_Info]]) -1))</f>
        <v>Amelia Brown</v>
      </c>
      <c r="T707" s="8" t="str">
        <f>TRIM(MID(RawSalesTable[[#This Row],[Customer_Info]],FIND(",",RawSalesTable[[#This Row],[Customer_Info]])+1,FIND(",",RawSalesTable[[#This Row],[Customer_Info]],FIND(",",RawSalesTable[[#This Row],[Customer_Info]])+1)-FIND(",",RawSalesTable[[#This Row],[Customer_Info]])-1))</f>
        <v>Quebec City</v>
      </c>
      <c r="U707" s="8" t="str">
        <f>TRIM(RIGHT(RawSalesTable[[#This Row],[Customer_Info]], LEN(RawSalesTable[[#This Row],[Customer_Info]])-FIND(",",RawSalesTable[[#This Row],[Customer_Info]],FIND(",",RawSalesTable[[#This Row],[Customer_Info]])+1)))</f>
        <v>Corporate</v>
      </c>
      <c r="V707" s="8" t="str">
        <f>VLOOKUP(RawSalesTable[[#This Row],[Product_ID]],ProductsTable[],2,FALSE)</f>
        <v>Backpack</v>
      </c>
      <c r="W707" s="8" t="str">
        <f>VLOOKUP(RawSalesTable[[#This Row],[Product_ID]],ProductsTable[],3,FALSE)</f>
        <v>Accessories</v>
      </c>
      <c r="X707" s="8">
        <f>VLOOKUP(RawSalesTable[[#This Row],[Product_ID]],ProductsTable[],5,FALSE)</f>
        <v>152.55000000000001</v>
      </c>
      <c r="Y707" s="8">
        <f>RawSalesTable[[#This Row],[Quantity]]*RawSalesTable[[#This Row],[Unit_Price]]</f>
        <v>954.54</v>
      </c>
      <c r="Z707" s="8">
        <f>RawSalesTable[[#This Row],[Gross_Sales]]*RawSalesTable[[#This Row],[Discount_Pct]]</f>
        <v>95.454000000000008</v>
      </c>
      <c r="AA707" s="8">
        <f>RawSalesTable[[#This Row],[Gross_Sales]]-RawSalesTable[[#This Row],[Discount_Amount]]</f>
        <v>859.08600000000001</v>
      </c>
      <c r="AB707" s="8">
        <f>RawSalesTable[[#This Row],[Unit_Cost]]*RawSalesTable[[#This Row],[Quantity]]</f>
        <v>457.65000000000003</v>
      </c>
      <c r="AC707" s="8">
        <f>RawSalesTable[[#This Row],[Net_Sales]]-RawSalesTable[[#This Row],[Total_Cost]]</f>
        <v>401.43599999999998</v>
      </c>
      <c r="AD707" s="9">
        <f>RawSalesTable[[#This Row],[Profit]]/RawSalesTable[[#This Row],[Net_Sales]]</f>
        <v>0.46728267018668673</v>
      </c>
      <c r="AE707" s="8">
        <f>IF(RawSalesTable[[#This Row],[Return_Status]]="Yes",1,0)</f>
        <v>0</v>
      </c>
      <c r="AF707" s="8">
        <f>YEAR(RawSalesTable[[#This Row],[Order_Date]])</f>
        <v>2025</v>
      </c>
      <c r="AG707" s="8">
        <f>MONTH(RawSalesTable[[#This Row],[Order_Date]])</f>
        <v>3</v>
      </c>
      <c r="AH707" s="8" t="str">
        <f>TEXT(RawSalesTable[[#This Row],[Order_Date]],"mmmm")</f>
        <v>mars</v>
      </c>
      <c r="AI707" s="8" t="str">
        <f>IF(RawSalesTable[[#This Row],[Month_Number]]&lt;=3,"Q1",IF(RawSalesTable[[#This Row],[Month_Number]]&lt;=6,"Q2",IF(RawSalesTable[[#This Row],[Month_Number]]&lt;=9,"Q3","Q4")))</f>
        <v>Q1</v>
      </c>
      <c r="AJ707" s="13">
        <f>DATE(YEAR(RawSalesTable[[#This Row],[Order_Date]]),MONTH(RawSalesTable[[#This Row],[Order_Date]]),1)</f>
        <v>45717</v>
      </c>
      <c r="AK707" s="8" t="str">
        <f>VLOOKUP(RawSalesTable[[#This Row],[Customer_ID_clean]],CustomersTable[],4,FALSE)</f>
        <v>Quebec</v>
      </c>
    </row>
    <row r="708" spans="1:37">
      <c r="A708" t="s">
        <v>1157</v>
      </c>
      <c r="B708" s="3">
        <v>45954</v>
      </c>
      <c r="C708" t="s">
        <v>512</v>
      </c>
      <c r="D708" t="s">
        <v>738</v>
      </c>
      <c r="E708" t="s">
        <v>513</v>
      </c>
      <c r="F708" t="s">
        <v>103</v>
      </c>
      <c r="G708" t="s">
        <v>96</v>
      </c>
      <c r="H708" t="s">
        <v>233</v>
      </c>
      <c r="I708">
        <v>4</v>
      </c>
      <c r="J708" s="2">
        <v>328.67</v>
      </c>
      <c r="K708" s="4">
        <v>0</v>
      </c>
      <c r="L708" t="s">
        <v>90</v>
      </c>
      <c r="M708">
        <v>1</v>
      </c>
      <c r="N708" t="s">
        <v>91</v>
      </c>
      <c r="O708" t="str">
        <f>SUBSTITUTE(PROPER(TRIM(RawSalesTable[[#This Row],[Channel_Raw]])), "Market Place", "Marketplace")</f>
        <v>Retail Store</v>
      </c>
      <c r="P708" t="str">
        <f>TRIM(RawSalesTable[[#This Row],[Store_Raw]])</f>
        <v>Vancouver West</v>
      </c>
      <c r="Q708" t="str">
        <f>IF(TRIM(RawSalesTable[[#This Row],[Payment_Method_Raw]])="","Non renseigné",SUBSTITUTE(TRIM(RawSalesTable[[#This Row],[Payment_Method_Raw]]),"CC","Credit Card"))</f>
        <v>PayPal</v>
      </c>
      <c r="R708" s="8" t="str">
        <f>UPPER(PROPER(RawSalesTable[[#This Row],[Customer_ID]]))</f>
        <v>C0082</v>
      </c>
      <c r="S708" s="8" t="str">
        <f>TRIM(LEFT(RawSalesTable[[#This Row],[Customer_Info]],FIND(",",RawSalesTable[[#This Row],[Customer_Info]]) -1))</f>
        <v>Ryan King</v>
      </c>
      <c r="T708" s="8" t="str">
        <f>TRIM(MID(RawSalesTable[[#This Row],[Customer_Info]],FIND(",",RawSalesTable[[#This Row],[Customer_Info]])+1,FIND(",",RawSalesTable[[#This Row],[Customer_Info]],FIND(",",RawSalesTable[[#This Row],[Customer_Info]])+1)-FIND(",",RawSalesTable[[#This Row],[Customer_Info]])-1))</f>
        <v>Winnipeg</v>
      </c>
      <c r="U708" s="8" t="str">
        <f>TRIM(RIGHT(RawSalesTable[[#This Row],[Customer_Info]], LEN(RawSalesTable[[#This Row],[Customer_Info]])-FIND(",",RawSalesTable[[#This Row],[Customer_Info]],FIND(",",RawSalesTable[[#This Row],[Customer_Info]])+1)))</f>
        <v>Small Business</v>
      </c>
      <c r="V708" s="8" t="str">
        <f>VLOOKUP(RawSalesTable[[#This Row],[Product_ID]],ProductsTable[],2,FALSE)</f>
        <v>Printer</v>
      </c>
      <c r="W708" s="8" t="str">
        <f>VLOOKUP(RawSalesTable[[#This Row],[Product_ID]],ProductsTable[],3,FALSE)</f>
        <v>Office</v>
      </c>
      <c r="X708" s="8">
        <f>VLOOKUP(RawSalesTable[[#This Row],[Product_ID]],ProductsTable[],5,FALSE)</f>
        <v>156.75</v>
      </c>
      <c r="Y708" s="8">
        <f>RawSalesTable[[#This Row],[Quantity]]*RawSalesTable[[#This Row],[Unit_Price]]</f>
        <v>1314.68</v>
      </c>
      <c r="Z708" s="8">
        <f>RawSalesTable[[#This Row],[Gross_Sales]]*RawSalesTable[[#This Row],[Discount_Pct]]</f>
        <v>0</v>
      </c>
      <c r="AA708" s="8">
        <f>RawSalesTable[[#This Row],[Gross_Sales]]-RawSalesTable[[#This Row],[Discount_Amount]]</f>
        <v>1314.68</v>
      </c>
      <c r="AB708" s="8">
        <f>RawSalesTable[[#This Row],[Unit_Cost]]*RawSalesTable[[#This Row],[Quantity]]</f>
        <v>627</v>
      </c>
      <c r="AC708" s="8">
        <f>RawSalesTable[[#This Row],[Net_Sales]]-RawSalesTable[[#This Row],[Total_Cost]]</f>
        <v>687.68000000000006</v>
      </c>
      <c r="AD708" s="9">
        <f>RawSalesTable[[#This Row],[Profit]]/RawSalesTable[[#This Row],[Net_Sales]]</f>
        <v>0.52307785925092043</v>
      </c>
      <c r="AE708" s="8">
        <f>IF(RawSalesTable[[#This Row],[Return_Status]]="Yes",1,0)</f>
        <v>0</v>
      </c>
      <c r="AF708" s="8">
        <f>YEAR(RawSalesTable[[#This Row],[Order_Date]])</f>
        <v>2025</v>
      </c>
      <c r="AG708" s="8">
        <f>MONTH(RawSalesTable[[#This Row],[Order_Date]])</f>
        <v>10</v>
      </c>
      <c r="AH708" s="8" t="str">
        <f>TEXT(RawSalesTable[[#This Row],[Order_Date]],"mmmm")</f>
        <v>octobre</v>
      </c>
      <c r="AI708" s="8" t="str">
        <f>IF(RawSalesTable[[#This Row],[Month_Number]]&lt;=3,"Q1",IF(RawSalesTable[[#This Row],[Month_Number]]&lt;=6,"Q2",IF(RawSalesTable[[#This Row],[Month_Number]]&lt;=9,"Q3","Q4")))</f>
        <v>Q4</v>
      </c>
      <c r="AJ708" s="13">
        <f>DATE(YEAR(RawSalesTable[[#This Row],[Order_Date]]),MONTH(RawSalesTable[[#This Row],[Order_Date]]),1)</f>
        <v>45931</v>
      </c>
      <c r="AK708" s="8" t="str">
        <f>VLOOKUP(RawSalesTable[[#This Row],[Customer_ID_clean]],CustomersTable[],4,FALSE)</f>
        <v>Manitoba</v>
      </c>
    </row>
    <row r="709" spans="1:37">
      <c r="A709" t="s">
        <v>1158</v>
      </c>
      <c r="B709" s="3">
        <v>45817</v>
      </c>
      <c r="C709" t="s">
        <v>758</v>
      </c>
      <c r="D709" t="s">
        <v>360</v>
      </c>
      <c r="E709" t="s">
        <v>759</v>
      </c>
      <c r="F709" t="s">
        <v>223</v>
      </c>
      <c r="G709" t="s">
        <v>130</v>
      </c>
      <c r="H709" t="s">
        <v>97</v>
      </c>
      <c r="I709">
        <v>5</v>
      </c>
      <c r="J709" s="2">
        <v>62.48</v>
      </c>
      <c r="K709" s="4">
        <v>0</v>
      </c>
      <c r="L709" t="s">
        <v>106</v>
      </c>
      <c r="M709">
        <v>0</v>
      </c>
      <c r="N709" t="s">
        <v>91</v>
      </c>
      <c r="O709" t="str">
        <f>SUBSTITUTE(PROPER(TRIM(RawSalesTable[[#This Row],[Channel_Raw]])), "Market Place", "Marketplace")</f>
        <v>Retail Store</v>
      </c>
      <c r="P709" t="str">
        <f>TRIM(RawSalesTable[[#This Row],[Store_Raw]])</f>
        <v>Montreal Central</v>
      </c>
      <c r="Q709" t="str">
        <f>IF(TRIM(RawSalesTable[[#This Row],[Payment_Method_Raw]])="","Non renseigné",SUBSTITUTE(TRIM(RawSalesTable[[#This Row],[Payment_Method_Raw]]),"CC","Credit Card"))</f>
        <v>Credit Card</v>
      </c>
      <c r="R709" s="8" t="str">
        <f>UPPER(PROPER(RawSalesTable[[#This Row],[Customer_ID]]))</f>
        <v>C0034</v>
      </c>
      <c r="S709" s="8" t="str">
        <f>TRIM(LEFT(RawSalesTable[[#This Row],[Customer_Info]],FIND(",",RawSalesTable[[#This Row],[Customer_Info]]) -1))</f>
        <v>Noah Tremblay</v>
      </c>
      <c r="T709" s="8" t="str">
        <f>TRIM(MID(RawSalesTable[[#This Row],[Customer_Info]],FIND(",",RawSalesTable[[#This Row],[Customer_Info]])+1,FIND(",",RawSalesTable[[#This Row],[Customer_Info]],FIND(",",RawSalesTable[[#This Row],[Customer_Info]])+1)-FIND(",",RawSalesTable[[#This Row],[Customer_Info]])-1))</f>
        <v>Toronto</v>
      </c>
      <c r="U709" s="8" t="str">
        <f>TRIM(RIGHT(RawSalesTable[[#This Row],[Customer_Info]], LEN(RawSalesTable[[#This Row],[Customer_Info]])-FIND(",",RawSalesTable[[#This Row],[Customer_Info]],FIND(",",RawSalesTable[[#This Row],[Customer_Info]])+1)))</f>
        <v>Corporate</v>
      </c>
      <c r="V709" s="8" t="str">
        <f>VLOOKUP(RawSalesTable[[#This Row],[Product_ID]],ProductsTable[],2,FALSE)</f>
        <v>Blender</v>
      </c>
      <c r="W709" s="8" t="str">
        <f>VLOOKUP(RawSalesTable[[#This Row],[Product_ID]],ProductsTable[],3,FALSE)</f>
        <v>Home</v>
      </c>
      <c r="X709" s="8">
        <f>VLOOKUP(RawSalesTable[[#This Row],[Product_ID]],ProductsTable[],5,FALSE)</f>
        <v>37.46</v>
      </c>
      <c r="Y709" s="8">
        <f>RawSalesTable[[#This Row],[Quantity]]*RawSalesTable[[#This Row],[Unit_Price]]</f>
        <v>312.39999999999998</v>
      </c>
      <c r="Z709" s="8">
        <f>RawSalesTable[[#This Row],[Gross_Sales]]*RawSalesTable[[#This Row],[Discount_Pct]]</f>
        <v>0</v>
      </c>
      <c r="AA709" s="8">
        <f>RawSalesTable[[#This Row],[Gross_Sales]]-RawSalesTable[[#This Row],[Discount_Amount]]</f>
        <v>312.39999999999998</v>
      </c>
      <c r="AB709" s="8">
        <f>RawSalesTable[[#This Row],[Unit_Cost]]*RawSalesTable[[#This Row],[Quantity]]</f>
        <v>187.3</v>
      </c>
      <c r="AC709" s="8">
        <f>RawSalesTable[[#This Row],[Net_Sales]]-RawSalesTable[[#This Row],[Total_Cost]]</f>
        <v>125.09999999999997</v>
      </c>
      <c r="AD709" s="9">
        <f>RawSalesTable[[#This Row],[Profit]]/RawSalesTable[[#This Row],[Net_Sales]]</f>
        <v>0.4004481434058898</v>
      </c>
      <c r="AE709" s="8">
        <f>IF(RawSalesTable[[#This Row],[Return_Status]]="Yes",1,0)</f>
        <v>0</v>
      </c>
      <c r="AF709" s="8">
        <f>YEAR(RawSalesTable[[#This Row],[Order_Date]])</f>
        <v>2025</v>
      </c>
      <c r="AG709" s="8">
        <f>MONTH(RawSalesTable[[#This Row],[Order_Date]])</f>
        <v>6</v>
      </c>
      <c r="AH709" s="8" t="str">
        <f>TEXT(RawSalesTable[[#This Row],[Order_Date]],"mmmm")</f>
        <v>juin</v>
      </c>
      <c r="AI709" s="8" t="str">
        <f>IF(RawSalesTable[[#This Row],[Month_Number]]&lt;=3,"Q1",IF(RawSalesTable[[#This Row],[Month_Number]]&lt;=6,"Q2",IF(RawSalesTable[[#This Row],[Month_Number]]&lt;=9,"Q3","Q4")))</f>
        <v>Q2</v>
      </c>
      <c r="AJ709" s="13">
        <f>DATE(YEAR(RawSalesTable[[#This Row],[Order_Date]]),MONTH(RawSalesTable[[#This Row],[Order_Date]]),1)</f>
        <v>45809</v>
      </c>
      <c r="AK709" s="8" t="str">
        <f>VLOOKUP(RawSalesTable[[#This Row],[Customer_ID_clean]],CustomersTable[],4,FALSE)</f>
        <v>Ontario</v>
      </c>
    </row>
    <row r="710" spans="1:37">
      <c r="A710" t="s">
        <v>1159</v>
      </c>
      <c r="B710" s="3">
        <v>46015</v>
      </c>
      <c r="C710" t="s">
        <v>438</v>
      </c>
      <c r="D710" t="s">
        <v>323</v>
      </c>
      <c r="E710" t="s">
        <v>439</v>
      </c>
      <c r="F710" t="s">
        <v>187</v>
      </c>
      <c r="G710" t="s">
        <v>104</v>
      </c>
      <c r="H710" t="s">
        <v>97</v>
      </c>
      <c r="I710">
        <v>2</v>
      </c>
      <c r="J710" s="2">
        <v>339.25</v>
      </c>
      <c r="K710" s="4">
        <v>0.05</v>
      </c>
      <c r="L710" t="s">
        <v>432</v>
      </c>
      <c r="M710">
        <v>0</v>
      </c>
      <c r="N710" t="s">
        <v>91</v>
      </c>
      <c r="O710" t="str">
        <f>SUBSTITUTE(PROPER(TRIM(RawSalesTable[[#This Row],[Channel_Raw]])), "Market Place", "Marketplace")</f>
        <v>Retail Store</v>
      </c>
      <c r="P710" t="str">
        <f>TRIM(RawSalesTable[[#This Row],[Store_Raw]])</f>
        <v>Vancouver West</v>
      </c>
      <c r="Q710" t="str">
        <f>IF(TRIM(RawSalesTable[[#This Row],[Payment_Method_Raw]])="","Non renseigné",SUBSTITUTE(TRIM(RawSalesTable[[#This Row],[Payment_Method_Raw]]),"CC","Credit Card"))</f>
        <v>PAYPAL</v>
      </c>
      <c r="R710" s="8" t="str">
        <f>UPPER(PROPER(RawSalesTable[[#This Row],[Customer_ID]]))</f>
        <v>C0028</v>
      </c>
      <c r="S710" s="8" t="str">
        <f>TRIM(LEFT(RawSalesTable[[#This Row],[Customer_Info]],FIND(",",RawSalesTable[[#This Row],[Customer_Info]]) -1))</f>
        <v>Mia Clark</v>
      </c>
      <c r="T710" s="8" t="str">
        <f>TRIM(MID(RawSalesTable[[#This Row],[Customer_Info]],FIND(",",RawSalesTable[[#This Row],[Customer_Info]])+1,FIND(",",RawSalesTable[[#This Row],[Customer_Info]],FIND(",",RawSalesTable[[#This Row],[Customer_Info]])+1)-FIND(",",RawSalesTable[[#This Row],[Customer_Info]])-1))</f>
        <v>Victoria</v>
      </c>
      <c r="U710" s="8" t="str">
        <f>TRIM(RIGHT(RawSalesTable[[#This Row],[Customer_Info]], LEN(RawSalesTable[[#This Row],[Customer_Info]])-FIND(",",RawSalesTable[[#This Row],[Customer_Info]],FIND(",",RawSalesTable[[#This Row],[Customer_Info]])+1)))</f>
        <v>Consumer</v>
      </c>
      <c r="V710" s="8" t="str">
        <f>VLOOKUP(RawSalesTable[[#This Row],[Product_ID]],ProductsTable[],2,FALSE)</f>
        <v>Toaster</v>
      </c>
      <c r="W710" s="8" t="str">
        <f>VLOOKUP(RawSalesTable[[#This Row],[Product_ID]],ProductsTable[],3,FALSE)</f>
        <v>Home</v>
      </c>
      <c r="X710" s="8">
        <f>VLOOKUP(RawSalesTable[[#This Row],[Product_ID]],ProductsTable[],5,FALSE)</f>
        <v>152.88</v>
      </c>
      <c r="Y710" s="8">
        <f>RawSalesTable[[#This Row],[Quantity]]*RawSalesTable[[#This Row],[Unit_Price]]</f>
        <v>678.5</v>
      </c>
      <c r="Z710" s="8">
        <f>RawSalesTable[[#This Row],[Gross_Sales]]*RawSalesTable[[#This Row],[Discount_Pct]]</f>
        <v>33.925000000000004</v>
      </c>
      <c r="AA710" s="8">
        <f>RawSalesTable[[#This Row],[Gross_Sales]]-RawSalesTable[[#This Row],[Discount_Amount]]</f>
        <v>644.57500000000005</v>
      </c>
      <c r="AB710" s="8">
        <f>RawSalesTable[[#This Row],[Unit_Cost]]*RawSalesTable[[#This Row],[Quantity]]</f>
        <v>305.76</v>
      </c>
      <c r="AC710" s="8">
        <f>RawSalesTable[[#This Row],[Net_Sales]]-RawSalesTable[[#This Row],[Total_Cost]]</f>
        <v>338.81500000000005</v>
      </c>
      <c r="AD710" s="9">
        <f>RawSalesTable[[#This Row],[Profit]]/RawSalesTable[[#This Row],[Net_Sales]]</f>
        <v>0.52564092619167668</v>
      </c>
      <c r="AE710" s="8">
        <f>IF(RawSalesTable[[#This Row],[Return_Status]]="Yes",1,0)</f>
        <v>0</v>
      </c>
      <c r="AF710" s="8">
        <f>YEAR(RawSalesTable[[#This Row],[Order_Date]])</f>
        <v>2025</v>
      </c>
      <c r="AG710" s="8">
        <f>MONTH(RawSalesTable[[#This Row],[Order_Date]])</f>
        <v>12</v>
      </c>
      <c r="AH710" s="8" t="str">
        <f>TEXT(RawSalesTable[[#This Row],[Order_Date]],"mmmm")</f>
        <v>décembre</v>
      </c>
      <c r="AI710" s="8" t="str">
        <f>IF(RawSalesTable[[#This Row],[Month_Number]]&lt;=3,"Q1",IF(RawSalesTable[[#This Row],[Month_Number]]&lt;=6,"Q2",IF(RawSalesTable[[#This Row],[Month_Number]]&lt;=9,"Q3","Q4")))</f>
        <v>Q4</v>
      </c>
      <c r="AJ710" s="13">
        <f>DATE(YEAR(RawSalesTable[[#This Row],[Order_Date]]),MONTH(RawSalesTable[[#This Row],[Order_Date]]),1)</f>
        <v>45992</v>
      </c>
      <c r="AK710" s="8" t="str">
        <f>VLOOKUP(RawSalesTable[[#This Row],[Customer_ID_clean]],CustomersTable[],4,FALSE)</f>
        <v>British Columbia</v>
      </c>
    </row>
    <row r="711" spans="1:37">
      <c r="A711" t="s">
        <v>1160</v>
      </c>
      <c r="B711" s="3">
        <v>45720</v>
      </c>
      <c r="C711" t="s">
        <v>326</v>
      </c>
      <c r="D711" t="s">
        <v>152</v>
      </c>
      <c r="E711" t="s">
        <v>327</v>
      </c>
      <c r="F711" t="s">
        <v>103</v>
      </c>
      <c r="G711" t="s">
        <v>130</v>
      </c>
      <c r="H711" t="s">
        <v>97</v>
      </c>
      <c r="I711">
        <v>1</v>
      </c>
      <c r="J711" s="2">
        <v>128.07</v>
      </c>
      <c r="K711" s="4">
        <v>0.1</v>
      </c>
      <c r="L711" t="s">
        <v>106</v>
      </c>
      <c r="M711">
        <v>0</v>
      </c>
      <c r="N711" t="s">
        <v>91</v>
      </c>
      <c r="O711" t="str">
        <f>SUBSTITUTE(PROPER(TRIM(RawSalesTable[[#This Row],[Channel_Raw]])), "Market Place", "Marketplace")</f>
        <v>Retail Store</v>
      </c>
      <c r="P711" t="str">
        <f>TRIM(RawSalesTable[[#This Row],[Store_Raw]])</f>
        <v>Vancouver West</v>
      </c>
      <c r="Q711" t="str">
        <f>IF(TRIM(RawSalesTable[[#This Row],[Payment_Method_Raw]])="","Non renseigné",SUBSTITUTE(TRIM(RawSalesTable[[#This Row],[Payment_Method_Raw]]),"CC","Credit Card"))</f>
        <v>Credit Card</v>
      </c>
      <c r="R711" s="8" t="str">
        <f>UPPER(PROPER(RawSalesTable[[#This Row],[Customer_ID]]))</f>
        <v>C0092</v>
      </c>
      <c r="S711" s="8" t="str">
        <f>TRIM(LEFT(RawSalesTable[[#This Row],[Customer_Info]],FIND(",",RawSalesTable[[#This Row],[Customer_Info]]) -1))</f>
        <v>Lucas Tremblay</v>
      </c>
      <c r="T711" s="8" t="str">
        <f>TRIM(MID(RawSalesTable[[#This Row],[Customer_Info]],FIND(",",RawSalesTable[[#This Row],[Customer_Info]])+1,FIND(",",RawSalesTable[[#This Row],[Customer_Info]],FIND(",",RawSalesTable[[#This Row],[Customer_Info]])+1)-FIND(",",RawSalesTable[[#This Row],[Customer_Info]])-1))</f>
        <v>Saskatoon</v>
      </c>
      <c r="U711" s="8" t="str">
        <f>TRIM(RIGHT(RawSalesTable[[#This Row],[Customer_Info]], LEN(RawSalesTable[[#This Row],[Customer_Info]])-FIND(",",RawSalesTable[[#This Row],[Customer_Info]],FIND(",",RawSalesTable[[#This Row],[Customer_Info]])+1)))</f>
        <v>Consumer</v>
      </c>
      <c r="V711" s="8" t="str">
        <f>VLOOKUP(RawSalesTable[[#This Row],[Product_ID]],ProductsTable[],2,FALSE)</f>
        <v>Smart Speaker</v>
      </c>
      <c r="W711" s="8" t="str">
        <f>VLOOKUP(RawSalesTable[[#This Row],[Product_ID]],ProductsTable[],3,FALSE)</f>
        <v>Electronics</v>
      </c>
      <c r="X711" s="8">
        <f>VLOOKUP(RawSalesTable[[#This Row],[Product_ID]],ProductsTable[],5,FALSE)</f>
        <v>69</v>
      </c>
      <c r="Y711" s="8">
        <f>RawSalesTable[[#This Row],[Quantity]]*RawSalesTable[[#This Row],[Unit_Price]]</f>
        <v>128.07</v>
      </c>
      <c r="Z711" s="8">
        <f>RawSalesTable[[#This Row],[Gross_Sales]]*RawSalesTable[[#This Row],[Discount_Pct]]</f>
        <v>12.807</v>
      </c>
      <c r="AA711" s="8">
        <f>RawSalesTable[[#This Row],[Gross_Sales]]-RawSalesTable[[#This Row],[Discount_Amount]]</f>
        <v>115.26299999999999</v>
      </c>
      <c r="AB711" s="8">
        <f>RawSalesTable[[#This Row],[Unit_Cost]]*RawSalesTable[[#This Row],[Quantity]]</f>
        <v>69</v>
      </c>
      <c r="AC711" s="8">
        <f>RawSalesTable[[#This Row],[Net_Sales]]-RawSalesTable[[#This Row],[Total_Cost]]</f>
        <v>46.262999999999991</v>
      </c>
      <c r="AD711" s="9">
        <f>RawSalesTable[[#This Row],[Profit]]/RawSalesTable[[#This Row],[Net_Sales]]</f>
        <v>0.40136904297129167</v>
      </c>
      <c r="AE711" s="8">
        <f>IF(RawSalesTable[[#This Row],[Return_Status]]="Yes",1,0)</f>
        <v>0</v>
      </c>
      <c r="AF711" s="8">
        <f>YEAR(RawSalesTable[[#This Row],[Order_Date]])</f>
        <v>2025</v>
      </c>
      <c r="AG711" s="8">
        <f>MONTH(RawSalesTable[[#This Row],[Order_Date]])</f>
        <v>3</v>
      </c>
      <c r="AH711" s="8" t="str">
        <f>TEXT(RawSalesTable[[#This Row],[Order_Date]],"mmmm")</f>
        <v>mars</v>
      </c>
      <c r="AI711" s="8" t="str">
        <f>IF(RawSalesTable[[#This Row],[Month_Number]]&lt;=3,"Q1",IF(RawSalesTable[[#This Row],[Month_Number]]&lt;=6,"Q2",IF(RawSalesTable[[#This Row],[Month_Number]]&lt;=9,"Q3","Q4")))</f>
        <v>Q1</v>
      </c>
      <c r="AJ711" s="13">
        <f>DATE(YEAR(RawSalesTable[[#This Row],[Order_Date]]),MONTH(RawSalesTable[[#This Row],[Order_Date]]),1)</f>
        <v>45717</v>
      </c>
      <c r="AK711" s="8" t="str">
        <f>VLOOKUP(RawSalesTable[[#This Row],[Customer_ID_clean]],CustomersTable[],4,FALSE)</f>
        <v>Saskatchewan</v>
      </c>
    </row>
    <row r="712" spans="1:37">
      <c r="A712" t="s">
        <v>1161</v>
      </c>
      <c r="B712" s="3">
        <v>45720</v>
      </c>
      <c r="C712" t="s">
        <v>516</v>
      </c>
      <c r="D712" t="s">
        <v>101</v>
      </c>
      <c r="E712" t="s">
        <v>1162</v>
      </c>
      <c r="F712" t="s">
        <v>103</v>
      </c>
      <c r="G712" t="s">
        <v>183</v>
      </c>
      <c r="H712" t="s">
        <v>89</v>
      </c>
      <c r="I712">
        <v>3</v>
      </c>
      <c r="J712" s="2">
        <v>301.69</v>
      </c>
      <c r="K712" s="4">
        <v>0.05</v>
      </c>
      <c r="L712" t="s">
        <v>106</v>
      </c>
      <c r="M712">
        <v>7</v>
      </c>
      <c r="N712" t="s">
        <v>91</v>
      </c>
      <c r="O712" t="str">
        <f>SUBSTITUTE(PROPER(TRIM(RawSalesTable[[#This Row],[Channel_Raw]])), "Market Place", "Marketplace")</f>
        <v>Online</v>
      </c>
      <c r="P712" t="str">
        <f>TRIM(RawSalesTable[[#This Row],[Store_Raw]])</f>
        <v>Vancouver West</v>
      </c>
      <c r="Q712" t="str">
        <f>IF(TRIM(RawSalesTable[[#This Row],[Payment_Method_Raw]])="","Non renseigné",SUBSTITUTE(TRIM(RawSalesTable[[#This Row],[Payment_Method_Raw]]),"CC","Credit Card"))</f>
        <v>Credit Card</v>
      </c>
      <c r="R712" s="8" t="str">
        <f>UPPER(PROPER(RawSalesTable[[#This Row],[Customer_ID]]))</f>
        <v>C0120</v>
      </c>
      <c r="S712" s="8" t="str">
        <f>TRIM(LEFT(RawSalesTable[[#This Row],[Customer_Info]],FIND(",",RawSalesTable[[#This Row],[Customer_Info]]) -1))</f>
        <v>Ethan King</v>
      </c>
      <c r="T712" s="8" t="str">
        <f>TRIM(MID(RawSalesTable[[#This Row],[Customer_Info]],FIND(",",RawSalesTable[[#This Row],[Customer_Info]])+1,FIND(",",RawSalesTable[[#This Row],[Customer_Info]],FIND(",",RawSalesTable[[#This Row],[Customer_Info]])+1)-FIND(",",RawSalesTable[[#This Row],[Customer_Info]])-1))</f>
        <v>Mississauga</v>
      </c>
      <c r="U712" s="8" t="str">
        <f>TRIM(RIGHT(RawSalesTable[[#This Row],[Customer_Info]], LEN(RawSalesTable[[#This Row],[Customer_Info]])-FIND(",",RawSalesTable[[#This Row],[Customer_Info]],FIND(",",RawSalesTable[[#This Row],[Customer_Info]])+1)))</f>
        <v>Small Business</v>
      </c>
      <c r="V712" s="8" t="str">
        <f>VLOOKUP(RawSalesTable[[#This Row],[Product_ID]],ProductsTable[],2,FALSE)</f>
        <v>Kettle</v>
      </c>
      <c r="W712" s="8" t="str">
        <f>VLOOKUP(RawSalesTable[[#This Row],[Product_ID]],ProductsTable[],3,FALSE)</f>
        <v>Home</v>
      </c>
      <c r="X712" s="8">
        <f>VLOOKUP(RawSalesTable[[#This Row],[Product_ID]],ProductsTable[],5,FALSE)</f>
        <v>139.86000000000001</v>
      </c>
      <c r="Y712" s="8">
        <f>RawSalesTable[[#This Row],[Quantity]]*RawSalesTable[[#This Row],[Unit_Price]]</f>
        <v>905.06999999999994</v>
      </c>
      <c r="Z712" s="8">
        <f>RawSalesTable[[#This Row],[Gross_Sales]]*RawSalesTable[[#This Row],[Discount_Pct]]</f>
        <v>45.253500000000003</v>
      </c>
      <c r="AA712" s="8">
        <f>RawSalesTable[[#This Row],[Gross_Sales]]-RawSalesTable[[#This Row],[Discount_Amount]]</f>
        <v>859.81649999999991</v>
      </c>
      <c r="AB712" s="8">
        <f>RawSalesTable[[#This Row],[Unit_Cost]]*RawSalesTable[[#This Row],[Quantity]]</f>
        <v>419.58000000000004</v>
      </c>
      <c r="AC712" s="8">
        <f>RawSalesTable[[#This Row],[Net_Sales]]-RawSalesTable[[#This Row],[Total_Cost]]</f>
        <v>440.23649999999986</v>
      </c>
      <c r="AD712" s="9">
        <f>RawSalesTable[[#This Row],[Profit]]/RawSalesTable[[#This Row],[Net_Sales]]</f>
        <v>0.51201215608214068</v>
      </c>
      <c r="AE712" s="8">
        <f>IF(RawSalesTable[[#This Row],[Return_Status]]="Yes",1,0)</f>
        <v>0</v>
      </c>
      <c r="AF712" s="8">
        <f>YEAR(RawSalesTable[[#This Row],[Order_Date]])</f>
        <v>2025</v>
      </c>
      <c r="AG712" s="8">
        <f>MONTH(RawSalesTable[[#This Row],[Order_Date]])</f>
        <v>3</v>
      </c>
      <c r="AH712" s="8" t="str">
        <f>TEXT(RawSalesTable[[#This Row],[Order_Date]],"mmmm")</f>
        <v>mars</v>
      </c>
      <c r="AI712" s="8" t="str">
        <f>IF(RawSalesTable[[#This Row],[Month_Number]]&lt;=3,"Q1",IF(RawSalesTable[[#This Row],[Month_Number]]&lt;=6,"Q2",IF(RawSalesTable[[#This Row],[Month_Number]]&lt;=9,"Q3","Q4")))</f>
        <v>Q1</v>
      </c>
      <c r="AJ712" s="13">
        <f>DATE(YEAR(RawSalesTable[[#This Row],[Order_Date]]),MONTH(RawSalesTable[[#This Row],[Order_Date]]),1)</f>
        <v>45717</v>
      </c>
      <c r="AK712" s="8" t="str">
        <f>VLOOKUP(RawSalesTable[[#This Row],[Customer_ID_clean]],CustomersTable[],4,FALSE)</f>
        <v>Ontario</v>
      </c>
    </row>
    <row r="713" spans="1:37">
      <c r="A713" t="s">
        <v>1164</v>
      </c>
      <c r="B713" s="3">
        <v>45855</v>
      </c>
      <c r="C713" t="s">
        <v>613</v>
      </c>
      <c r="D713" t="s">
        <v>346</v>
      </c>
      <c r="E713" t="s">
        <v>710</v>
      </c>
      <c r="F713" t="s">
        <v>103</v>
      </c>
      <c r="G713" t="s">
        <v>171</v>
      </c>
      <c r="H713" t="s">
        <v>97</v>
      </c>
      <c r="I713">
        <v>5</v>
      </c>
      <c r="J713" s="2">
        <v>247.33</v>
      </c>
      <c r="K713" s="4">
        <v>0.05</v>
      </c>
      <c r="L713" t="s">
        <v>98</v>
      </c>
      <c r="M713">
        <v>1</v>
      </c>
      <c r="N713" t="s">
        <v>91</v>
      </c>
      <c r="O713" t="str">
        <f>SUBSTITUTE(PROPER(TRIM(RawSalesTable[[#This Row],[Channel_Raw]])), "Market Place", "Marketplace")</f>
        <v>Retail Store</v>
      </c>
      <c r="P713" t="str">
        <f>TRIM(RawSalesTable[[#This Row],[Store_Raw]])</f>
        <v>Vancouver West</v>
      </c>
      <c r="Q713" t="str">
        <f>IF(TRIM(RawSalesTable[[#This Row],[Payment_Method_Raw]])="","Non renseigné",SUBSTITUTE(TRIM(RawSalesTable[[#This Row],[Payment_Method_Raw]]),"CC","Credit Card"))</f>
        <v>Debit Card</v>
      </c>
      <c r="R713" s="8" t="str">
        <f>UPPER(PROPER(RawSalesTable[[#This Row],[Customer_ID]]))</f>
        <v>C0060</v>
      </c>
      <c r="S713" s="8" t="str">
        <f>TRIM(LEFT(RawSalesTable[[#This Row],[Customer_Info]],FIND(",",RawSalesTable[[#This Row],[Customer_Info]]) -1))</f>
        <v>Sarah Wilson</v>
      </c>
      <c r="T713" s="8" t="str">
        <f>TRIM(MID(RawSalesTable[[#This Row],[Customer_Info]],FIND(",",RawSalesTable[[#This Row],[Customer_Info]])+1,FIND(",",RawSalesTable[[#This Row],[Customer_Info]],FIND(",",RawSalesTable[[#This Row],[Customer_Info]])+1)-FIND(",",RawSalesTable[[#This Row],[Customer_Info]])-1))</f>
        <v>Quebec City</v>
      </c>
      <c r="U713" s="8" t="str">
        <f>TRIM(RIGHT(RawSalesTable[[#This Row],[Customer_Info]], LEN(RawSalesTable[[#This Row],[Customer_Info]])-FIND(",",RawSalesTable[[#This Row],[Customer_Info]],FIND(",",RawSalesTable[[#This Row],[Customer_Info]])+1)))</f>
        <v>Corporate</v>
      </c>
      <c r="V713" s="8" t="str">
        <f>VLOOKUP(RawSalesTable[[#This Row],[Product_ID]],ProductsTable[],2,FALSE)</f>
        <v>Pull-up Bar</v>
      </c>
      <c r="W713" s="8" t="str">
        <f>VLOOKUP(RawSalesTable[[#This Row],[Product_ID]],ProductsTable[],3,FALSE)</f>
        <v>Fitness</v>
      </c>
      <c r="X713" s="8">
        <f>VLOOKUP(RawSalesTable[[#This Row],[Product_ID]],ProductsTable[],5,FALSE)</f>
        <v>125.4</v>
      </c>
      <c r="Y713" s="8">
        <f>RawSalesTable[[#This Row],[Quantity]]*RawSalesTable[[#This Row],[Unit_Price]]</f>
        <v>1236.6500000000001</v>
      </c>
      <c r="Z713" s="8">
        <f>RawSalesTable[[#This Row],[Gross_Sales]]*RawSalesTable[[#This Row],[Discount_Pct]]</f>
        <v>61.83250000000001</v>
      </c>
      <c r="AA713" s="8">
        <f>RawSalesTable[[#This Row],[Gross_Sales]]-RawSalesTable[[#This Row],[Discount_Amount]]</f>
        <v>1174.8175000000001</v>
      </c>
      <c r="AB713" s="8">
        <f>RawSalesTable[[#This Row],[Unit_Cost]]*RawSalesTable[[#This Row],[Quantity]]</f>
        <v>627</v>
      </c>
      <c r="AC713" s="8">
        <f>RawSalesTable[[#This Row],[Net_Sales]]-RawSalesTable[[#This Row],[Total_Cost]]</f>
        <v>547.81750000000011</v>
      </c>
      <c r="AD713" s="9">
        <f>RawSalesTable[[#This Row],[Profit]]/RawSalesTable[[#This Row],[Net_Sales]]</f>
        <v>0.46630008490680475</v>
      </c>
      <c r="AE713" s="8">
        <f>IF(RawSalesTable[[#This Row],[Return_Status]]="Yes",1,0)</f>
        <v>0</v>
      </c>
      <c r="AF713" s="8">
        <f>YEAR(RawSalesTable[[#This Row],[Order_Date]])</f>
        <v>2025</v>
      </c>
      <c r="AG713" s="8">
        <f>MONTH(RawSalesTable[[#This Row],[Order_Date]])</f>
        <v>7</v>
      </c>
      <c r="AH713" s="8" t="str">
        <f>TEXT(RawSalesTable[[#This Row],[Order_Date]],"mmmm")</f>
        <v>juillet</v>
      </c>
      <c r="AI713" s="8" t="str">
        <f>IF(RawSalesTable[[#This Row],[Month_Number]]&lt;=3,"Q1",IF(RawSalesTable[[#This Row],[Month_Number]]&lt;=6,"Q2",IF(RawSalesTable[[#This Row],[Month_Number]]&lt;=9,"Q3","Q4")))</f>
        <v>Q3</v>
      </c>
      <c r="AJ713" s="13">
        <f>DATE(YEAR(RawSalesTable[[#This Row],[Order_Date]]),MONTH(RawSalesTable[[#This Row],[Order_Date]]),1)</f>
        <v>45839</v>
      </c>
      <c r="AK713" s="8" t="str">
        <f>VLOOKUP(RawSalesTable[[#This Row],[Customer_ID_clean]],CustomersTable[],4,FALSE)</f>
        <v>Quebec</v>
      </c>
    </row>
    <row r="714" spans="1:37">
      <c r="A714" t="s">
        <v>1165</v>
      </c>
      <c r="B714" s="3">
        <v>45757</v>
      </c>
      <c r="C714" t="s">
        <v>273</v>
      </c>
      <c r="D714" t="s">
        <v>143</v>
      </c>
      <c r="E714" t="s">
        <v>274</v>
      </c>
      <c r="F714" t="s">
        <v>145</v>
      </c>
      <c r="G714" t="s">
        <v>88</v>
      </c>
      <c r="H714" t="s">
        <v>233</v>
      </c>
      <c r="I714">
        <v>1</v>
      </c>
      <c r="J714" s="2">
        <v>255.13</v>
      </c>
      <c r="K714" s="4">
        <v>0.2</v>
      </c>
      <c r="L714" t="s">
        <v>106</v>
      </c>
      <c r="M714">
        <v>3</v>
      </c>
      <c r="N714" t="s">
        <v>91</v>
      </c>
      <c r="O714" t="str">
        <f>SUBSTITUTE(PROPER(TRIM(RawSalesTable[[#This Row],[Channel_Raw]])), "Market Place", "Marketplace")</f>
        <v>Retail Store</v>
      </c>
      <c r="P714" t="str">
        <f>TRIM(RawSalesTable[[#This Row],[Store_Raw]])</f>
        <v>Calgary North</v>
      </c>
      <c r="Q714" t="str">
        <f>IF(TRIM(RawSalesTable[[#This Row],[Payment_Method_Raw]])="","Non renseigné",SUBSTITUTE(TRIM(RawSalesTable[[#This Row],[Payment_Method_Raw]]),"CC","Credit Card"))</f>
        <v>Credit Card</v>
      </c>
      <c r="R714" s="8" t="str">
        <f>UPPER(PROPER(RawSalesTable[[#This Row],[Customer_ID]]))</f>
        <v>C0066</v>
      </c>
      <c r="S714" s="8" t="str">
        <f>TRIM(LEFT(RawSalesTable[[#This Row],[Customer_Info]],FIND(",",RawSalesTable[[#This Row],[Customer_Info]]) -1))</f>
        <v>Noah Clark</v>
      </c>
      <c r="T714" s="8" t="str">
        <f>TRIM(MID(RawSalesTable[[#This Row],[Customer_Info]],FIND(",",RawSalesTable[[#This Row],[Customer_Info]])+1,FIND(",",RawSalesTable[[#This Row],[Customer_Info]],FIND(",",RawSalesTable[[#This Row],[Customer_Info]])+1)-FIND(",",RawSalesTable[[#This Row],[Customer_Info]])-1))</f>
        <v>Laval</v>
      </c>
      <c r="U714" s="8" t="str">
        <f>TRIM(RIGHT(RawSalesTable[[#This Row],[Customer_Info]], LEN(RawSalesTable[[#This Row],[Customer_Info]])-FIND(",",RawSalesTable[[#This Row],[Customer_Info]],FIND(",",RawSalesTable[[#This Row],[Customer_Info]])+1)))</f>
        <v>Consumer</v>
      </c>
      <c r="V714" s="8" t="str">
        <f>VLOOKUP(RawSalesTable[[#This Row],[Product_ID]],ProductsTable[],2,FALSE)</f>
        <v>Water Bottle</v>
      </c>
      <c r="W714" s="8" t="str">
        <f>VLOOKUP(RawSalesTable[[#This Row],[Product_ID]],ProductsTable[],3,FALSE)</f>
        <v>Accessories</v>
      </c>
      <c r="X714" s="8">
        <f>VLOOKUP(RawSalesTable[[#This Row],[Product_ID]],ProductsTable[],5,FALSE)</f>
        <v>119.16</v>
      </c>
      <c r="Y714" s="8">
        <f>RawSalesTable[[#This Row],[Quantity]]*RawSalesTable[[#This Row],[Unit_Price]]</f>
        <v>255.13</v>
      </c>
      <c r="Z714" s="8">
        <f>RawSalesTable[[#This Row],[Gross_Sales]]*RawSalesTable[[#This Row],[Discount_Pct]]</f>
        <v>51.026000000000003</v>
      </c>
      <c r="AA714" s="8">
        <f>RawSalesTable[[#This Row],[Gross_Sales]]-RawSalesTable[[#This Row],[Discount_Amount]]</f>
        <v>204.10399999999998</v>
      </c>
      <c r="AB714" s="8">
        <f>RawSalesTable[[#This Row],[Unit_Cost]]*RawSalesTable[[#This Row],[Quantity]]</f>
        <v>119.16</v>
      </c>
      <c r="AC714" s="8">
        <f>RawSalesTable[[#This Row],[Net_Sales]]-RawSalesTable[[#This Row],[Total_Cost]]</f>
        <v>84.943999999999988</v>
      </c>
      <c r="AD714" s="9">
        <f>RawSalesTable[[#This Row],[Profit]]/RawSalesTable[[#This Row],[Net_Sales]]</f>
        <v>0.41617998667346057</v>
      </c>
      <c r="AE714" s="8">
        <f>IF(RawSalesTable[[#This Row],[Return_Status]]="Yes",1,0)</f>
        <v>0</v>
      </c>
      <c r="AF714" s="8">
        <f>YEAR(RawSalesTable[[#This Row],[Order_Date]])</f>
        <v>2025</v>
      </c>
      <c r="AG714" s="8">
        <f>MONTH(RawSalesTable[[#This Row],[Order_Date]])</f>
        <v>4</v>
      </c>
      <c r="AH714" s="8" t="str">
        <f>TEXT(RawSalesTable[[#This Row],[Order_Date]],"mmmm")</f>
        <v>avril</v>
      </c>
      <c r="AI714" s="8" t="str">
        <f>IF(RawSalesTable[[#This Row],[Month_Number]]&lt;=3,"Q1",IF(RawSalesTable[[#This Row],[Month_Number]]&lt;=6,"Q2",IF(RawSalesTable[[#This Row],[Month_Number]]&lt;=9,"Q3","Q4")))</f>
        <v>Q2</v>
      </c>
      <c r="AJ714" s="13">
        <f>DATE(YEAR(RawSalesTable[[#This Row],[Order_Date]]),MONTH(RawSalesTable[[#This Row],[Order_Date]]),1)</f>
        <v>45748</v>
      </c>
      <c r="AK714" s="8" t="str">
        <f>VLOOKUP(RawSalesTable[[#This Row],[Customer_ID_clean]],CustomersTable[],4,FALSE)</f>
        <v>Quebec</v>
      </c>
    </row>
    <row r="715" spans="1:37">
      <c r="A715" t="s">
        <v>1166</v>
      </c>
      <c r="B715" s="3">
        <v>45879</v>
      </c>
      <c r="C715" t="s">
        <v>613</v>
      </c>
      <c r="D715" t="s">
        <v>101</v>
      </c>
      <c r="E715" t="s">
        <v>710</v>
      </c>
      <c r="F715" t="s">
        <v>103</v>
      </c>
      <c r="G715" t="s">
        <v>130</v>
      </c>
      <c r="H715" t="s">
        <v>105</v>
      </c>
      <c r="I715">
        <v>1</v>
      </c>
      <c r="J715" s="2">
        <v>291.2</v>
      </c>
      <c r="K715" s="4">
        <v>0.05</v>
      </c>
      <c r="L715" t="s">
        <v>106</v>
      </c>
      <c r="M715">
        <v>1</v>
      </c>
      <c r="N715" t="s">
        <v>91</v>
      </c>
      <c r="O715" t="str">
        <f>SUBSTITUTE(PROPER(TRIM(RawSalesTable[[#This Row],[Channel_Raw]])), "Market Place", "Marketplace")</f>
        <v>Marketplace</v>
      </c>
      <c r="P715" t="str">
        <f>TRIM(RawSalesTable[[#This Row],[Store_Raw]])</f>
        <v>Vancouver West</v>
      </c>
      <c r="Q715" t="str">
        <f>IF(TRIM(RawSalesTable[[#This Row],[Payment_Method_Raw]])="","Non renseigné",SUBSTITUTE(TRIM(RawSalesTable[[#This Row],[Payment_Method_Raw]]),"CC","Credit Card"))</f>
        <v>Credit Card</v>
      </c>
      <c r="R715" s="8" t="str">
        <f>UPPER(PROPER(RawSalesTable[[#This Row],[Customer_ID]]))</f>
        <v>C0060</v>
      </c>
      <c r="S715" s="8" t="str">
        <f>TRIM(LEFT(RawSalesTable[[#This Row],[Customer_Info]],FIND(",",RawSalesTable[[#This Row],[Customer_Info]]) -1))</f>
        <v>Sarah Wilson</v>
      </c>
      <c r="T715" s="8" t="str">
        <f>TRIM(MID(RawSalesTable[[#This Row],[Customer_Info]],FIND(",",RawSalesTable[[#This Row],[Customer_Info]])+1,FIND(",",RawSalesTable[[#This Row],[Customer_Info]],FIND(",",RawSalesTable[[#This Row],[Customer_Info]])+1)-FIND(",",RawSalesTable[[#This Row],[Customer_Info]])-1))</f>
        <v>Quebec City</v>
      </c>
      <c r="U715" s="8" t="str">
        <f>TRIM(RIGHT(RawSalesTable[[#This Row],[Customer_Info]], LEN(RawSalesTable[[#This Row],[Customer_Info]])-FIND(",",RawSalesTable[[#This Row],[Customer_Info]],FIND(",",RawSalesTable[[#This Row],[Customer_Info]])+1)))</f>
        <v>Corporate</v>
      </c>
      <c r="V715" s="8" t="str">
        <f>VLOOKUP(RawSalesTable[[#This Row],[Product_ID]],ProductsTable[],2,FALSE)</f>
        <v>Kettle</v>
      </c>
      <c r="W715" s="8" t="str">
        <f>VLOOKUP(RawSalesTable[[#This Row],[Product_ID]],ProductsTable[],3,FALSE)</f>
        <v>Home</v>
      </c>
      <c r="X715" s="8">
        <f>VLOOKUP(RawSalesTable[[#This Row],[Product_ID]],ProductsTable[],5,FALSE)</f>
        <v>139.86000000000001</v>
      </c>
      <c r="Y715" s="8">
        <f>RawSalesTable[[#This Row],[Quantity]]*RawSalesTable[[#This Row],[Unit_Price]]</f>
        <v>291.2</v>
      </c>
      <c r="Z715" s="8">
        <f>RawSalesTable[[#This Row],[Gross_Sales]]*RawSalesTable[[#This Row],[Discount_Pct]]</f>
        <v>14.56</v>
      </c>
      <c r="AA715" s="8">
        <f>RawSalesTable[[#This Row],[Gross_Sales]]-RawSalesTable[[#This Row],[Discount_Amount]]</f>
        <v>276.64</v>
      </c>
      <c r="AB715" s="8">
        <f>RawSalesTable[[#This Row],[Unit_Cost]]*RawSalesTable[[#This Row],[Quantity]]</f>
        <v>139.86000000000001</v>
      </c>
      <c r="AC715" s="8">
        <f>RawSalesTable[[#This Row],[Net_Sales]]-RawSalesTable[[#This Row],[Total_Cost]]</f>
        <v>136.77999999999997</v>
      </c>
      <c r="AD715" s="9">
        <f>RawSalesTable[[#This Row],[Profit]]/RawSalesTable[[#This Row],[Net_Sales]]</f>
        <v>0.49443319838056671</v>
      </c>
      <c r="AE715" s="8">
        <f>IF(RawSalesTable[[#This Row],[Return_Status]]="Yes",1,0)</f>
        <v>0</v>
      </c>
      <c r="AF715" s="8">
        <f>YEAR(RawSalesTable[[#This Row],[Order_Date]])</f>
        <v>2025</v>
      </c>
      <c r="AG715" s="8">
        <f>MONTH(RawSalesTable[[#This Row],[Order_Date]])</f>
        <v>8</v>
      </c>
      <c r="AH715" s="8" t="str">
        <f>TEXT(RawSalesTable[[#This Row],[Order_Date]],"mmmm")</f>
        <v>août</v>
      </c>
      <c r="AI715" s="8" t="str">
        <f>IF(RawSalesTable[[#This Row],[Month_Number]]&lt;=3,"Q1",IF(RawSalesTable[[#This Row],[Month_Number]]&lt;=6,"Q2",IF(RawSalesTable[[#This Row],[Month_Number]]&lt;=9,"Q3","Q4")))</f>
        <v>Q3</v>
      </c>
      <c r="AJ715" s="13">
        <f>DATE(YEAR(RawSalesTable[[#This Row],[Order_Date]]),MONTH(RawSalesTable[[#This Row],[Order_Date]]),1)</f>
        <v>45870</v>
      </c>
      <c r="AK715" s="8" t="str">
        <f>VLOOKUP(RawSalesTable[[#This Row],[Customer_ID_clean]],CustomersTable[],4,FALSE)</f>
        <v>Quebec</v>
      </c>
    </row>
    <row r="716" spans="1:37">
      <c r="A716" t="s">
        <v>1167</v>
      </c>
      <c r="B716" s="3">
        <v>45855</v>
      </c>
      <c r="C716" t="s">
        <v>206</v>
      </c>
      <c r="D716" t="s">
        <v>252</v>
      </c>
      <c r="E716" t="s">
        <v>207</v>
      </c>
      <c r="F716" t="s">
        <v>145</v>
      </c>
      <c r="G716" t="s">
        <v>183</v>
      </c>
      <c r="H716" t="s">
        <v>97</v>
      </c>
      <c r="I716">
        <v>2</v>
      </c>
      <c r="J716" s="2">
        <v>282.41000000000003</v>
      </c>
      <c r="K716" s="4">
        <v>0.25</v>
      </c>
      <c r="L716" t="s">
        <v>106</v>
      </c>
      <c r="M716">
        <v>4</v>
      </c>
      <c r="N716" t="s">
        <v>91</v>
      </c>
      <c r="O716" t="str">
        <f>SUBSTITUTE(PROPER(TRIM(RawSalesTable[[#This Row],[Channel_Raw]])), "Market Place", "Marketplace")</f>
        <v>Retail Store</v>
      </c>
      <c r="P716" t="str">
        <f>TRIM(RawSalesTable[[#This Row],[Store_Raw]])</f>
        <v>Calgary North</v>
      </c>
      <c r="Q716" t="str">
        <f>IF(TRIM(RawSalesTable[[#This Row],[Payment_Method_Raw]])="","Non renseigné",SUBSTITUTE(TRIM(RawSalesTable[[#This Row],[Payment_Method_Raw]]),"CC","Credit Card"))</f>
        <v>Credit Card</v>
      </c>
      <c r="R716" s="8" t="str">
        <f>UPPER(PROPER(RawSalesTable[[#This Row],[Customer_ID]]))</f>
        <v>C0061</v>
      </c>
      <c r="S716" s="8" t="str">
        <f>TRIM(LEFT(RawSalesTable[[#This Row],[Customer_Info]],FIND(",",RawSalesTable[[#This Row],[Customer_Info]]) -1))</f>
        <v>Zoe Hall</v>
      </c>
      <c r="T716" s="8" t="str">
        <f>TRIM(MID(RawSalesTable[[#This Row],[Customer_Info]],FIND(",",RawSalesTable[[#This Row],[Customer_Info]])+1,FIND(",",RawSalesTable[[#This Row],[Customer_Info]],FIND(",",RawSalesTable[[#This Row],[Customer_Info]])+1)-FIND(",",RawSalesTable[[#This Row],[Customer_Info]])-1))</f>
        <v>Vancouver</v>
      </c>
      <c r="U716" s="8" t="str">
        <f>TRIM(RIGHT(RawSalesTable[[#This Row],[Customer_Info]], LEN(RawSalesTable[[#This Row],[Customer_Info]])-FIND(",",RawSalesTable[[#This Row],[Customer_Info]],FIND(",",RawSalesTable[[#This Row],[Customer_Info]])+1)))</f>
        <v>Consumer</v>
      </c>
      <c r="V716" s="8" t="str">
        <f>VLOOKUP(RawSalesTable[[#This Row],[Product_ID]],ProductsTable[],2,FALSE)</f>
        <v>Vacuum</v>
      </c>
      <c r="W716" s="8" t="str">
        <f>VLOOKUP(RawSalesTable[[#This Row],[Product_ID]],ProductsTable[],3,FALSE)</f>
        <v>Home</v>
      </c>
      <c r="X716" s="8">
        <f>VLOOKUP(RawSalesTable[[#This Row],[Product_ID]],ProductsTable[],5,FALSE)</f>
        <v>186.94</v>
      </c>
      <c r="Y716" s="8">
        <f>RawSalesTable[[#This Row],[Quantity]]*RawSalesTable[[#This Row],[Unit_Price]]</f>
        <v>564.82000000000005</v>
      </c>
      <c r="Z716" s="8">
        <f>RawSalesTable[[#This Row],[Gross_Sales]]*RawSalesTable[[#This Row],[Discount_Pct]]</f>
        <v>141.20500000000001</v>
      </c>
      <c r="AA716" s="8">
        <f>RawSalesTable[[#This Row],[Gross_Sales]]-RawSalesTable[[#This Row],[Discount_Amount]]</f>
        <v>423.61500000000001</v>
      </c>
      <c r="AB716" s="8">
        <f>RawSalesTable[[#This Row],[Unit_Cost]]*RawSalesTable[[#This Row],[Quantity]]</f>
        <v>373.88</v>
      </c>
      <c r="AC716" s="8">
        <f>RawSalesTable[[#This Row],[Net_Sales]]-RawSalesTable[[#This Row],[Total_Cost]]</f>
        <v>49.735000000000014</v>
      </c>
      <c r="AD716" s="9">
        <f>RawSalesTable[[#This Row],[Profit]]/RawSalesTable[[#This Row],[Net_Sales]]</f>
        <v>0.11740613528793838</v>
      </c>
      <c r="AE716" s="8">
        <f>IF(RawSalesTable[[#This Row],[Return_Status]]="Yes",1,0)</f>
        <v>0</v>
      </c>
      <c r="AF716" s="8">
        <f>YEAR(RawSalesTable[[#This Row],[Order_Date]])</f>
        <v>2025</v>
      </c>
      <c r="AG716" s="8">
        <f>MONTH(RawSalesTable[[#This Row],[Order_Date]])</f>
        <v>7</v>
      </c>
      <c r="AH716" s="8" t="str">
        <f>TEXT(RawSalesTable[[#This Row],[Order_Date]],"mmmm")</f>
        <v>juillet</v>
      </c>
      <c r="AI716" s="8" t="str">
        <f>IF(RawSalesTable[[#This Row],[Month_Number]]&lt;=3,"Q1",IF(RawSalesTable[[#This Row],[Month_Number]]&lt;=6,"Q2",IF(RawSalesTable[[#This Row],[Month_Number]]&lt;=9,"Q3","Q4")))</f>
        <v>Q3</v>
      </c>
      <c r="AJ716" s="13">
        <f>DATE(YEAR(RawSalesTable[[#This Row],[Order_Date]]),MONTH(RawSalesTable[[#This Row],[Order_Date]]),1)</f>
        <v>45839</v>
      </c>
      <c r="AK716" s="8" t="str">
        <f>VLOOKUP(RawSalesTable[[#This Row],[Customer_ID_clean]],CustomersTable[],4,FALSE)</f>
        <v>British Columbia</v>
      </c>
    </row>
    <row r="717" spans="1:37">
      <c r="A717" t="s">
        <v>1168</v>
      </c>
      <c r="B717" s="3">
        <v>45918</v>
      </c>
      <c r="C717" t="s">
        <v>128</v>
      </c>
      <c r="D717" t="s">
        <v>503</v>
      </c>
      <c r="E717" t="s">
        <v>129</v>
      </c>
      <c r="F717" t="s">
        <v>145</v>
      </c>
      <c r="G717" t="s">
        <v>130</v>
      </c>
      <c r="H717" t="s">
        <v>97</v>
      </c>
      <c r="I717">
        <v>4</v>
      </c>
      <c r="J717" s="2">
        <v>123.21</v>
      </c>
      <c r="K717" s="4">
        <v>0</v>
      </c>
      <c r="L717" t="s">
        <v>353</v>
      </c>
      <c r="M717">
        <v>2</v>
      </c>
      <c r="N717" t="s">
        <v>91</v>
      </c>
      <c r="O717" t="str">
        <f>SUBSTITUTE(PROPER(TRIM(RawSalesTable[[#This Row],[Channel_Raw]])), "Market Place", "Marketplace")</f>
        <v>Retail Store</v>
      </c>
      <c r="P717" t="str">
        <f>TRIM(RawSalesTable[[#This Row],[Store_Raw]])</f>
        <v>Calgary North</v>
      </c>
      <c r="Q717" t="str">
        <f>IF(TRIM(RawSalesTable[[#This Row],[Payment_Method_Raw]])="","Non renseigné",SUBSTITUTE(TRIM(RawSalesTable[[#This Row],[Payment_Method_Raw]]),"CC","Credit Card"))</f>
        <v>Credit Card</v>
      </c>
      <c r="R717" s="8" t="str">
        <f>UPPER(PROPER(RawSalesTable[[#This Row],[Customer_ID]]))</f>
        <v>C0015</v>
      </c>
      <c r="S717" s="8" t="str">
        <f>TRIM(LEFT(RawSalesTable[[#This Row],[Customer_Info]],FIND(",",RawSalesTable[[#This Row],[Customer_Info]]) -1))</f>
        <v>Zoe Singh</v>
      </c>
      <c r="T717" s="8" t="str">
        <f>TRIM(MID(RawSalesTable[[#This Row],[Customer_Info]],FIND(",",RawSalesTable[[#This Row],[Customer_Info]])+1,FIND(",",RawSalesTable[[#This Row],[Customer_Info]],FIND(",",RawSalesTable[[#This Row],[Customer_Info]])+1)-FIND(",",RawSalesTable[[#This Row],[Customer_Info]])-1))</f>
        <v>Halifax</v>
      </c>
      <c r="U717" s="8" t="str">
        <f>TRIM(RIGHT(RawSalesTable[[#This Row],[Customer_Info]], LEN(RawSalesTable[[#This Row],[Customer_Info]])-FIND(",",RawSalesTable[[#This Row],[Customer_Info]],FIND(",",RawSalesTable[[#This Row],[Customer_Info]])+1)))</f>
        <v>Consumer</v>
      </c>
      <c r="V717" s="8" t="str">
        <f>VLOOKUP(RawSalesTable[[#This Row],[Product_ID]],ProductsTable[],2,FALSE)</f>
        <v>Whiteboard</v>
      </c>
      <c r="W717" s="8" t="str">
        <f>VLOOKUP(RawSalesTable[[#This Row],[Product_ID]],ProductsTable[],3,FALSE)</f>
        <v>Office</v>
      </c>
      <c r="X717" s="8">
        <f>VLOOKUP(RawSalesTable[[#This Row],[Product_ID]],ProductsTable[],5,FALSE)</f>
        <v>85.73</v>
      </c>
      <c r="Y717" s="8">
        <f>RawSalesTable[[#This Row],[Quantity]]*RawSalesTable[[#This Row],[Unit_Price]]</f>
        <v>492.84</v>
      </c>
      <c r="Z717" s="8">
        <f>RawSalesTable[[#This Row],[Gross_Sales]]*RawSalesTable[[#This Row],[Discount_Pct]]</f>
        <v>0</v>
      </c>
      <c r="AA717" s="8">
        <f>RawSalesTable[[#This Row],[Gross_Sales]]-RawSalesTable[[#This Row],[Discount_Amount]]</f>
        <v>492.84</v>
      </c>
      <c r="AB717" s="8">
        <f>RawSalesTable[[#This Row],[Unit_Cost]]*RawSalesTable[[#This Row],[Quantity]]</f>
        <v>342.92</v>
      </c>
      <c r="AC717" s="8">
        <f>RawSalesTable[[#This Row],[Net_Sales]]-RawSalesTable[[#This Row],[Total_Cost]]</f>
        <v>149.91999999999996</v>
      </c>
      <c r="AD717" s="9">
        <f>RawSalesTable[[#This Row],[Profit]]/RawSalesTable[[#This Row],[Net_Sales]]</f>
        <v>0.30419608797987169</v>
      </c>
      <c r="AE717" s="8">
        <f>IF(RawSalesTable[[#This Row],[Return_Status]]="Yes",1,0)</f>
        <v>0</v>
      </c>
      <c r="AF717" s="8">
        <f>YEAR(RawSalesTable[[#This Row],[Order_Date]])</f>
        <v>2025</v>
      </c>
      <c r="AG717" s="8">
        <f>MONTH(RawSalesTable[[#This Row],[Order_Date]])</f>
        <v>9</v>
      </c>
      <c r="AH717" s="8" t="str">
        <f>TEXT(RawSalesTable[[#This Row],[Order_Date]],"mmmm")</f>
        <v>septembre</v>
      </c>
      <c r="AI717" s="8" t="str">
        <f>IF(RawSalesTable[[#This Row],[Month_Number]]&lt;=3,"Q1",IF(RawSalesTable[[#This Row],[Month_Number]]&lt;=6,"Q2",IF(RawSalesTable[[#This Row],[Month_Number]]&lt;=9,"Q3","Q4")))</f>
        <v>Q3</v>
      </c>
      <c r="AJ717" s="13">
        <f>DATE(YEAR(RawSalesTable[[#This Row],[Order_Date]]),MONTH(RawSalesTable[[#This Row],[Order_Date]]),1)</f>
        <v>45901</v>
      </c>
      <c r="AK717" s="8" t="str">
        <f>VLOOKUP(RawSalesTable[[#This Row],[Customer_ID_clean]],CustomersTable[],4,FALSE)</f>
        <v>Nova Scotia</v>
      </c>
    </row>
    <row r="718" spans="1:37">
      <c r="A718" t="s">
        <v>1169</v>
      </c>
      <c r="B718" s="3">
        <v>45919</v>
      </c>
      <c r="C718" t="s">
        <v>497</v>
      </c>
      <c r="D718" t="s">
        <v>360</v>
      </c>
      <c r="E718" t="s">
        <v>498</v>
      </c>
      <c r="F718" t="s">
        <v>87</v>
      </c>
      <c r="G718" t="s">
        <v>171</v>
      </c>
      <c r="H718" t="s">
        <v>89</v>
      </c>
      <c r="I718">
        <v>3</v>
      </c>
      <c r="J718" s="2">
        <v>69.22</v>
      </c>
      <c r="K718" s="4">
        <v>0.2</v>
      </c>
      <c r="L718" t="s">
        <v>98</v>
      </c>
      <c r="M718">
        <v>7</v>
      </c>
      <c r="N718" t="s">
        <v>147</v>
      </c>
      <c r="O718" t="str">
        <f>SUBSTITUTE(PROPER(TRIM(RawSalesTable[[#This Row],[Channel_Raw]])), "Market Place", "Marketplace")</f>
        <v>Online</v>
      </c>
      <c r="P718" t="str">
        <f>TRIM(RawSalesTable[[#This Row],[Store_Raw]])</f>
        <v>Online Fulfillment</v>
      </c>
      <c r="Q718" t="str">
        <f>IF(TRIM(RawSalesTable[[#This Row],[Payment_Method_Raw]])="","Non renseigné",SUBSTITUTE(TRIM(RawSalesTable[[#This Row],[Payment_Method_Raw]]),"CC","Credit Card"))</f>
        <v>Debit Card</v>
      </c>
      <c r="R718" s="8" t="str">
        <f>UPPER(PROPER(RawSalesTable[[#This Row],[Customer_ID]]))</f>
        <v>C0022</v>
      </c>
      <c r="S718" s="8" t="str">
        <f>TRIM(LEFT(RawSalesTable[[#This Row],[Customer_Info]],FIND(",",RawSalesTable[[#This Row],[Customer_Info]]) -1))</f>
        <v>Adam White</v>
      </c>
      <c r="T718" s="8" t="str">
        <f>TRIM(MID(RawSalesTable[[#This Row],[Customer_Info]],FIND(",",RawSalesTable[[#This Row],[Customer_Info]])+1,FIND(",",RawSalesTable[[#This Row],[Customer_Info]],FIND(",",RawSalesTable[[#This Row],[Customer_Info]])+1)-FIND(",",RawSalesTable[[#This Row],[Customer_Info]])-1))</f>
        <v>Victoria</v>
      </c>
      <c r="U718" s="8" t="str">
        <f>TRIM(RIGHT(RawSalesTable[[#This Row],[Customer_Info]], LEN(RawSalesTable[[#This Row],[Customer_Info]])-FIND(",",RawSalesTable[[#This Row],[Customer_Info]],FIND(",",RawSalesTable[[#This Row],[Customer_Info]])+1)))</f>
        <v>Consumer</v>
      </c>
      <c r="V718" s="8" t="str">
        <f>VLOOKUP(RawSalesTable[[#This Row],[Product_ID]],ProductsTable[],2,FALSE)</f>
        <v>Blender</v>
      </c>
      <c r="W718" s="8" t="str">
        <f>VLOOKUP(RawSalesTable[[#This Row],[Product_ID]],ProductsTable[],3,FALSE)</f>
        <v>Home</v>
      </c>
      <c r="X718" s="8">
        <f>VLOOKUP(RawSalesTable[[#This Row],[Product_ID]],ProductsTable[],5,FALSE)</f>
        <v>37.46</v>
      </c>
      <c r="Y718" s="8">
        <f>RawSalesTable[[#This Row],[Quantity]]*RawSalesTable[[#This Row],[Unit_Price]]</f>
        <v>207.66</v>
      </c>
      <c r="Z718" s="8">
        <f>RawSalesTable[[#This Row],[Gross_Sales]]*RawSalesTable[[#This Row],[Discount_Pct]]</f>
        <v>41.532000000000004</v>
      </c>
      <c r="AA718" s="8">
        <f>RawSalesTable[[#This Row],[Gross_Sales]]-RawSalesTable[[#This Row],[Discount_Amount]]</f>
        <v>166.12799999999999</v>
      </c>
      <c r="AB718" s="8">
        <f>RawSalesTable[[#This Row],[Unit_Cost]]*RawSalesTable[[#This Row],[Quantity]]</f>
        <v>112.38</v>
      </c>
      <c r="AC718" s="8">
        <f>RawSalesTable[[#This Row],[Net_Sales]]-RawSalesTable[[#This Row],[Total_Cost]]</f>
        <v>53.74799999999999</v>
      </c>
      <c r="AD718" s="9">
        <f>RawSalesTable[[#This Row],[Profit]]/RawSalesTable[[#This Row],[Net_Sales]]</f>
        <v>0.32353366079167867</v>
      </c>
      <c r="AE718" s="8">
        <f>IF(RawSalesTable[[#This Row],[Return_Status]]="Yes",1,0)</f>
        <v>1</v>
      </c>
      <c r="AF718" s="8">
        <f>YEAR(RawSalesTable[[#This Row],[Order_Date]])</f>
        <v>2025</v>
      </c>
      <c r="AG718" s="8">
        <f>MONTH(RawSalesTable[[#This Row],[Order_Date]])</f>
        <v>9</v>
      </c>
      <c r="AH718" s="8" t="str">
        <f>TEXT(RawSalesTable[[#This Row],[Order_Date]],"mmmm")</f>
        <v>septembre</v>
      </c>
      <c r="AI718" s="8" t="str">
        <f>IF(RawSalesTable[[#This Row],[Month_Number]]&lt;=3,"Q1",IF(RawSalesTable[[#This Row],[Month_Number]]&lt;=6,"Q2",IF(RawSalesTable[[#This Row],[Month_Number]]&lt;=9,"Q3","Q4")))</f>
        <v>Q3</v>
      </c>
      <c r="AJ718" s="13">
        <f>DATE(YEAR(RawSalesTable[[#This Row],[Order_Date]]),MONTH(RawSalesTable[[#This Row],[Order_Date]]),1)</f>
        <v>45901</v>
      </c>
      <c r="AK718" s="8" t="str">
        <f>VLOOKUP(RawSalesTable[[#This Row],[Customer_ID_clean]],CustomersTable[],4,FALSE)</f>
        <v>British Columbia</v>
      </c>
    </row>
    <row r="719" spans="1:37">
      <c r="A719" t="s">
        <v>1170</v>
      </c>
      <c r="B719" s="3">
        <v>45743</v>
      </c>
      <c r="C719" t="s">
        <v>343</v>
      </c>
      <c r="D719" t="s">
        <v>190</v>
      </c>
      <c r="E719" t="s">
        <v>344</v>
      </c>
      <c r="F719" t="s">
        <v>145</v>
      </c>
      <c r="G719" t="s">
        <v>130</v>
      </c>
      <c r="H719" t="s">
        <v>97</v>
      </c>
      <c r="I719">
        <v>1</v>
      </c>
      <c r="J719" s="2">
        <v>299.10000000000002</v>
      </c>
      <c r="K719" s="4">
        <v>0</v>
      </c>
      <c r="L719" t="s">
        <v>106</v>
      </c>
      <c r="M719">
        <v>3</v>
      </c>
      <c r="N719" t="s">
        <v>91</v>
      </c>
      <c r="O719" t="str">
        <f>SUBSTITUTE(PROPER(TRIM(RawSalesTable[[#This Row],[Channel_Raw]])), "Market Place", "Marketplace")</f>
        <v>Retail Store</v>
      </c>
      <c r="P719" t="str">
        <f>TRIM(RawSalesTable[[#This Row],[Store_Raw]])</f>
        <v>Calgary North</v>
      </c>
      <c r="Q719" t="str">
        <f>IF(TRIM(RawSalesTable[[#This Row],[Payment_Method_Raw]])="","Non renseigné",SUBSTITUTE(TRIM(RawSalesTable[[#This Row],[Payment_Method_Raw]]),"CC","Credit Card"))</f>
        <v>Credit Card</v>
      </c>
      <c r="R719" s="8" t="str">
        <f>UPPER(PROPER(RawSalesTable[[#This Row],[Customer_ID]]))</f>
        <v>C0114</v>
      </c>
      <c r="S719" s="8" t="str">
        <f>TRIM(LEFT(RawSalesTable[[#This Row],[Customer_Info]],FIND(",",RawSalesTable[[#This Row],[Customer_Info]]) -1))</f>
        <v>Olivia Johnson</v>
      </c>
      <c r="T719" s="8" t="str">
        <f>TRIM(MID(RawSalesTable[[#This Row],[Customer_Info]],FIND(",",RawSalesTable[[#This Row],[Customer_Info]])+1,FIND(",",RawSalesTable[[#This Row],[Customer_Info]],FIND(",",RawSalesTable[[#This Row],[Customer_Info]])+1)-FIND(",",RawSalesTable[[#This Row],[Customer_Info]])-1))</f>
        <v>Ottawa</v>
      </c>
      <c r="U719" s="8" t="str">
        <f>TRIM(RIGHT(RawSalesTable[[#This Row],[Customer_Info]], LEN(RawSalesTable[[#This Row],[Customer_Info]])-FIND(",",RawSalesTable[[#This Row],[Customer_Info]],FIND(",",RawSalesTable[[#This Row],[Customer_Info]])+1)))</f>
        <v>Consumer</v>
      </c>
      <c r="V719" s="8" t="str">
        <f>VLOOKUP(RawSalesTable[[#This Row],[Product_ID]],ProductsTable[],2,FALSE)</f>
        <v>Webcam</v>
      </c>
      <c r="W719" s="8" t="str">
        <f>VLOOKUP(RawSalesTable[[#This Row],[Product_ID]],ProductsTable[],3,FALSE)</f>
        <v>Electronics</v>
      </c>
      <c r="X719" s="8">
        <f>VLOOKUP(RawSalesTable[[#This Row],[Product_ID]],ProductsTable[],5,FALSE)</f>
        <v>154.72999999999999</v>
      </c>
      <c r="Y719" s="8">
        <f>RawSalesTable[[#This Row],[Quantity]]*RawSalesTable[[#This Row],[Unit_Price]]</f>
        <v>299.10000000000002</v>
      </c>
      <c r="Z719" s="8">
        <f>RawSalesTable[[#This Row],[Gross_Sales]]*RawSalesTable[[#This Row],[Discount_Pct]]</f>
        <v>0</v>
      </c>
      <c r="AA719" s="8">
        <f>RawSalesTable[[#This Row],[Gross_Sales]]-RawSalesTable[[#This Row],[Discount_Amount]]</f>
        <v>299.10000000000002</v>
      </c>
      <c r="AB719" s="8">
        <f>RawSalesTable[[#This Row],[Unit_Cost]]*RawSalesTable[[#This Row],[Quantity]]</f>
        <v>154.72999999999999</v>
      </c>
      <c r="AC719" s="8">
        <f>RawSalesTable[[#This Row],[Net_Sales]]-RawSalesTable[[#This Row],[Total_Cost]]</f>
        <v>144.37000000000003</v>
      </c>
      <c r="AD719" s="9">
        <f>RawSalesTable[[#This Row],[Profit]]/RawSalesTable[[#This Row],[Net_Sales]]</f>
        <v>0.48268137746573059</v>
      </c>
      <c r="AE719" s="8">
        <f>IF(RawSalesTable[[#This Row],[Return_Status]]="Yes",1,0)</f>
        <v>0</v>
      </c>
      <c r="AF719" s="8">
        <f>YEAR(RawSalesTable[[#This Row],[Order_Date]])</f>
        <v>2025</v>
      </c>
      <c r="AG719" s="8">
        <f>MONTH(RawSalesTable[[#This Row],[Order_Date]])</f>
        <v>3</v>
      </c>
      <c r="AH719" s="8" t="str">
        <f>TEXT(RawSalesTable[[#This Row],[Order_Date]],"mmmm")</f>
        <v>mars</v>
      </c>
      <c r="AI719" s="8" t="str">
        <f>IF(RawSalesTable[[#This Row],[Month_Number]]&lt;=3,"Q1",IF(RawSalesTable[[#This Row],[Month_Number]]&lt;=6,"Q2",IF(RawSalesTable[[#This Row],[Month_Number]]&lt;=9,"Q3","Q4")))</f>
        <v>Q1</v>
      </c>
      <c r="AJ719" s="13">
        <f>DATE(YEAR(RawSalesTable[[#This Row],[Order_Date]]),MONTH(RawSalesTable[[#This Row],[Order_Date]]),1)</f>
        <v>45717</v>
      </c>
      <c r="AK719" s="8" t="str">
        <f>VLOOKUP(RawSalesTable[[#This Row],[Customer_ID_clean]],CustomersTable[],4,FALSE)</f>
        <v>Ontario</v>
      </c>
    </row>
    <row r="720" spans="1:37">
      <c r="A720" t="s">
        <v>1171</v>
      </c>
      <c r="B720" s="3">
        <v>45708</v>
      </c>
      <c r="C720" t="s">
        <v>335</v>
      </c>
      <c r="D720" t="s">
        <v>94</v>
      </c>
      <c r="E720" t="s">
        <v>336</v>
      </c>
      <c r="F720" t="s">
        <v>116</v>
      </c>
      <c r="G720" t="s">
        <v>96</v>
      </c>
      <c r="H720" t="s">
        <v>97</v>
      </c>
      <c r="I720">
        <v>1</v>
      </c>
      <c r="J720" s="2">
        <v>308.49</v>
      </c>
      <c r="K720" s="4">
        <v>0</v>
      </c>
      <c r="L720" t="s">
        <v>106</v>
      </c>
      <c r="M720">
        <v>4</v>
      </c>
      <c r="N720" t="s">
        <v>91</v>
      </c>
      <c r="O720" t="str">
        <f>SUBSTITUTE(PROPER(TRIM(RawSalesTable[[#This Row],[Channel_Raw]])), "Market Place", "Marketplace")</f>
        <v>Retail Store</v>
      </c>
      <c r="P720" t="str">
        <f>TRIM(RawSalesTable[[#This Row],[Store_Raw]])</f>
        <v>Toronto Downtown</v>
      </c>
      <c r="Q720" t="str">
        <f>IF(TRIM(RawSalesTable[[#This Row],[Payment_Method_Raw]])="","Non renseigné",SUBSTITUTE(TRIM(RawSalesTable[[#This Row],[Payment_Method_Raw]]),"CC","Credit Card"))</f>
        <v>Credit Card</v>
      </c>
      <c r="R720" s="8" t="str">
        <f>UPPER(PROPER(RawSalesTable[[#This Row],[Customer_ID]]))</f>
        <v>C0037</v>
      </c>
      <c r="S720" s="8" t="str">
        <f>TRIM(LEFT(RawSalesTable[[#This Row],[Customer_Info]],FIND(",",RawSalesTable[[#This Row],[Customer_Info]]) -1))</f>
        <v>Lucas Scott</v>
      </c>
      <c r="T720" s="8" t="str">
        <f>TRIM(MID(RawSalesTable[[#This Row],[Customer_Info]],FIND(",",RawSalesTable[[#This Row],[Customer_Info]])+1,FIND(",",RawSalesTable[[#This Row],[Customer_Info]],FIND(",",RawSalesTable[[#This Row],[Customer_Info]])+1)-FIND(",",RawSalesTable[[#This Row],[Customer_Info]])-1))</f>
        <v>Victoria</v>
      </c>
      <c r="U720" s="8" t="str">
        <f>TRIM(RIGHT(RawSalesTable[[#This Row],[Customer_Info]], LEN(RawSalesTable[[#This Row],[Customer_Info]])-FIND(",",RawSalesTable[[#This Row],[Customer_Info]],FIND(",",RawSalesTable[[#This Row],[Customer_Info]])+1)))</f>
        <v>Small Business</v>
      </c>
      <c r="V720" s="8" t="str">
        <f>VLOOKUP(RawSalesTable[[#This Row],[Product_ID]],ProductsTable[],2,FALSE)</f>
        <v>Backpack</v>
      </c>
      <c r="W720" s="8" t="str">
        <f>VLOOKUP(RawSalesTable[[#This Row],[Product_ID]],ProductsTable[],3,FALSE)</f>
        <v>Accessories</v>
      </c>
      <c r="X720" s="8">
        <f>VLOOKUP(RawSalesTable[[#This Row],[Product_ID]],ProductsTable[],5,FALSE)</f>
        <v>152.55000000000001</v>
      </c>
      <c r="Y720" s="8">
        <f>RawSalesTable[[#This Row],[Quantity]]*RawSalesTable[[#This Row],[Unit_Price]]</f>
        <v>308.49</v>
      </c>
      <c r="Z720" s="8">
        <f>RawSalesTable[[#This Row],[Gross_Sales]]*RawSalesTable[[#This Row],[Discount_Pct]]</f>
        <v>0</v>
      </c>
      <c r="AA720" s="8">
        <f>RawSalesTable[[#This Row],[Gross_Sales]]-RawSalesTable[[#This Row],[Discount_Amount]]</f>
        <v>308.49</v>
      </c>
      <c r="AB720" s="8">
        <f>RawSalesTable[[#This Row],[Unit_Cost]]*RawSalesTable[[#This Row],[Quantity]]</f>
        <v>152.55000000000001</v>
      </c>
      <c r="AC720" s="8">
        <f>RawSalesTable[[#This Row],[Net_Sales]]-RawSalesTable[[#This Row],[Total_Cost]]</f>
        <v>155.94</v>
      </c>
      <c r="AD720" s="9">
        <f>RawSalesTable[[#This Row],[Profit]]/RawSalesTable[[#This Row],[Net_Sales]]</f>
        <v>0.50549450549450547</v>
      </c>
      <c r="AE720" s="8">
        <f>IF(RawSalesTable[[#This Row],[Return_Status]]="Yes",1,0)</f>
        <v>0</v>
      </c>
      <c r="AF720" s="8">
        <f>YEAR(RawSalesTable[[#This Row],[Order_Date]])</f>
        <v>2025</v>
      </c>
      <c r="AG720" s="8">
        <f>MONTH(RawSalesTable[[#This Row],[Order_Date]])</f>
        <v>2</v>
      </c>
      <c r="AH720" s="8" t="str">
        <f>TEXT(RawSalesTable[[#This Row],[Order_Date]],"mmmm")</f>
        <v>février</v>
      </c>
      <c r="AI720" s="8" t="str">
        <f>IF(RawSalesTable[[#This Row],[Month_Number]]&lt;=3,"Q1",IF(RawSalesTable[[#This Row],[Month_Number]]&lt;=6,"Q2",IF(RawSalesTable[[#This Row],[Month_Number]]&lt;=9,"Q3","Q4")))</f>
        <v>Q1</v>
      </c>
      <c r="AJ720" s="13">
        <f>DATE(YEAR(RawSalesTable[[#This Row],[Order_Date]]),MONTH(RawSalesTable[[#This Row],[Order_Date]]),1)</f>
        <v>45689</v>
      </c>
      <c r="AK720" s="8" t="str">
        <f>VLOOKUP(RawSalesTable[[#This Row],[Customer_ID_clean]],CustomersTable[],4,FALSE)</f>
        <v>British Columbia</v>
      </c>
    </row>
    <row r="721" spans="1:37">
      <c r="A721" t="s">
        <v>1172</v>
      </c>
      <c r="B721" s="3">
        <v>45684</v>
      </c>
      <c r="C721" t="s">
        <v>216</v>
      </c>
      <c r="D721" t="s">
        <v>114</v>
      </c>
      <c r="E721" t="s">
        <v>218</v>
      </c>
      <c r="F721" t="s">
        <v>145</v>
      </c>
      <c r="G721" t="s">
        <v>104</v>
      </c>
      <c r="H721" t="s">
        <v>308</v>
      </c>
      <c r="I721">
        <v>2</v>
      </c>
      <c r="J721" s="2">
        <v>137.54</v>
      </c>
      <c r="K721" s="4">
        <v>0.15</v>
      </c>
      <c r="L721" t="s">
        <v>106</v>
      </c>
      <c r="M721">
        <v>1</v>
      </c>
      <c r="N721" t="s">
        <v>91</v>
      </c>
      <c r="O721" t="str">
        <f>SUBSTITUTE(PROPER(TRIM(RawSalesTable[[#This Row],[Channel_Raw]])), "Market Place", "Marketplace")</f>
        <v>Online</v>
      </c>
      <c r="P721" t="str">
        <f>TRIM(RawSalesTable[[#This Row],[Store_Raw]])</f>
        <v>Calgary North</v>
      </c>
      <c r="Q721" t="str">
        <f>IF(TRIM(RawSalesTable[[#This Row],[Payment_Method_Raw]])="","Non renseigné",SUBSTITUTE(TRIM(RawSalesTable[[#This Row],[Payment_Method_Raw]]),"CC","Credit Card"))</f>
        <v>Credit Card</v>
      </c>
      <c r="R721" s="8" t="str">
        <f>UPPER(PROPER(RawSalesTable[[#This Row],[Customer_ID]]))</f>
        <v>C0065</v>
      </c>
      <c r="S721" s="8" t="str">
        <f>TRIM(LEFT(RawSalesTable[[#This Row],[Customer_Info]],FIND(",",RawSalesTable[[#This Row],[Customer_Info]]) -1))</f>
        <v>Mia Wilson</v>
      </c>
      <c r="T721" s="8" t="str">
        <f>TRIM(MID(RawSalesTable[[#This Row],[Customer_Info]],FIND(",",RawSalesTable[[#This Row],[Customer_Info]])+1,FIND(",",RawSalesTable[[#This Row],[Customer_Info]],FIND(",",RawSalesTable[[#This Row],[Customer_Info]])+1)-FIND(",",RawSalesTable[[#This Row],[Customer_Info]])-1))</f>
        <v>Quebec City</v>
      </c>
      <c r="U721" s="8" t="str">
        <f>TRIM(RIGHT(RawSalesTable[[#This Row],[Customer_Info]], LEN(RawSalesTable[[#This Row],[Customer_Info]])-FIND(",",RawSalesTable[[#This Row],[Customer_Info]],FIND(",",RawSalesTable[[#This Row],[Customer_Info]])+1)))</f>
        <v>Consumer</v>
      </c>
      <c r="V721" s="8" t="str">
        <f>VLOOKUP(RawSalesTable[[#This Row],[Product_ID]],ProductsTable[],2,FALSE)</f>
        <v>Laptop Sleeve</v>
      </c>
      <c r="W721" s="8" t="str">
        <f>VLOOKUP(RawSalesTable[[#This Row],[Product_ID]],ProductsTable[],3,FALSE)</f>
        <v>Accessories</v>
      </c>
      <c r="X721" s="8">
        <f>VLOOKUP(RawSalesTable[[#This Row],[Product_ID]],ProductsTable[],5,FALSE)</f>
        <v>78.95</v>
      </c>
      <c r="Y721" s="8">
        <f>RawSalesTable[[#This Row],[Quantity]]*RawSalesTable[[#This Row],[Unit_Price]]</f>
        <v>275.08</v>
      </c>
      <c r="Z721" s="8">
        <f>RawSalesTable[[#This Row],[Gross_Sales]]*RawSalesTable[[#This Row],[Discount_Pct]]</f>
        <v>41.261999999999993</v>
      </c>
      <c r="AA721" s="8">
        <f>RawSalesTable[[#This Row],[Gross_Sales]]-RawSalesTable[[#This Row],[Discount_Amount]]</f>
        <v>233.81799999999998</v>
      </c>
      <c r="AB721" s="8">
        <f>RawSalesTable[[#This Row],[Unit_Cost]]*RawSalesTable[[#This Row],[Quantity]]</f>
        <v>157.9</v>
      </c>
      <c r="AC721" s="8">
        <f>RawSalesTable[[#This Row],[Net_Sales]]-RawSalesTable[[#This Row],[Total_Cost]]</f>
        <v>75.917999999999978</v>
      </c>
      <c r="AD721" s="9">
        <f>RawSalesTable[[#This Row],[Profit]]/RawSalesTable[[#This Row],[Net_Sales]]</f>
        <v>0.32468843288369581</v>
      </c>
      <c r="AE721" s="8">
        <f>IF(RawSalesTable[[#This Row],[Return_Status]]="Yes",1,0)</f>
        <v>0</v>
      </c>
      <c r="AF721" s="8">
        <f>YEAR(RawSalesTable[[#This Row],[Order_Date]])</f>
        <v>2025</v>
      </c>
      <c r="AG721" s="8">
        <f>MONTH(RawSalesTable[[#This Row],[Order_Date]])</f>
        <v>1</v>
      </c>
      <c r="AH721" s="8" t="str">
        <f>TEXT(RawSalesTable[[#This Row],[Order_Date]],"mmmm")</f>
        <v>janvier</v>
      </c>
      <c r="AI721" s="8" t="str">
        <f>IF(RawSalesTable[[#This Row],[Month_Number]]&lt;=3,"Q1",IF(RawSalesTable[[#This Row],[Month_Number]]&lt;=6,"Q2",IF(RawSalesTable[[#This Row],[Month_Number]]&lt;=9,"Q3","Q4")))</f>
        <v>Q1</v>
      </c>
      <c r="AJ721" s="13">
        <f>DATE(YEAR(RawSalesTable[[#This Row],[Order_Date]]),MONTH(RawSalesTable[[#This Row],[Order_Date]]),1)</f>
        <v>45658</v>
      </c>
      <c r="AK721" s="8" t="str">
        <f>VLOOKUP(RawSalesTable[[#This Row],[Customer_ID_clean]],CustomersTable[],4,FALSE)</f>
        <v>Quebec</v>
      </c>
    </row>
  </sheetData>
  <conditionalFormatting sqref="A1:A721 A734:A1048576">
    <cfRule type="duplicateValues" dxfId="66" priority="1"/>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1"/>
  <sheetViews>
    <sheetView workbookViewId="0">
      <selection activeCell="E1" sqref="E1"/>
    </sheetView>
  </sheetViews>
  <sheetFormatPr baseColWidth="10" defaultColWidth="8.796875" defaultRowHeight="13.8"/>
  <cols>
    <col min="1" max="1" width="11.59765625" customWidth="1"/>
    <col min="2" max="4" width="22" customWidth="1"/>
    <col min="5" max="5" width="10.5" customWidth="1"/>
    <col min="6" max="6" width="10.19921875" customWidth="1"/>
    <col min="7" max="7" width="22" customWidth="1"/>
  </cols>
  <sheetData>
    <row r="1" spans="1:7">
      <c r="A1" s="1" t="s">
        <v>72</v>
      </c>
      <c r="B1" s="1" t="s">
        <v>1173</v>
      </c>
      <c r="C1" s="1" t="s">
        <v>1174</v>
      </c>
      <c r="D1" s="1" t="s">
        <v>1175</v>
      </c>
      <c r="E1" s="1" t="s">
        <v>1176</v>
      </c>
      <c r="F1" s="1" t="s">
        <v>1177</v>
      </c>
      <c r="G1" s="1" t="s">
        <v>1178</v>
      </c>
    </row>
    <row r="2" spans="1:7">
      <c r="A2" t="s">
        <v>277</v>
      </c>
      <c r="B2" t="s">
        <v>1179</v>
      </c>
      <c r="C2" t="s">
        <v>1180</v>
      </c>
      <c r="D2" t="s">
        <v>1179</v>
      </c>
      <c r="E2" s="2">
        <v>254.6</v>
      </c>
      <c r="F2" s="2">
        <v>371.99</v>
      </c>
      <c r="G2" t="s">
        <v>1181</v>
      </c>
    </row>
    <row r="3" spans="1:7">
      <c r="A3" t="s">
        <v>174</v>
      </c>
      <c r="B3" t="s">
        <v>1182</v>
      </c>
      <c r="C3" t="s">
        <v>1180</v>
      </c>
      <c r="D3" t="s">
        <v>1182</v>
      </c>
      <c r="E3" s="2">
        <v>23.5</v>
      </c>
      <c r="F3" s="2">
        <v>38.28</v>
      </c>
      <c r="G3" t="s">
        <v>1183</v>
      </c>
    </row>
    <row r="4" spans="1:7">
      <c r="A4" t="s">
        <v>136</v>
      </c>
      <c r="B4" t="s">
        <v>1184</v>
      </c>
      <c r="C4" t="s">
        <v>1180</v>
      </c>
      <c r="D4" t="s">
        <v>1184</v>
      </c>
      <c r="E4" s="2">
        <v>106.4</v>
      </c>
      <c r="F4" s="2">
        <v>159.54</v>
      </c>
      <c r="G4" t="s">
        <v>1185</v>
      </c>
    </row>
    <row r="5" spans="1:7">
      <c r="A5" t="s">
        <v>190</v>
      </c>
      <c r="B5" t="s">
        <v>1186</v>
      </c>
      <c r="C5" t="s">
        <v>1180</v>
      </c>
      <c r="D5" t="s">
        <v>1186</v>
      </c>
      <c r="E5" s="2">
        <v>154.72999999999999</v>
      </c>
      <c r="F5" s="2">
        <v>283.02999999999997</v>
      </c>
      <c r="G5" t="s">
        <v>1187</v>
      </c>
    </row>
    <row r="6" spans="1:7">
      <c r="A6" t="s">
        <v>244</v>
      </c>
      <c r="B6" t="s">
        <v>1188</v>
      </c>
      <c r="C6" t="s">
        <v>1180</v>
      </c>
      <c r="D6" t="s">
        <v>1188</v>
      </c>
      <c r="E6" s="2">
        <v>131.19</v>
      </c>
      <c r="F6" s="2">
        <v>238.63</v>
      </c>
      <c r="G6" t="s">
        <v>1187</v>
      </c>
    </row>
    <row r="7" spans="1:7">
      <c r="A7" t="s">
        <v>217</v>
      </c>
      <c r="B7" t="s">
        <v>1189</v>
      </c>
      <c r="C7" t="s">
        <v>1180</v>
      </c>
      <c r="D7" t="s">
        <v>1189</v>
      </c>
      <c r="E7" s="2">
        <v>72</v>
      </c>
      <c r="F7" s="2">
        <v>105.52</v>
      </c>
      <c r="G7" t="s">
        <v>1185</v>
      </c>
    </row>
    <row r="8" spans="1:7">
      <c r="A8" t="s">
        <v>181</v>
      </c>
      <c r="B8" t="s">
        <v>1190</v>
      </c>
      <c r="C8" t="s">
        <v>1180</v>
      </c>
      <c r="D8" t="s">
        <v>1190</v>
      </c>
      <c r="E8" s="2">
        <v>224.47</v>
      </c>
      <c r="F8" s="2">
        <v>356.28</v>
      </c>
      <c r="G8" t="s">
        <v>1181</v>
      </c>
    </row>
    <row r="9" spans="1:7">
      <c r="A9" t="s">
        <v>152</v>
      </c>
      <c r="B9" t="s">
        <v>1191</v>
      </c>
      <c r="C9" t="s">
        <v>1180</v>
      </c>
      <c r="D9" t="s">
        <v>1191</v>
      </c>
      <c r="E9" s="2">
        <v>69</v>
      </c>
      <c r="F9" s="2">
        <v>134.37</v>
      </c>
      <c r="G9" t="s">
        <v>1183</v>
      </c>
    </row>
    <row r="10" spans="1:7">
      <c r="A10" t="s">
        <v>157</v>
      </c>
      <c r="B10" t="s">
        <v>1192</v>
      </c>
      <c r="C10" t="s">
        <v>1193</v>
      </c>
      <c r="D10" t="s">
        <v>1192</v>
      </c>
      <c r="E10" s="2">
        <v>176.13</v>
      </c>
      <c r="F10" s="2">
        <v>293.49</v>
      </c>
      <c r="G10" t="s">
        <v>1181</v>
      </c>
    </row>
    <row r="11" spans="1:7">
      <c r="A11" t="s">
        <v>226</v>
      </c>
      <c r="B11" t="s">
        <v>1194</v>
      </c>
      <c r="C11" t="s">
        <v>1193</v>
      </c>
      <c r="D11" t="s">
        <v>1194</v>
      </c>
      <c r="E11" s="2">
        <v>127.21</v>
      </c>
      <c r="F11" s="2">
        <v>216.81</v>
      </c>
      <c r="G11" t="s">
        <v>1181</v>
      </c>
    </row>
    <row r="12" spans="1:7">
      <c r="A12" t="s">
        <v>149</v>
      </c>
      <c r="B12" t="s">
        <v>1195</v>
      </c>
      <c r="C12" t="s">
        <v>1193</v>
      </c>
      <c r="D12" t="s">
        <v>1195</v>
      </c>
      <c r="E12" s="2">
        <v>39.26</v>
      </c>
      <c r="F12" s="2">
        <v>80.98</v>
      </c>
      <c r="G12" t="s">
        <v>1181</v>
      </c>
    </row>
    <row r="13" spans="1:7">
      <c r="A13" t="s">
        <v>139</v>
      </c>
      <c r="B13" t="s">
        <v>1196</v>
      </c>
      <c r="C13" t="s">
        <v>1193</v>
      </c>
      <c r="D13" t="s">
        <v>1196</v>
      </c>
      <c r="E13" s="2">
        <v>45.17</v>
      </c>
      <c r="F13" s="2">
        <v>81.83</v>
      </c>
      <c r="G13" t="s">
        <v>1183</v>
      </c>
    </row>
    <row r="14" spans="1:7">
      <c r="A14" t="s">
        <v>503</v>
      </c>
      <c r="B14" t="s">
        <v>1197</v>
      </c>
      <c r="C14" t="s">
        <v>1193</v>
      </c>
      <c r="D14" t="s">
        <v>1197</v>
      </c>
      <c r="E14" s="2">
        <v>85.73</v>
      </c>
      <c r="F14" s="2">
        <v>123.12</v>
      </c>
      <c r="G14" t="s">
        <v>1181</v>
      </c>
    </row>
    <row r="15" spans="1:7">
      <c r="A15" t="s">
        <v>255</v>
      </c>
      <c r="B15" t="s">
        <v>1198</v>
      </c>
      <c r="C15" t="s">
        <v>1193</v>
      </c>
      <c r="D15" t="s">
        <v>1198</v>
      </c>
      <c r="E15" s="2">
        <v>117.65</v>
      </c>
      <c r="F15" s="2">
        <v>237.96</v>
      </c>
      <c r="G15" t="s">
        <v>1187</v>
      </c>
    </row>
    <row r="16" spans="1:7">
      <c r="A16" t="s">
        <v>120</v>
      </c>
      <c r="B16" t="s">
        <v>1199</v>
      </c>
      <c r="C16" t="s">
        <v>1193</v>
      </c>
      <c r="D16" t="s">
        <v>1199</v>
      </c>
      <c r="E16" s="2">
        <v>235.76</v>
      </c>
      <c r="F16" s="2">
        <v>381.14</v>
      </c>
      <c r="G16" t="s">
        <v>1200</v>
      </c>
    </row>
    <row r="17" spans="1:7">
      <c r="A17" t="s">
        <v>738</v>
      </c>
      <c r="B17" t="s">
        <v>1201</v>
      </c>
      <c r="C17" t="s">
        <v>1193</v>
      </c>
      <c r="D17" t="s">
        <v>1201</v>
      </c>
      <c r="E17" s="2">
        <v>156.75</v>
      </c>
      <c r="F17" s="2">
        <v>321.82</v>
      </c>
      <c r="G17" t="s">
        <v>1187</v>
      </c>
    </row>
    <row r="18" spans="1:7">
      <c r="A18" t="s">
        <v>520</v>
      </c>
      <c r="B18" t="s">
        <v>1202</v>
      </c>
      <c r="C18" t="s">
        <v>1203</v>
      </c>
      <c r="D18" t="s">
        <v>1202</v>
      </c>
      <c r="E18" s="2">
        <v>241.16</v>
      </c>
      <c r="F18" s="2">
        <v>369.21</v>
      </c>
      <c r="G18" t="s">
        <v>1187</v>
      </c>
    </row>
    <row r="19" spans="1:7">
      <c r="A19" t="s">
        <v>221</v>
      </c>
      <c r="B19" t="s">
        <v>1204</v>
      </c>
      <c r="C19" t="s">
        <v>1203</v>
      </c>
      <c r="D19" t="s">
        <v>1204</v>
      </c>
      <c r="E19" s="2">
        <v>14.58</v>
      </c>
      <c r="F19" s="2">
        <v>30.33</v>
      </c>
      <c r="G19" t="s">
        <v>1185</v>
      </c>
    </row>
    <row r="20" spans="1:7">
      <c r="A20" t="s">
        <v>252</v>
      </c>
      <c r="B20" t="s">
        <v>1205</v>
      </c>
      <c r="C20" t="s">
        <v>1203</v>
      </c>
      <c r="D20" t="s">
        <v>1205</v>
      </c>
      <c r="E20" s="2">
        <v>186.94</v>
      </c>
      <c r="F20" s="2">
        <v>269.35000000000002</v>
      </c>
      <c r="G20" t="s">
        <v>1200</v>
      </c>
    </row>
    <row r="21" spans="1:7">
      <c r="A21" t="s">
        <v>360</v>
      </c>
      <c r="B21" t="s">
        <v>1206</v>
      </c>
      <c r="C21" t="s">
        <v>1203</v>
      </c>
      <c r="D21" t="s">
        <v>1206</v>
      </c>
      <c r="E21" s="2">
        <v>37.46</v>
      </c>
      <c r="F21" s="2">
        <v>66</v>
      </c>
      <c r="G21" t="s">
        <v>1185</v>
      </c>
    </row>
    <row r="22" spans="1:7">
      <c r="A22" t="s">
        <v>101</v>
      </c>
      <c r="B22" t="s">
        <v>1207</v>
      </c>
      <c r="C22" t="s">
        <v>1203</v>
      </c>
      <c r="D22" t="s">
        <v>1207</v>
      </c>
      <c r="E22" s="2">
        <v>139.86000000000001</v>
      </c>
      <c r="F22" s="2">
        <v>303.60000000000002</v>
      </c>
      <c r="G22" t="s">
        <v>1183</v>
      </c>
    </row>
    <row r="23" spans="1:7">
      <c r="A23" t="s">
        <v>249</v>
      </c>
      <c r="B23" t="s">
        <v>1208</v>
      </c>
      <c r="C23" t="s">
        <v>1203</v>
      </c>
      <c r="D23" t="s">
        <v>1208</v>
      </c>
      <c r="E23" s="2">
        <v>239.67</v>
      </c>
      <c r="F23" s="2">
        <v>418.59</v>
      </c>
      <c r="G23" t="s">
        <v>1183</v>
      </c>
    </row>
    <row r="24" spans="1:7">
      <c r="A24" t="s">
        <v>323</v>
      </c>
      <c r="B24" t="s">
        <v>1209</v>
      </c>
      <c r="C24" t="s">
        <v>1203</v>
      </c>
      <c r="D24" t="s">
        <v>1209</v>
      </c>
      <c r="E24" s="2">
        <v>152.88</v>
      </c>
      <c r="F24" s="2">
        <v>332.07</v>
      </c>
      <c r="G24" t="s">
        <v>1185</v>
      </c>
    </row>
    <row r="25" spans="1:7">
      <c r="A25" t="s">
        <v>165</v>
      </c>
      <c r="B25" t="s">
        <v>1210</v>
      </c>
      <c r="C25" t="s">
        <v>1203</v>
      </c>
      <c r="D25" t="s">
        <v>1210</v>
      </c>
      <c r="E25" s="2">
        <v>46.07</v>
      </c>
      <c r="F25" s="2">
        <v>102.24</v>
      </c>
      <c r="G25" t="s">
        <v>1185</v>
      </c>
    </row>
    <row r="26" spans="1:7">
      <c r="A26" t="s">
        <v>85</v>
      </c>
      <c r="B26" t="s">
        <v>1211</v>
      </c>
      <c r="C26" t="s">
        <v>1212</v>
      </c>
      <c r="D26" t="s">
        <v>1211</v>
      </c>
      <c r="E26" s="2">
        <v>197.33</v>
      </c>
      <c r="F26" s="2">
        <v>309.06</v>
      </c>
      <c r="G26" t="s">
        <v>1185</v>
      </c>
    </row>
    <row r="27" spans="1:7">
      <c r="A27" t="s">
        <v>271</v>
      </c>
      <c r="B27" t="s">
        <v>1213</v>
      </c>
      <c r="C27" t="s">
        <v>1212</v>
      </c>
      <c r="D27" t="s">
        <v>1213</v>
      </c>
      <c r="E27" s="2">
        <v>139.19999999999999</v>
      </c>
      <c r="F27" s="2">
        <v>225.34</v>
      </c>
      <c r="G27" t="s">
        <v>1183</v>
      </c>
    </row>
    <row r="28" spans="1:7">
      <c r="A28" t="s">
        <v>125</v>
      </c>
      <c r="B28" t="s">
        <v>1214</v>
      </c>
      <c r="C28" t="s">
        <v>1212</v>
      </c>
      <c r="D28" t="s">
        <v>1214</v>
      </c>
      <c r="E28" s="2">
        <v>25.97</v>
      </c>
      <c r="F28" s="2">
        <v>57.41</v>
      </c>
      <c r="G28" t="s">
        <v>1183</v>
      </c>
    </row>
    <row r="29" spans="1:7">
      <c r="A29" t="s">
        <v>418</v>
      </c>
      <c r="B29" t="s">
        <v>1215</v>
      </c>
      <c r="C29" t="s">
        <v>1212</v>
      </c>
      <c r="D29" t="s">
        <v>1215</v>
      </c>
      <c r="E29" s="2">
        <v>212.02</v>
      </c>
      <c r="F29" s="2">
        <v>357.33</v>
      </c>
      <c r="G29" t="s">
        <v>1200</v>
      </c>
    </row>
    <row r="30" spans="1:7">
      <c r="A30" t="s">
        <v>194</v>
      </c>
      <c r="B30" t="s">
        <v>1216</v>
      </c>
      <c r="C30" t="s">
        <v>1212</v>
      </c>
      <c r="D30" t="s">
        <v>1216</v>
      </c>
      <c r="E30" s="2">
        <v>101</v>
      </c>
      <c r="F30" s="2">
        <v>201.7</v>
      </c>
      <c r="G30" t="s">
        <v>1183</v>
      </c>
    </row>
    <row r="31" spans="1:7">
      <c r="A31" t="s">
        <v>346</v>
      </c>
      <c r="B31" t="s">
        <v>1217</v>
      </c>
      <c r="C31" t="s">
        <v>1212</v>
      </c>
      <c r="D31" t="s">
        <v>1217</v>
      </c>
      <c r="E31" s="2">
        <v>125.4</v>
      </c>
      <c r="F31" s="2">
        <v>246.06</v>
      </c>
      <c r="G31" t="s">
        <v>1185</v>
      </c>
    </row>
    <row r="32" spans="1:7">
      <c r="A32" t="s">
        <v>261</v>
      </c>
      <c r="B32" t="s">
        <v>1218</v>
      </c>
      <c r="C32" t="s">
        <v>1212</v>
      </c>
      <c r="D32" t="s">
        <v>1218</v>
      </c>
      <c r="E32" s="2">
        <v>131.72999999999999</v>
      </c>
      <c r="F32" s="2">
        <v>251.57</v>
      </c>
      <c r="G32" t="s">
        <v>1200</v>
      </c>
    </row>
    <row r="33" spans="1:7">
      <c r="A33" t="s">
        <v>109</v>
      </c>
      <c r="B33" t="s">
        <v>1219</v>
      </c>
      <c r="C33" t="s">
        <v>1212</v>
      </c>
      <c r="D33" t="s">
        <v>1219</v>
      </c>
      <c r="E33" s="2">
        <v>132.72</v>
      </c>
      <c r="F33" s="2">
        <v>200.72</v>
      </c>
      <c r="G33" t="s">
        <v>1181</v>
      </c>
    </row>
    <row r="34" spans="1:7">
      <c r="A34" t="s">
        <v>94</v>
      </c>
      <c r="B34" t="s">
        <v>1220</v>
      </c>
      <c r="C34" t="s">
        <v>1221</v>
      </c>
      <c r="D34" t="s">
        <v>1220</v>
      </c>
      <c r="E34" s="2">
        <v>152.55000000000001</v>
      </c>
      <c r="F34" s="2">
        <v>306.23</v>
      </c>
      <c r="G34" t="s">
        <v>1185</v>
      </c>
    </row>
    <row r="35" spans="1:7">
      <c r="A35" t="s">
        <v>114</v>
      </c>
      <c r="B35" t="s">
        <v>1222</v>
      </c>
      <c r="C35" t="s">
        <v>1221</v>
      </c>
      <c r="D35" t="s">
        <v>1222</v>
      </c>
      <c r="E35" s="2">
        <v>78.95</v>
      </c>
      <c r="F35" s="2">
        <v>144.54</v>
      </c>
      <c r="G35" t="s">
        <v>1200</v>
      </c>
    </row>
    <row r="36" spans="1:7">
      <c r="A36" t="s">
        <v>469</v>
      </c>
      <c r="B36" t="s">
        <v>1223</v>
      </c>
      <c r="C36" t="s">
        <v>1221</v>
      </c>
      <c r="D36" t="s">
        <v>1223</v>
      </c>
      <c r="E36" s="2">
        <v>59.85</v>
      </c>
      <c r="F36" s="2">
        <v>85.31</v>
      </c>
      <c r="G36" t="s">
        <v>1185</v>
      </c>
    </row>
    <row r="37" spans="1:7">
      <c r="A37" t="s">
        <v>303</v>
      </c>
      <c r="B37" t="s">
        <v>1224</v>
      </c>
      <c r="C37" t="s">
        <v>1221</v>
      </c>
      <c r="D37" t="s">
        <v>1224</v>
      </c>
      <c r="E37" s="2">
        <v>76.97</v>
      </c>
      <c r="F37" s="2">
        <v>160.31</v>
      </c>
      <c r="G37" t="s">
        <v>1183</v>
      </c>
    </row>
    <row r="38" spans="1:7">
      <c r="A38" t="s">
        <v>231</v>
      </c>
      <c r="B38" t="s">
        <v>1225</v>
      </c>
      <c r="C38" t="s">
        <v>1221</v>
      </c>
      <c r="D38" t="s">
        <v>1225</v>
      </c>
      <c r="E38" s="2">
        <v>200.16</v>
      </c>
      <c r="F38" s="2">
        <v>351.38</v>
      </c>
      <c r="G38" t="s">
        <v>1183</v>
      </c>
    </row>
    <row r="39" spans="1:7">
      <c r="A39" t="s">
        <v>143</v>
      </c>
      <c r="B39" t="s">
        <v>1226</v>
      </c>
      <c r="C39" t="s">
        <v>1221</v>
      </c>
      <c r="D39" t="s">
        <v>1226</v>
      </c>
      <c r="E39" s="2">
        <v>119.16</v>
      </c>
      <c r="F39" s="2">
        <v>261.93</v>
      </c>
      <c r="G39" t="s">
        <v>1187</v>
      </c>
    </row>
    <row r="40" spans="1:7">
      <c r="A40" t="s">
        <v>133</v>
      </c>
      <c r="B40" t="s">
        <v>1227</v>
      </c>
      <c r="C40" t="s">
        <v>1221</v>
      </c>
      <c r="D40" t="s">
        <v>1227</v>
      </c>
      <c r="E40" s="2">
        <v>229.86</v>
      </c>
      <c r="F40" s="2">
        <v>343.22</v>
      </c>
      <c r="G40" t="s">
        <v>1187</v>
      </c>
    </row>
    <row r="41" spans="1:7">
      <c r="A41" t="s">
        <v>210</v>
      </c>
      <c r="B41" t="s">
        <v>1228</v>
      </c>
      <c r="C41" t="s">
        <v>1221</v>
      </c>
      <c r="D41" t="s">
        <v>1228</v>
      </c>
      <c r="E41" s="2">
        <v>177.57</v>
      </c>
      <c r="F41" s="2">
        <v>308.7</v>
      </c>
      <c r="G41" t="s">
        <v>1187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1"/>
  <sheetViews>
    <sheetView workbookViewId="0"/>
  </sheetViews>
  <sheetFormatPr baseColWidth="10" defaultColWidth="8.796875" defaultRowHeight="13.8"/>
  <cols>
    <col min="1" max="1" width="13" customWidth="1"/>
    <col min="2" max="2" width="22" customWidth="1"/>
    <col min="3" max="3" width="9.59765625" customWidth="1"/>
    <col min="4" max="4" width="12.69921875" customWidth="1"/>
    <col min="5" max="5" width="11.3984375" customWidth="1"/>
    <col min="6" max="6" width="12.59765625" customWidth="1"/>
  </cols>
  <sheetData>
    <row r="1" spans="1:6">
      <c r="A1" s="1" t="s">
        <v>71</v>
      </c>
      <c r="B1" s="1" t="s">
        <v>1229</v>
      </c>
      <c r="C1" s="1" t="s">
        <v>1230</v>
      </c>
      <c r="D1" s="1" t="s">
        <v>1231</v>
      </c>
      <c r="E1" s="1" t="s">
        <v>1232</v>
      </c>
      <c r="F1" s="1" t="s">
        <v>1233</v>
      </c>
    </row>
    <row r="2" spans="1:6">
      <c r="A2" t="s">
        <v>213</v>
      </c>
      <c r="B2" t="s">
        <v>1234</v>
      </c>
      <c r="C2" t="s">
        <v>1235</v>
      </c>
      <c r="D2" t="s">
        <v>1236</v>
      </c>
      <c r="E2" t="s">
        <v>1237</v>
      </c>
      <c r="F2" s="3">
        <v>45137</v>
      </c>
    </row>
    <row r="3" spans="1:6">
      <c r="A3" t="s">
        <v>142</v>
      </c>
      <c r="B3" t="s">
        <v>1238</v>
      </c>
      <c r="C3" t="s">
        <v>1239</v>
      </c>
      <c r="D3" t="s">
        <v>1240</v>
      </c>
      <c r="E3" t="s">
        <v>1241</v>
      </c>
      <c r="F3" s="3">
        <v>45495</v>
      </c>
    </row>
    <row r="4" spans="1:6">
      <c r="A4" t="s">
        <v>100</v>
      </c>
      <c r="B4" t="s">
        <v>1242</v>
      </c>
      <c r="C4" t="s">
        <v>1243</v>
      </c>
      <c r="D4" t="s">
        <v>1244</v>
      </c>
      <c r="E4" t="s">
        <v>1245</v>
      </c>
      <c r="F4" s="3">
        <v>45390</v>
      </c>
    </row>
    <row r="5" spans="1:6">
      <c r="A5" t="s">
        <v>597</v>
      </c>
      <c r="B5" t="s">
        <v>1246</v>
      </c>
      <c r="C5" t="s">
        <v>1247</v>
      </c>
      <c r="D5" t="s">
        <v>1240</v>
      </c>
      <c r="E5" t="s">
        <v>1237</v>
      </c>
      <c r="F5" s="3">
        <v>45188</v>
      </c>
    </row>
    <row r="6" spans="1:6">
      <c r="A6" t="s">
        <v>209</v>
      </c>
      <c r="B6" t="s">
        <v>1248</v>
      </c>
      <c r="C6" t="s">
        <v>1249</v>
      </c>
      <c r="D6" t="s">
        <v>1250</v>
      </c>
      <c r="E6" t="s">
        <v>1237</v>
      </c>
      <c r="F6" s="3">
        <v>45549</v>
      </c>
    </row>
    <row r="7" spans="1:6">
      <c r="A7" t="s">
        <v>706</v>
      </c>
      <c r="B7" t="s">
        <v>1251</v>
      </c>
      <c r="C7" t="s">
        <v>1247</v>
      </c>
      <c r="D7" t="s">
        <v>1240</v>
      </c>
      <c r="E7" t="s">
        <v>1237</v>
      </c>
      <c r="F7" s="3">
        <v>45458</v>
      </c>
    </row>
    <row r="8" spans="1:6">
      <c r="A8" t="s">
        <v>293</v>
      </c>
      <c r="B8" t="s">
        <v>1252</v>
      </c>
      <c r="C8" t="s">
        <v>1243</v>
      </c>
      <c r="D8" t="s">
        <v>1244</v>
      </c>
      <c r="E8" t="s">
        <v>1237</v>
      </c>
      <c r="F8" s="3">
        <v>45036</v>
      </c>
    </row>
    <row r="9" spans="1:6">
      <c r="A9" t="s">
        <v>356</v>
      </c>
      <c r="B9" t="s">
        <v>1253</v>
      </c>
      <c r="C9" t="s">
        <v>1249</v>
      </c>
      <c r="D9" t="s">
        <v>1250</v>
      </c>
      <c r="E9" t="s">
        <v>1237</v>
      </c>
      <c r="F9" s="3">
        <v>45606</v>
      </c>
    </row>
    <row r="10" spans="1:6">
      <c r="A10" t="s">
        <v>386</v>
      </c>
      <c r="B10" t="s">
        <v>1254</v>
      </c>
      <c r="C10" t="s">
        <v>1255</v>
      </c>
      <c r="D10" t="s">
        <v>1244</v>
      </c>
      <c r="E10" t="s">
        <v>1245</v>
      </c>
      <c r="F10" s="3">
        <v>45358</v>
      </c>
    </row>
    <row r="11" spans="1:6">
      <c r="A11" t="s">
        <v>402</v>
      </c>
      <c r="B11" t="s">
        <v>1256</v>
      </c>
      <c r="C11" t="s">
        <v>1257</v>
      </c>
      <c r="D11" t="s">
        <v>1258</v>
      </c>
      <c r="E11" t="s">
        <v>1245</v>
      </c>
      <c r="F11" s="3">
        <v>45569</v>
      </c>
    </row>
    <row r="12" spans="1:6">
      <c r="A12" t="s">
        <v>644</v>
      </c>
      <c r="B12" t="s">
        <v>1259</v>
      </c>
      <c r="C12" t="s">
        <v>1260</v>
      </c>
      <c r="D12" t="s">
        <v>1240</v>
      </c>
      <c r="E12" t="s">
        <v>1237</v>
      </c>
      <c r="F12" s="3">
        <v>44954</v>
      </c>
    </row>
    <row r="13" spans="1:6">
      <c r="A13" t="s">
        <v>248</v>
      </c>
      <c r="B13" t="s">
        <v>1261</v>
      </c>
      <c r="C13" t="s">
        <v>1257</v>
      </c>
      <c r="D13" t="s">
        <v>1258</v>
      </c>
      <c r="E13" t="s">
        <v>1245</v>
      </c>
      <c r="F13" s="3">
        <v>44961</v>
      </c>
    </row>
    <row r="14" spans="1:6">
      <c r="A14" t="s">
        <v>319</v>
      </c>
      <c r="B14" t="s">
        <v>1262</v>
      </c>
      <c r="C14" t="s">
        <v>1260</v>
      </c>
      <c r="D14" t="s">
        <v>1240</v>
      </c>
      <c r="E14" t="s">
        <v>1241</v>
      </c>
      <c r="F14" s="3">
        <v>45608</v>
      </c>
    </row>
    <row r="15" spans="1:6">
      <c r="A15" t="s">
        <v>151</v>
      </c>
      <c r="B15" t="s">
        <v>1263</v>
      </c>
      <c r="C15" t="s">
        <v>1239</v>
      </c>
      <c r="D15" t="s">
        <v>1240</v>
      </c>
      <c r="E15" t="s">
        <v>1241</v>
      </c>
      <c r="F15" s="3">
        <v>45084</v>
      </c>
    </row>
    <row r="16" spans="1:6">
      <c r="A16" t="s">
        <v>128</v>
      </c>
      <c r="B16" t="s">
        <v>1264</v>
      </c>
      <c r="C16" t="s">
        <v>1235</v>
      </c>
      <c r="D16" t="s">
        <v>1236</v>
      </c>
      <c r="E16" t="s">
        <v>1237</v>
      </c>
      <c r="F16" s="3">
        <v>45093</v>
      </c>
    </row>
    <row r="17" spans="1:6">
      <c r="A17" t="s">
        <v>300</v>
      </c>
      <c r="B17" t="s">
        <v>1265</v>
      </c>
      <c r="C17" t="s">
        <v>1249</v>
      </c>
      <c r="D17" t="s">
        <v>1250</v>
      </c>
      <c r="E17" t="s">
        <v>1237</v>
      </c>
      <c r="F17" s="3">
        <v>45472</v>
      </c>
    </row>
    <row r="18" spans="1:6">
      <c r="A18" t="s">
        <v>494</v>
      </c>
      <c r="B18" t="s">
        <v>1266</v>
      </c>
      <c r="C18" t="s">
        <v>1255</v>
      </c>
      <c r="D18" t="s">
        <v>1244</v>
      </c>
      <c r="E18" t="s">
        <v>1245</v>
      </c>
      <c r="F18" s="3">
        <v>45644</v>
      </c>
    </row>
    <row r="19" spans="1:6">
      <c r="A19" t="s">
        <v>472</v>
      </c>
      <c r="B19" t="s">
        <v>1267</v>
      </c>
      <c r="C19" t="s">
        <v>1247</v>
      </c>
      <c r="D19" t="s">
        <v>1240</v>
      </c>
      <c r="E19" t="s">
        <v>1241</v>
      </c>
      <c r="F19" s="3">
        <v>45283</v>
      </c>
    </row>
    <row r="20" spans="1:6">
      <c r="A20" t="s">
        <v>695</v>
      </c>
      <c r="B20" t="s">
        <v>1268</v>
      </c>
      <c r="C20" t="s">
        <v>1239</v>
      </c>
      <c r="D20" t="s">
        <v>1240</v>
      </c>
      <c r="E20" t="s">
        <v>1241</v>
      </c>
      <c r="F20" s="3">
        <v>45418</v>
      </c>
    </row>
    <row r="21" spans="1:6">
      <c r="A21" t="s">
        <v>265</v>
      </c>
      <c r="B21" t="s">
        <v>1269</v>
      </c>
      <c r="C21" t="s">
        <v>1255</v>
      </c>
      <c r="D21" t="s">
        <v>1244</v>
      </c>
      <c r="E21" t="s">
        <v>1237</v>
      </c>
      <c r="F21" s="3">
        <v>45189</v>
      </c>
    </row>
    <row r="22" spans="1:6">
      <c r="A22" t="s">
        <v>124</v>
      </c>
      <c r="B22" t="s">
        <v>1270</v>
      </c>
      <c r="C22" t="s">
        <v>1235</v>
      </c>
      <c r="D22" t="s">
        <v>1236</v>
      </c>
      <c r="E22" t="s">
        <v>1245</v>
      </c>
      <c r="F22" s="3">
        <v>45207</v>
      </c>
    </row>
    <row r="23" spans="1:6">
      <c r="A23" t="s">
        <v>497</v>
      </c>
      <c r="B23" t="s">
        <v>1271</v>
      </c>
      <c r="C23" t="s">
        <v>1257</v>
      </c>
      <c r="D23" t="s">
        <v>1258</v>
      </c>
      <c r="E23" t="s">
        <v>1237</v>
      </c>
      <c r="F23" s="3">
        <v>45404</v>
      </c>
    </row>
    <row r="24" spans="1:6">
      <c r="A24" t="s">
        <v>193</v>
      </c>
      <c r="B24" t="s">
        <v>1272</v>
      </c>
      <c r="C24" t="s">
        <v>1243</v>
      </c>
      <c r="D24" t="s">
        <v>1244</v>
      </c>
      <c r="E24" t="s">
        <v>1241</v>
      </c>
      <c r="F24" s="3">
        <v>45369</v>
      </c>
    </row>
    <row r="25" spans="1:6">
      <c r="A25" t="s">
        <v>637</v>
      </c>
      <c r="B25" t="s">
        <v>1273</v>
      </c>
      <c r="C25" t="s">
        <v>1255</v>
      </c>
      <c r="D25" t="s">
        <v>1244</v>
      </c>
      <c r="E25" t="s">
        <v>1237</v>
      </c>
      <c r="F25" s="3">
        <v>45455</v>
      </c>
    </row>
    <row r="26" spans="1:6">
      <c r="A26" t="s">
        <v>363</v>
      </c>
      <c r="B26" t="s">
        <v>1274</v>
      </c>
      <c r="C26" t="s">
        <v>1275</v>
      </c>
      <c r="D26" t="s">
        <v>1258</v>
      </c>
      <c r="E26" t="s">
        <v>1245</v>
      </c>
      <c r="F26" s="3">
        <v>45083</v>
      </c>
    </row>
    <row r="27" spans="1:6">
      <c r="A27" t="s">
        <v>851</v>
      </c>
      <c r="B27" t="s">
        <v>1276</v>
      </c>
      <c r="C27" t="s">
        <v>1275</v>
      </c>
      <c r="D27" t="s">
        <v>1258</v>
      </c>
      <c r="E27" t="s">
        <v>1245</v>
      </c>
      <c r="F27" s="3">
        <v>45174</v>
      </c>
    </row>
    <row r="28" spans="1:6">
      <c r="A28" t="s">
        <v>594</v>
      </c>
      <c r="B28" t="s">
        <v>1251</v>
      </c>
      <c r="C28" t="s">
        <v>1277</v>
      </c>
      <c r="D28" t="s">
        <v>1244</v>
      </c>
      <c r="E28" t="s">
        <v>1241</v>
      </c>
      <c r="F28" s="3">
        <v>45541</v>
      </c>
    </row>
    <row r="29" spans="1:6">
      <c r="A29" t="s">
        <v>438</v>
      </c>
      <c r="B29" t="s">
        <v>1278</v>
      </c>
      <c r="C29" t="s">
        <v>1257</v>
      </c>
      <c r="D29" t="s">
        <v>1258</v>
      </c>
      <c r="E29" t="s">
        <v>1237</v>
      </c>
      <c r="F29" s="3">
        <v>45428</v>
      </c>
    </row>
    <row r="30" spans="1:6">
      <c r="A30" t="s">
        <v>203</v>
      </c>
      <c r="B30" t="s">
        <v>1279</v>
      </c>
      <c r="C30" t="s">
        <v>1257</v>
      </c>
      <c r="D30" t="s">
        <v>1258</v>
      </c>
      <c r="E30" t="s">
        <v>1237</v>
      </c>
      <c r="F30" s="3">
        <v>45323</v>
      </c>
    </row>
    <row r="31" spans="1:6">
      <c r="A31" t="s">
        <v>463</v>
      </c>
      <c r="B31" t="s">
        <v>1280</v>
      </c>
      <c r="C31" t="s">
        <v>1249</v>
      </c>
      <c r="D31" t="s">
        <v>1250</v>
      </c>
      <c r="E31" t="s">
        <v>1245</v>
      </c>
      <c r="F31" s="3">
        <v>45602</v>
      </c>
    </row>
    <row r="32" spans="1:6">
      <c r="A32" t="s">
        <v>543</v>
      </c>
      <c r="B32" t="s">
        <v>1281</v>
      </c>
      <c r="C32" t="s">
        <v>1275</v>
      </c>
      <c r="D32" t="s">
        <v>1258</v>
      </c>
      <c r="E32" t="s">
        <v>1241</v>
      </c>
      <c r="F32" s="3">
        <v>45211</v>
      </c>
    </row>
    <row r="33" spans="1:6">
      <c r="A33" t="s">
        <v>164</v>
      </c>
      <c r="B33" t="s">
        <v>1282</v>
      </c>
      <c r="C33" t="s">
        <v>1275</v>
      </c>
      <c r="D33" t="s">
        <v>1258</v>
      </c>
      <c r="E33" t="s">
        <v>1237</v>
      </c>
      <c r="F33" s="3">
        <v>45286</v>
      </c>
    </row>
    <row r="34" spans="1:6">
      <c r="A34" t="s">
        <v>283</v>
      </c>
      <c r="B34" t="s">
        <v>1283</v>
      </c>
      <c r="C34" t="s">
        <v>1284</v>
      </c>
      <c r="D34" t="s">
        <v>1285</v>
      </c>
      <c r="E34" t="s">
        <v>1237</v>
      </c>
      <c r="F34" s="3">
        <v>45445</v>
      </c>
    </row>
    <row r="35" spans="1:6">
      <c r="A35" t="s">
        <v>758</v>
      </c>
      <c r="B35" t="s">
        <v>1286</v>
      </c>
      <c r="C35" t="s">
        <v>1277</v>
      </c>
      <c r="D35" t="s">
        <v>1244</v>
      </c>
      <c r="E35" t="s">
        <v>1245</v>
      </c>
      <c r="F35" s="3">
        <v>45428</v>
      </c>
    </row>
    <row r="36" spans="1:6">
      <c r="A36" t="s">
        <v>374</v>
      </c>
      <c r="B36" t="s">
        <v>1287</v>
      </c>
      <c r="C36" t="s">
        <v>1288</v>
      </c>
      <c r="D36" t="s">
        <v>1250</v>
      </c>
      <c r="E36" t="s">
        <v>1241</v>
      </c>
      <c r="F36" s="3">
        <v>45330</v>
      </c>
    </row>
    <row r="37" spans="1:6">
      <c r="A37" t="s">
        <v>185</v>
      </c>
      <c r="B37" t="s">
        <v>1289</v>
      </c>
      <c r="C37" t="s">
        <v>1239</v>
      </c>
      <c r="D37" t="s">
        <v>1240</v>
      </c>
      <c r="E37" t="s">
        <v>1245</v>
      </c>
      <c r="F37" s="3">
        <v>45158</v>
      </c>
    </row>
    <row r="38" spans="1:6">
      <c r="A38" t="s">
        <v>335</v>
      </c>
      <c r="B38" t="s">
        <v>1290</v>
      </c>
      <c r="C38" t="s">
        <v>1257</v>
      </c>
      <c r="D38" t="s">
        <v>1258</v>
      </c>
      <c r="E38" t="s">
        <v>1241</v>
      </c>
      <c r="F38" s="3">
        <v>45136</v>
      </c>
    </row>
    <row r="39" spans="1:6">
      <c r="A39" t="s">
        <v>406</v>
      </c>
      <c r="B39" t="s">
        <v>1291</v>
      </c>
      <c r="C39" t="s">
        <v>1239</v>
      </c>
      <c r="D39" t="s">
        <v>1240</v>
      </c>
      <c r="E39" t="s">
        <v>1237</v>
      </c>
      <c r="F39" s="3">
        <v>45147</v>
      </c>
    </row>
    <row r="40" spans="1:6">
      <c r="A40" t="s">
        <v>536</v>
      </c>
      <c r="B40" t="s">
        <v>1289</v>
      </c>
      <c r="C40" t="s">
        <v>1235</v>
      </c>
      <c r="D40" t="s">
        <v>1236</v>
      </c>
      <c r="E40" t="s">
        <v>1237</v>
      </c>
      <c r="F40" s="3">
        <v>45372</v>
      </c>
    </row>
    <row r="41" spans="1:6">
      <c r="A41" t="s">
        <v>296</v>
      </c>
      <c r="B41" t="s">
        <v>1292</v>
      </c>
      <c r="C41" t="s">
        <v>1275</v>
      </c>
      <c r="D41" t="s">
        <v>1258</v>
      </c>
      <c r="E41" t="s">
        <v>1237</v>
      </c>
      <c r="F41" s="3">
        <v>45357</v>
      </c>
    </row>
    <row r="42" spans="1:6">
      <c r="A42" t="s">
        <v>177</v>
      </c>
      <c r="B42" t="s">
        <v>1293</v>
      </c>
      <c r="C42" t="s">
        <v>1235</v>
      </c>
      <c r="D42" t="s">
        <v>1236</v>
      </c>
      <c r="E42" t="s">
        <v>1241</v>
      </c>
      <c r="F42" s="3">
        <v>45175</v>
      </c>
    </row>
    <row r="43" spans="1:6">
      <c r="A43" t="s">
        <v>531</v>
      </c>
      <c r="B43" t="s">
        <v>1294</v>
      </c>
      <c r="C43" t="s">
        <v>1260</v>
      </c>
      <c r="D43" t="s">
        <v>1240</v>
      </c>
      <c r="E43" t="s">
        <v>1237</v>
      </c>
      <c r="F43" s="3">
        <v>45031</v>
      </c>
    </row>
    <row r="44" spans="1:6">
      <c r="A44" t="s">
        <v>268</v>
      </c>
      <c r="B44" t="s">
        <v>1295</v>
      </c>
      <c r="C44" t="s">
        <v>1243</v>
      </c>
      <c r="D44" t="s">
        <v>1244</v>
      </c>
      <c r="E44" t="s">
        <v>1241</v>
      </c>
      <c r="F44" s="3">
        <v>45093</v>
      </c>
    </row>
    <row r="45" spans="1:6">
      <c r="A45" t="s">
        <v>359</v>
      </c>
      <c r="B45" t="s">
        <v>1296</v>
      </c>
      <c r="C45" t="s">
        <v>1297</v>
      </c>
      <c r="D45" t="s">
        <v>1258</v>
      </c>
      <c r="E45" t="s">
        <v>1245</v>
      </c>
      <c r="F45" s="3">
        <v>45083</v>
      </c>
    </row>
    <row r="46" spans="1:6">
      <c r="A46" t="s">
        <v>491</v>
      </c>
      <c r="B46" t="s">
        <v>1298</v>
      </c>
      <c r="C46" t="s">
        <v>1243</v>
      </c>
      <c r="D46" t="s">
        <v>1244</v>
      </c>
      <c r="E46" t="s">
        <v>1245</v>
      </c>
      <c r="F46" s="3">
        <v>45478</v>
      </c>
    </row>
    <row r="47" spans="1:6">
      <c r="A47" t="s">
        <v>809</v>
      </c>
      <c r="B47" t="s">
        <v>1299</v>
      </c>
      <c r="C47" t="s">
        <v>1247</v>
      </c>
      <c r="D47" t="s">
        <v>1240</v>
      </c>
      <c r="E47" t="s">
        <v>1237</v>
      </c>
      <c r="F47" s="3">
        <v>45614</v>
      </c>
    </row>
    <row r="48" spans="1:6">
      <c r="A48" t="s">
        <v>338</v>
      </c>
      <c r="B48" t="s">
        <v>1300</v>
      </c>
      <c r="C48" t="s">
        <v>1257</v>
      </c>
      <c r="D48" t="s">
        <v>1258</v>
      </c>
      <c r="E48" t="s">
        <v>1237</v>
      </c>
      <c r="F48" s="3">
        <v>45090</v>
      </c>
    </row>
    <row r="49" spans="1:6">
      <c r="A49" t="s">
        <v>243</v>
      </c>
      <c r="B49" t="s">
        <v>1301</v>
      </c>
      <c r="C49" t="s">
        <v>1260</v>
      </c>
      <c r="D49" t="s">
        <v>1240</v>
      </c>
      <c r="E49" t="s">
        <v>1245</v>
      </c>
      <c r="F49" s="3">
        <v>45375</v>
      </c>
    </row>
    <row r="50" spans="1:6">
      <c r="A50" t="s">
        <v>371</v>
      </c>
      <c r="B50" t="s">
        <v>1302</v>
      </c>
      <c r="C50" t="s">
        <v>1260</v>
      </c>
      <c r="D50" t="s">
        <v>1240</v>
      </c>
      <c r="E50" t="s">
        <v>1237</v>
      </c>
      <c r="F50" s="3">
        <v>45252</v>
      </c>
    </row>
    <row r="51" spans="1:6">
      <c r="A51" t="s">
        <v>647</v>
      </c>
      <c r="B51" t="s">
        <v>1303</v>
      </c>
      <c r="C51" t="s">
        <v>1255</v>
      </c>
      <c r="D51" t="s">
        <v>1244</v>
      </c>
      <c r="E51" t="s">
        <v>1237</v>
      </c>
      <c r="F51" s="3">
        <v>45143</v>
      </c>
    </row>
    <row r="52" spans="1:6">
      <c r="A52" t="s">
        <v>610</v>
      </c>
      <c r="B52" t="s">
        <v>1304</v>
      </c>
      <c r="C52" t="s">
        <v>1297</v>
      </c>
      <c r="D52" t="s">
        <v>1258</v>
      </c>
      <c r="E52" t="s">
        <v>1241</v>
      </c>
      <c r="F52" s="3">
        <v>45579</v>
      </c>
    </row>
    <row r="53" spans="1:6">
      <c r="A53" t="s">
        <v>414</v>
      </c>
      <c r="B53" t="s">
        <v>1305</v>
      </c>
      <c r="C53" t="s">
        <v>1288</v>
      </c>
      <c r="D53" t="s">
        <v>1250</v>
      </c>
      <c r="E53" t="s">
        <v>1245</v>
      </c>
      <c r="F53" s="3">
        <v>45320</v>
      </c>
    </row>
    <row r="54" spans="1:6">
      <c r="A54" t="s">
        <v>480</v>
      </c>
      <c r="B54" t="s">
        <v>1306</v>
      </c>
      <c r="C54" t="s">
        <v>1247</v>
      </c>
      <c r="D54" t="s">
        <v>1240</v>
      </c>
      <c r="E54" t="s">
        <v>1237</v>
      </c>
      <c r="F54" s="3">
        <v>45572</v>
      </c>
    </row>
    <row r="55" spans="1:6">
      <c r="A55" t="s">
        <v>189</v>
      </c>
      <c r="B55" t="s">
        <v>1283</v>
      </c>
      <c r="C55" t="s">
        <v>1275</v>
      </c>
      <c r="D55" t="s">
        <v>1258</v>
      </c>
      <c r="E55" t="s">
        <v>1241</v>
      </c>
      <c r="F55" s="3">
        <v>45125</v>
      </c>
    </row>
    <row r="56" spans="1:6">
      <c r="A56" t="s">
        <v>305</v>
      </c>
      <c r="B56" t="s">
        <v>1307</v>
      </c>
      <c r="C56" t="s">
        <v>1275</v>
      </c>
      <c r="D56" t="s">
        <v>1258</v>
      </c>
      <c r="E56" t="s">
        <v>1237</v>
      </c>
      <c r="F56" s="3">
        <v>45387</v>
      </c>
    </row>
    <row r="57" spans="1:6">
      <c r="A57" t="s">
        <v>430</v>
      </c>
      <c r="B57" t="s">
        <v>1289</v>
      </c>
      <c r="C57" t="s">
        <v>1235</v>
      </c>
      <c r="D57" t="s">
        <v>1236</v>
      </c>
      <c r="E57" t="s">
        <v>1237</v>
      </c>
      <c r="F57" s="3">
        <v>45304</v>
      </c>
    </row>
    <row r="58" spans="1:6">
      <c r="A58" t="s">
        <v>119</v>
      </c>
      <c r="B58" t="s">
        <v>1308</v>
      </c>
      <c r="C58" t="s">
        <v>1288</v>
      </c>
      <c r="D58" t="s">
        <v>1250</v>
      </c>
      <c r="E58" t="s">
        <v>1241</v>
      </c>
      <c r="F58" s="3">
        <v>45566</v>
      </c>
    </row>
    <row r="59" spans="1:6">
      <c r="A59" t="s">
        <v>396</v>
      </c>
      <c r="B59" t="s">
        <v>1309</v>
      </c>
      <c r="C59" t="s">
        <v>1247</v>
      </c>
      <c r="D59" t="s">
        <v>1240</v>
      </c>
      <c r="E59" t="s">
        <v>1237</v>
      </c>
      <c r="F59" s="3">
        <v>45090</v>
      </c>
    </row>
    <row r="60" spans="1:6">
      <c r="A60" t="s">
        <v>500</v>
      </c>
      <c r="B60" t="s">
        <v>1298</v>
      </c>
      <c r="C60" t="s">
        <v>1297</v>
      </c>
      <c r="D60" t="s">
        <v>1258</v>
      </c>
      <c r="E60" t="s">
        <v>1245</v>
      </c>
      <c r="F60" s="3">
        <v>45649</v>
      </c>
    </row>
    <row r="61" spans="1:6">
      <c r="A61" t="s">
        <v>613</v>
      </c>
      <c r="B61" t="s">
        <v>1289</v>
      </c>
      <c r="C61" t="s">
        <v>1260</v>
      </c>
      <c r="D61" t="s">
        <v>1240</v>
      </c>
      <c r="E61" t="s">
        <v>1245</v>
      </c>
      <c r="F61" s="3">
        <v>45443</v>
      </c>
    </row>
    <row r="62" spans="1:6">
      <c r="A62" t="s">
        <v>206</v>
      </c>
      <c r="B62" t="s">
        <v>1310</v>
      </c>
      <c r="C62" t="s">
        <v>1297</v>
      </c>
      <c r="D62" t="s">
        <v>1258</v>
      </c>
      <c r="E62" t="s">
        <v>1237</v>
      </c>
      <c r="F62" s="3">
        <v>45012</v>
      </c>
    </row>
    <row r="63" spans="1:6">
      <c r="A63" t="s">
        <v>427</v>
      </c>
      <c r="B63" t="s">
        <v>1311</v>
      </c>
      <c r="C63" t="s">
        <v>1277</v>
      </c>
      <c r="D63" t="s">
        <v>1244</v>
      </c>
      <c r="E63" t="s">
        <v>1237</v>
      </c>
      <c r="F63" s="3">
        <v>44995</v>
      </c>
    </row>
    <row r="64" spans="1:6">
      <c r="A64" t="s">
        <v>230</v>
      </c>
      <c r="B64" t="s">
        <v>1312</v>
      </c>
      <c r="C64" t="s">
        <v>1247</v>
      </c>
      <c r="D64" t="s">
        <v>1240</v>
      </c>
      <c r="E64" t="s">
        <v>1241</v>
      </c>
      <c r="F64" s="3">
        <v>45104</v>
      </c>
    </row>
    <row r="65" spans="1:6">
      <c r="A65" t="s">
        <v>169</v>
      </c>
      <c r="B65" t="s">
        <v>1313</v>
      </c>
      <c r="C65" t="s">
        <v>1288</v>
      </c>
      <c r="D65" t="s">
        <v>1250</v>
      </c>
      <c r="E65" t="s">
        <v>1237</v>
      </c>
      <c r="F65" s="3">
        <v>45640</v>
      </c>
    </row>
    <row r="66" spans="1:6">
      <c r="A66" t="s">
        <v>216</v>
      </c>
      <c r="B66" t="s">
        <v>1253</v>
      </c>
      <c r="C66" t="s">
        <v>1260</v>
      </c>
      <c r="D66" t="s">
        <v>1240</v>
      </c>
      <c r="E66" t="s">
        <v>1237</v>
      </c>
      <c r="F66" s="3">
        <v>45166</v>
      </c>
    </row>
    <row r="67" spans="1:6">
      <c r="A67" t="s">
        <v>273</v>
      </c>
      <c r="B67" t="s">
        <v>1314</v>
      </c>
      <c r="C67" t="s">
        <v>1247</v>
      </c>
      <c r="D67" t="s">
        <v>1240</v>
      </c>
      <c r="E67" t="s">
        <v>1237</v>
      </c>
      <c r="F67" s="3">
        <v>45416</v>
      </c>
    </row>
    <row r="68" spans="1:6">
      <c r="A68" t="s">
        <v>220</v>
      </c>
      <c r="B68" t="s">
        <v>1315</v>
      </c>
      <c r="C68" t="s">
        <v>1255</v>
      </c>
      <c r="D68" t="s">
        <v>1244</v>
      </c>
      <c r="E68" t="s">
        <v>1237</v>
      </c>
      <c r="F68" s="3">
        <v>45310</v>
      </c>
    </row>
    <row r="69" spans="1:6">
      <c r="A69" t="s">
        <v>257</v>
      </c>
      <c r="B69" t="s">
        <v>1316</v>
      </c>
      <c r="C69" t="s">
        <v>1249</v>
      </c>
      <c r="D69" t="s">
        <v>1250</v>
      </c>
      <c r="E69" t="s">
        <v>1237</v>
      </c>
      <c r="F69" s="3">
        <v>44937</v>
      </c>
    </row>
    <row r="70" spans="1:6">
      <c r="A70" t="s">
        <v>279</v>
      </c>
      <c r="B70" t="s">
        <v>1317</v>
      </c>
      <c r="C70" t="s">
        <v>1243</v>
      </c>
      <c r="D70" t="s">
        <v>1244</v>
      </c>
      <c r="E70" t="s">
        <v>1237</v>
      </c>
      <c r="F70" s="3">
        <v>44948</v>
      </c>
    </row>
    <row r="71" spans="1:6">
      <c r="A71" t="s">
        <v>453</v>
      </c>
      <c r="B71" t="s">
        <v>1318</v>
      </c>
      <c r="C71" t="s">
        <v>1235</v>
      </c>
      <c r="D71" t="s">
        <v>1236</v>
      </c>
      <c r="E71" t="s">
        <v>1245</v>
      </c>
      <c r="F71" s="3">
        <v>45335</v>
      </c>
    </row>
    <row r="72" spans="1:6">
      <c r="A72" t="s">
        <v>108</v>
      </c>
      <c r="B72" t="s">
        <v>1319</v>
      </c>
      <c r="C72" t="s">
        <v>1275</v>
      </c>
      <c r="D72" t="s">
        <v>1258</v>
      </c>
      <c r="E72" t="s">
        <v>1237</v>
      </c>
      <c r="F72" s="3">
        <v>45157</v>
      </c>
    </row>
    <row r="73" spans="1:6">
      <c r="A73" t="s">
        <v>379</v>
      </c>
      <c r="B73" t="s">
        <v>1320</v>
      </c>
      <c r="C73" t="s">
        <v>1239</v>
      </c>
      <c r="D73" t="s">
        <v>1240</v>
      </c>
      <c r="E73" t="s">
        <v>1245</v>
      </c>
      <c r="F73" s="3">
        <v>45066</v>
      </c>
    </row>
    <row r="74" spans="1:6">
      <c r="A74" t="s">
        <v>160</v>
      </c>
      <c r="B74" t="s">
        <v>1321</v>
      </c>
      <c r="C74" t="s">
        <v>1255</v>
      </c>
      <c r="D74" t="s">
        <v>1244</v>
      </c>
      <c r="E74" t="s">
        <v>1237</v>
      </c>
      <c r="F74" s="3">
        <v>45299</v>
      </c>
    </row>
    <row r="75" spans="1:6">
      <c r="A75" t="s">
        <v>448</v>
      </c>
      <c r="B75" t="s">
        <v>1322</v>
      </c>
      <c r="C75" t="s">
        <v>1297</v>
      </c>
      <c r="D75" t="s">
        <v>1258</v>
      </c>
      <c r="E75" t="s">
        <v>1245</v>
      </c>
      <c r="F75" s="3">
        <v>45044</v>
      </c>
    </row>
    <row r="76" spans="1:6">
      <c r="A76" t="s">
        <v>316</v>
      </c>
      <c r="B76" t="s">
        <v>1323</v>
      </c>
      <c r="C76" t="s">
        <v>1297</v>
      </c>
      <c r="D76" t="s">
        <v>1258</v>
      </c>
      <c r="E76" t="s">
        <v>1237</v>
      </c>
      <c r="F76" s="3">
        <v>45031</v>
      </c>
    </row>
    <row r="77" spans="1:6">
      <c r="A77" t="s">
        <v>260</v>
      </c>
      <c r="B77" t="s">
        <v>1324</v>
      </c>
      <c r="C77" t="s">
        <v>1325</v>
      </c>
      <c r="D77" t="s">
        <v>1326</v>
      </c>
      <c r="E77" t="s">
        <v>1245</v>
      </c>
      <c r="F77" s="3">
        <v>45069</v>
      </c>
    </row>
    <row r="78" spans="1:6">
      <c r="A78" t="s">
        <v>173</v>
      </c>
      <c r="B78" t="s">
        <v>1327</v>
      </c>
      <c r="C78" t="s">
        <v>1275</v>
      </c>
      <c r="D78" t="s">
        <v>1258</v>
      </c>
      <c r="E78" t="s">
        <v>1241</v>
      </c>
      <c r="F78" s="3">
        <v>45323</v>
      </c>
    </row>
    <row r="79" spans="1:6">
      <c r="A79" t="s">
        <v>507</v>
      </c>
      <c r="B79" t="s">
        <v>1328</v>
      </c>
      <c r="C79" t="s">
        <v>1288</v>
      </c>
      <c r="D79" t="s">
        <v>1250</v>
      </c>
      <c r="E79" t="s">
        <v>1245</v>
      </c>
      <c r="F79" s="3">
        <v>45397</v>
      </c>
    </row>
    <row r="80" spans="1:6">
      <c r="A80" t="s">
        <v>417</v>
      </c>
      <c r="B80" t="s">
        <v>1329</v>
      </c>
      <c r="C80" t="s">
        <v>1243</v>
      </c>
      <c r="D80" t="s">
        <v>1244</v>
      </c>
      <c r="E80" t="s">
        <v>1237</v>
      </c>
      <c r="F80" s="3">
        <v>44987</v>
      </c>
    </row>
    <row r="81" spans="1:6">
      <c r="A81" t="s">
        <v>313</v>
      </c>
      <c r="B81" t="s">
        <v>1328</v>
      </c>
      <c r="C81" t="s">
        <v>1255</v>
      </c>
      <c r="D81" t="s">
        <v>1244</v>
      </c>
      <c r="E81" t="s">
        <v>1245</v>
      </c>
      <c r="F81" s="3">
        <v>45508</v>
      </c>
    </row>
    <row r="82" spans="1:6">
      <c r="A82" t="s">
        <v>933</v>
      </c>
      <c r="B82" t="s">
        <v>1330</v>
      </c>
      <c r="C82" t="s">
        <v>1325</v>
      </c>
      <c r="D82" t="s">
        <v>1326</v>
      </c>
      <c r="E82" t="s">
        <v>1241</v>
      </c>
      <c r="F82" s="3">
        <v>45355</v>
      </c>
    </row>
    <row r="83" spans="1:6">
      <c r="A83" t="s">
        <v>512</v>
      </c>
      <c r="B83" t="s">
        <v>1273</v>
      </c>
      <c r="C83" t="s">
        <v>1284</v>
      </c>
      <c r="D83" t="s">
        <v>1285</v>
      </c>
      <c r="E83" t="s">
        <v>1241</v>
      </c>
      <c r="F83" s="3">
        <v>45428</v>
      </c>
    </row>
    <row r="84" spans="1:6">
      <c r="A84" t="s">
        <v>113</v>
      </c>
      <c r="B84" t="s">
        <v>1300</v>
      </c>
      <c r="C84" t="s">
        <v>1288</v>
      </c>
      <c r="D84" t="s">
        <v>1250</v>
      </c>
      <c r="E84" t="s">
        <v>1237</v>
      </c>
      <c r="F84" s="3">
        <v>45496</v>
      </c>
    </row>
    <row r="85" spans="1:6">
      <c r="A85" t="s">
        <v>93</v>
      </c>
      <c r="B85" t="s">
        <v>1331</v>
      </c>
      <c r="C85" t="s">
        <v>1239</v>
      </c>
      <c r="D85" t="s">
        <v>1240</v>
      </c>
      <c r="E85" t="s">
        <v>1245</v>
      </c>
      <c r="F85" s="3">
        <v>45322</v>
      </c>
    </row>
    <row r="86" spans="1:6">
      <c r="A86" t="s">
        <v>180</v>
      </c>
      <c r="B86" t="s">
        <v>1332</v>
      </c>
      <c r="C86" t="s">
        <v>1249</v>
      </c>
      <c r="D86" t="s">
        <v>1250</v>
      </c>
      <c r="E86" t="s">
        <v>1237</v>
      </c>
      <c r="F86" s="3">
        <v>45198</v>
      </c>
    </row>
    <row r="87" spans="1:6">
      <c r="A87" t="s">
        <v>538</v>
      </c>
      <c r="B87" t="s">
        <v>1333</v>
      </c>
      <c r="C87" t="s">
        <v>1284</v>
      </c>
      <c r="D87" t="s">
        <v>1285</v>
      </c>
      <c r="E87" t="s">
        <v>1237</v>
      </c>
      <c r="F87" s="3">
        <v>45576</v>
      </c>
    </row>
    <row r="88" spans="1:6">
      <c r="A88" t="s">
        <v>569</v>
      </c>
      <c r="B88" t="s">
        <v>1334</v>
      </c>
      <c r="C88" t="s">
        <v>1235</v>
      </c>
      <c r="D88" t="s">
        <v>1236</v>
      </c>
      <c r="E88" t="s">
        <v>1237</v>
      </c>
      <c r="F88" s="3">
        <v>45385</v>
      </c>
    </row>
    <row r="89" spans="1:6">
      <c r="A89" t="s">
        <v>349</v>
      </c>
      <c r="B89" t="s">
        <v>1335</v>
      </c>
      <c r="C89" t="s">
        <v>1297</v>
      </c>
      <c r="D89" t="s">
        <v>1258</v>
      </c>
      <c r="E89" t="s">
        <v>1241</v>
      </c>
      <c r="F89" s="3">
        <v>45321</v>
      </c>
    </row>
    <row r="90" spans="1:6">
      <c r="A90" t="s">
        <v>239</v>
      </c>
      <c r="B90" t="s">
        <v>1336</v>
      </c>
      <c r="C90" t="s">
        <v>1297</v>
      </c>
      <c r="D90" t="s">
        <v>1258</v>
      </c>
      <c r="E90" t="s">
        <v>1237</v>
      </c>
      <c r="F90" s="3">
        <v>45055</v>
      </c>
    </row>
    <row r="91" spans="1:6">
      <c r="A91" t="s">
        <v>399</v>
      </c>
      <c r="B91" t="s">
        <v>1296</v>
      </c>
      <c r="C91" t="s">
        <v>1239</v>
      </c>
      <c r="D91" t="s">
        <v>1240</v>
      </c>
      <c r="E91" t="s">
        <v>1241</v>
      </c>
      <c r="F91" s="3">
        <v>45214</v>
      </c>
    </row>
    <row r="92" spans="1:6">
      <c r="A92" t="s">
        <v>197</v>
      </c>
      <c r="B92" t="s">
        <v>1337</v>
      </c>
      <c r="C92" t="s">
        <v>1257</v>
      </c>
      <c r="D92" t="s">
        <v>1258</v>
      </c>
      <c r="E92" t="s">
        <v>1241</v>
      </c>
      <c r="F92" s="3">
        <v>45112</v>
      </c>
    </row>
    <row r="93" spans="1:6">
      <c r="A93" t="s">
        <v>326</v>
      </c>
      <c r="B93" t="s">
        <v>1338</v>
      </c>
      <c r="C93" t="s">
        <v>1325</v>
      </c>
      <c r="D93" t="s">
        <v>1326</v>
      </c>
      <c r="E93" t="s">
        <v>1237</v>
      </c>
      <c r="F93" s="3">
        <v>45017</v>
      </c>
    </row>
    <row r="94" spans="1:6">
      <c r="A94" t="s">
        <v>410</v>
      </c>
      <c r="B94" t="s">
        <v>1234</v>
      </c>
      <c r="C94" t="s">
        <v>1284</v>
      </c>
      <c r="D94" t="s">
        <v>1285</v>
      </c>
      <c r="E94" t="s">
        <v>1237</v>
      </c>
      <c r="F94" s="3">
        <v>44958</v>
      </c>
    </row>
    <row r="95" spans="1:6">
      <c r="A95" t="s">
        <v>551</v>
      </c>
      <c r="B95" t="s">
        <v>1309</v>
      </c>
      <c r="C95" t="s">
        <v>1260</v>
      </c>
      <c r="D95" t="s">
        <v>1240</v>
      </c>
      <c r="E95" t="s">
        <v>1237</v>
      </c>
      <c r="F95" s="3">
        <v>45337</v>
      </c>
    </row>
    <row r="96" spans="1:6">
      <c r="A96" t="s">
        <v>564</v>
      </c>
      <c r="B96" t="s">
        <v>1339</v>
      </c>
      <c r="C96" t="s">
        <v>1260</v>
      </c>
      <c r="D96" t="s">
        <v>1240</v>
      </c>
      <c r="E96" t="s">
        <v>1245</v>
      </c>
      <c r="F96" s="3">
        <v>45615</v>
      </c>
    </row>
    <row r="97" spans="1:6">
      <c r="A97" t="s">
        <v>466</v>
      </c>
      <c r="B97" t="s">
        <v>1340</v>
      </c>
      <c r="C97" t="s">
        <v>1247</v>
      </c>
      <c r="D97" t="s">
        <v>1240</v>
      </c>
      <c r="E97" t="s">
        <v>1245</v>
      </c>
      <c r="F97" s="3">
        <v>45103</v>
      </c>
    </row>
    <row r="98" spans="1:6">
      <c r="A98" t="s">
        <v>699</v>
      </c>
      <c r="B98" t="s">
        <v>1341</v>
      </c>
      <c r="C98" t="s">
        <v>1239</v>
      </c>
      <c r="D98" t="s">
        <v>1240</v>
      </c>
      <c r="E98" t="s">
        <v>1237</v>
      </c>
      <c r="F98" s="3">
        <v>45488</v>
      </c>
    </row>
    <row r="99" spans="1:6">
      <c r="A99" t="s">
        <v>286</v>
      </c>
      <c r="B99" t="s">
        <v>1296</v>
      </c>
      <c r="C99" t="s">
        <v>1284</v>
      </c>
      <c r="D99" t="s">
        <v>1285</v>
      </c>
      <c r="E99" t="s">
        <v>1237</v>
      </c>
      <c r="F99" s="3">
        <v>45355</v>
      </c>
    </row>
    <row r="100" spans="1:6">
      <c r="A100" t="s">
        <v>548</v>
      </c>
      <c r="B100" t="s">
        <v>1342</v>
      </c>
      <c r="C100" t="s">
        <v>1247</v>
      </c>
      <c r="D100" t="s">
        <v>1240</v>
      </c>
      <c r="E100" t="s">
        <v>1241</v>
      </c>
      <c r="F100" s="3">
        <v>45482</v>
      </c>
    </row>
    <row r="101" spans="1:6">
      <c r="A101" t="s">
        <v>653</v>
      </c>
      <c r="B101" t="s">
        <v>1343</v>
      </c>
      <c r="C101" t="s">
        <v>1255</v>
      </c>
      <c r="D101" t="s">
        <v>1244</v>
      </c>
      <c r="E101" t="s">
        <v>1237</v>
      </c>
      <c r="F101" s="3">
        <v>45144</v>
      </c>
    </row>
    <row r="102" spans="1:6">
      <c r="A102" t="s">
        <v>675</v>
      </c>
      <c r="B102" t="s">
        <v>1344</v>
      </c>
      <c r="C102" t="s">
        <v>1325</v>
      </c>
      <c r="D102" t="s">
        <v>1326</v>
      </c>
      <c r="E102" t="s">
        <v>1241</v>
      </c>
      <c r="F102" s="3">
        <v>45262</v>
      </c>
    </row>
    <row r="103" spans="1:6">
      <c r="A103" t="s">
        <v>236</v>
      </c>
      <c r="B103" t="s">
        <v>1345</v>
      </c>
      <c r="C103" t="s">
        <v>1288</v>
      </c>
      <c r="D103" t="s">
        <v>1250</v>
      </c>
      <c r="E103" t="s">
        <v>1245</v>
      </c>
      <c r="F103" s="3">
        <v>45298</v>
      </c>
    </row>
    <row r="104" spans="1:6">
      <c r="A104" t="s">
        <v>389</v>
      </c>
      <c r="B104" t="s">
        <v>1264</v>
      </c>
      <c r="C104" t="s">
        <v>1325</v>
      </c>
      <c r="D104" t="s">
        <v>1326</v>
      </c>
      <c r="E104" t="s">
        <v>1245</v>
      </c>
      <c r="F104" s="3">
        <v>45620</v>
      </c>
    </row>
    <row r="105" spans="1:6">
      <c r="A105" t="s">
        <v>132</v>
      </c>
      <c r="B105" t="s">
        <v>1346</v>
      </c>
      <c r="C105" t="s">
        <v>1288</v>
      </c>
      <c r="D105" t="s">
        <v>1250</v>
      </c>
      <c r="E105" t="s">
        <v>1245</v>
      </c>
      <c r="F105" s="3">
        <v>45527</v>
      </c>
    </row>
    <row r="106" spans="1:6">
      <c r="A106" t="s">
        <v>487</v>
      </c>
      <c r="B106" t="s">
        <v>1347</v>
      </c>
      <c r="C106" t="s">
        <v>1249</v>
      </c>
      <c r="D106" t="s">
        <v>1250</v>
      </c>
      <c r="E106" t="s">
        <v>1237</v>
      </c>
      <c r="F106" s="3">
        <v>44974</v>
      </c>
    </row>
    <row r="107" spans="1:6">
      <c r="A107" t="s">
        <v>138</v>
      </c>
      <c r="B107" t="s">
        <v>1348</v>
      </c>
      <c r="C107" t="s">
        <v>1243</v>
      </c>
      <c r="D107" t="s">
        <v>1244</v>
      </c>
      <c r="E107" t="s">
        <v>1241</v>
      </c>
      <c r="F107" s="3">
        <v>44949</v>
      </c>
    </row>
    <row r="108" spans="1:6">
      <c r="A108" t="s">
        <v>670</v>
      </c>
      <c r="B108" t="s">
        <v>1349</v>
      </c>
      <c r="C108" t="s">
        <v>1249</v>
      </c>
      <c r="D108" t="s">
        <v>1250</v>
      </c>
      <c r="E108" t="s">
        <v>1241</v>
      </c>
      <c r="F108" s="3">
        <v>45268</v>
      </c>
    </row>
    <row r="109" spans="1:6">
      <c r="A109" t="s">
        <v>330</v>
      </c>
      <c r="B109" t="s">
        <v>1350</v>
      </c>
      <c r="C109" t="s">
        <v>1275</v>
      </c>
      <c r="D109" t="s">
        <v>1258</v>
      </c>
      <c r="E109" t="s">
        <v>1237</v>
      </c>
      <c r="F109" s="3">
        <v>44962</v>
      </c>
    </row>
    <row r="110" spans="1:6">
      <c r="A110" t="s">
        <v>600</v>
      </c>
      <c r="B110" t="s">
        <v>1351</v>
      </c>
      <c r="C110" t="s">
        <v>1257</v>
      </c>
      <c r="D110" t="s">
        <v>1258</v>
      </c>
      <c r="E110" t="s">
        <v>1237</v>
      </c>
      <c r="F110" s="3">
        <v>45590</v>
      </c>
    </row>
    <row r="111" spans="1:6">
      <c r="A111" t="s">
        <v>225</v>
      </c>
      <c r="B111" t="s">
        <v>1328</v>
      </c>
      <c r="C111" t="s">
        <v>1247</v>
      </c>
      <c r="D111" t="s">
        <v>1240</v>
      </c>
      <c r="E111" t="s">
        <v>1237</v>
      </c>
      <c r="F111" s="3">
        <v>45456</v>
      </c>
    </row>
    <row r="112" spans="1:6">
      <c r="A112" t="s">
        <v>661</v>
      </c>
      <c r="B112" t="s">
        <v>1352</v>
      </c>
      <c r="C112" t="s">
        <v>1235</v>
      </c>
      <c r="D112" t="s">
        <v>1236</v>
      </c>
      <c r="E112" t="s">
        <v>1237</v>
      </c>
      <c r="F112" s="3">
        <v>45029</v>
      </c>
    </row>
    <row r="113" spans="1:6">
      <c r="A113" t="s">
        <v>156</v>
      </c>
      <c r="B113" t="s">
        <v>1353</v>
      </c>
      <c r="C113" t="s">
        <v>1235</v>
      </c>
      <c r="D113" t="s">
        <v>1236</v>
      </c>
      <c r="E113" t="s">
        <v>1237</v>
      </c>
      <c r="F113" s="3">
        <v>45397</v>
      </c>
    </row>
    <row r="114" spans="1:6">
      <c r="A114" t="s">
        <v>84</v>
      </c>
      <c r="B114" t="s">
        <v>1354</v>
      </c>
      <c r="C114" t="s">
        <v>1275</v>
      </c>
      <c r="D114" t="s">
        <v>1258</v>
      </c>
      <c r="E114" t="s">
        <v>1237</v>
      </c>
      <c r="F114" s="3">
        <v>45068</v>
      </c>
    </row>
    <row r="115" spans="1:6">
      <c r="A115" t="s">
        <v>343</v>
      </c>
      <c r="B115" t="s">
        <v>1354</v>
      </c>
      <c r="C115" t="s">
        <v>1243</v>
      </c>
      <c r="D115" t="s">
        <v>1244</v>
      </c>
      <c r="E115" t="s">
        <v>1237</v>
      </c>
      <c r="F115" s="3">
        <v>44938</v>
      </c>
    </row>
    <row r="116" spans="1:6">
      <c r="A116" t="s">
        <v>523</v>
      </c>
      <c r="B116" t="s">
        <v>1355</v>
      </c>
      <c r="C116" t="s">
        <v>1249</v>
      </c>
      <c r="D116" t="s">
        <v>1250</v>
      </c>
      <c r="E116" t="s">
        <v>1237</v>
      </c>
      <c r="F116" s="3">
        <v>45225</v>
      </c>
    </row>
    <row r="117" spans="1:6">
      <c r="A117" t="s">
        <v>290</v>
      </c>
      <c r="B117" t="s">
        <v>1356</v>
      </c>
      <c r="C117" t="s">
        <v>1255</v>
      </c>
      <c r="D117" t="s">
        <v>1244</v>
      </c>
      <c r="E117" t="s">
        <v>1245</v>
      </c>
      <c r="F117" s="3">
        <v>45185</v>
      </c>
    </row>
    <row r="118" spans="1:6">
      <c r="A118" t="s">
        <v>366</v>
      </c>
      <c r="B118" t="s">
        <v>1259</v>
      </c>
      <c r="C118" t="s">
        <v>1297</v>
      </c>
      <c r="D118" t="s">
        <v>1258</v>
      </c>
      <c r="E118" t="s">
        <v>1237</v>
      </c>
      <c r="F118" s="3">
        <v>45558</v>
      </c>
    </row>
    <row r="119" spans="1:6">
      <c r="A119" t="s">
        <v>200</v>
      </c>
      <c r="B119" t="s">
        <v>1357</v>
      </c>
      <c r="C119" t="s">
        <v>1257</v>
      </c>
      <c r="D119" t="s">
        <v>1258</v>
      </c>
      <c r="E119" t="s">
        <v>1241</v>
      </c>
      <c r="F119" s="3">
        <v>45317</v>
      </c>
    </row>
    <row r="120" spans="1:6">
      <c r="A120" t="s">
        <v>322</v>
      </c>
      <c r="B120" t="s">
        <v>1358</v>
      </c>
      <c r="C120" t="s">
        <v>1284</v>
      </c>
      <c r="D120" t="s">
        <v>1285</v>
      </c>
      <c r="E120" t="s">
        <v>1237</v>
      </c>
      <c r="F120" s="3">
        <v>45347</v>
      </c>
    </row>
    <row r="121" spans="1:6">
      <c r="A121" t="s">
        <v>516</v>
      </c>
      <c r="B121" t="s">
        <v>1359</v>
      </c>
      <c r="C121" t="s">
        <v>1255</v>
      </c>
      <c r="D121" t="s">
        <v>1244</v>
      </c>
      <c r="E121" t="s">
        <v>1241</v>
      </c>
      <c r="F121" s="3">
        <v>45236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workbookViewId="0">
      <selection activeCell="H3" sqref="H3"/>
    </sheetView>
  </sheetViews>
  <sheetFormatPr baseColWidth="10" defaultColWidth="8.796875" defaultRowHeight="13.8"/>
  <cols>
    <col min="1" max="1" width="9.3984375" bestFit="1" customWidth="1"/>
    <col min="2" max="2" width="12.5" customWidth="1"/>
    <col min="3" max="3" width="12.8984375" customWidth="1"/>
    <col min="4" max="4" width="13.69921875" customWidth="1"/>
  </cols>
  <sheetData>
    <row r="1" spans="1:4">
      <c r="A1" s="1" t="s">
        <v>1360</v>
      </c>
      <c r="B1" s="1" t="s">
        <v>1361</v>
      </c>
      <c r="C1" s="1" t="s">
        <v>1362</v>
      </c>
      <c r="D1" s="1" t="s">
        <v>1363</v>
      </c>
    </row>
    <row r="2" spans="1:4">
      <c r="A2" s="5">
        <v>45658</v>
      </c>
      <c r="B2" s="6">
        <v>54900</v>
      </c>
      <c r="C2" s="6">
        <v>13600</v>
      </c>
      <c r="D2">
        <v>62</v>
      </c>
    </row>
    <row r="3" spans="1:4">
      <c r="A3" s="5">
        <v>45689</v>
      </c>
      <c r="B3" s="6">
        <v>52400</v>
      </c>
      <c r="C3" s="6">
        <v>14700</v>
      </c>
      <c r="D3">
        <v>59</v>
      </c>
    </row>
    <row r="4" spans="1:4">
      <c r="A4" s="5">
        <v>45717</v>
      </c>
      <c r="B4" s="6">
        <v>51000</v>
      </c>
      <c r="C4" s="6">
        <v>12900</v>
      </c>
      <c r="D4">
        <v>58</v>
      </c>
    </row>
    <row r="5" spans="1:4">
      <c r="A5" s="5">
        <v>45748</v>
      </c>
      <c r="B5" s="6">
        <v>50800</v>
      </c>
      <c r="C5" s="6">
        <v>11700</v>
      </c>
      <c r="D5">
        <v>55</v>
      </c>
    </row>
    <row r="6" spans="1:4">
      <c r="A6" s="5">
        <v>45778</v>
      </c>
      <c r="B6" s="6">
        <v>54400</v>
      </c>
      <c r="C6" s="6">
        <v>14900</v>
      </c>
      <c r="D6">
        <v>60</v>
      </c>
    </row>
    <row r="7" spans="1:4">
      <c r="A7" s="5">
        <v>45809</v>
      </c>
      <c r="B7" s="6">
        <v>55700</v>
      </c>
      <c r="C7" s="6">
        <v>15500</v>
      </c>
      <c r="D7">
        <v>63</v>
      </c>
    </row>
    <row r="8" spans="1:4">
      <c r="A8" s="5">
        <v>45839</v>
      </c>
      <c r="B8" s="6">
        <v>58200</v>
      </c>
      <c r="C8" s="6">
        <v>15300</v>
      </c>
      <c r="D8">
        <v>61</v>
      </c>
    </row>
    <row r="9" spans="1:4">
      <c r="A9" s="5">
        <v>45870</v>
      </c>
      <c r="B9" s="6">
        <v>57000</v>
      </c>
      <c r="C9" s="6">
        <v>14000</v>
      </c>
      <c r="D9">
        <v>62</v>
      </c>
    </row>
    <row r="10" spans="1:4">
      <c r="A10" s="5">
        <v>45901</v>
      </c>
      <c r="B10" s="6">
        <v>52100</v>
      </c>
      <c r="C10" s="6">
        <v>12500</v>
      </c>
      <c r="D10">
        <v>60</v>
      </c>
    </row>
    <row r="11" spans="1:4">
      <c r="A11" s="5">
        <v>45931</v>
      </c>
      <c r="B11" s="6">
        <v>50200</v>
      </c>
      <c r="C11" s="6">
        <v>12300</v>
      </c>
      <c r="D11">
        <v>63</v>
      </c>
    </row>
    <row r="12" spans="1:4">
      <c r="A12" s="5">
        <v>45962</v>
      </c>
      <c r="B12" s="6">
        <v>60400</v>
      </c>
      <c r="C12" s="6">
        <v>13400</v>
      </c>
      <c r="D12">
        <v>64</v>
      </c>
    </row>
    <row r="13" spans="1:4">
      <c r="A13" s="5">
        <v>45992</v>
      </c>
      <c r="B13" s="6">
        <v>58800</v>
      </c>
      <c r="C13" s="6">
        <v>16100</v>
      </c>
      <c r="D13">
        <v>70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
  <sheetViews>
    <sheetView workbookViewId="0">
      <selection activeCell="K5" sqref="K5:L10"/>
    </sheetView>
  </sheetViews>
  <sheetFormatPr baseColWidth="10" defaultRowHeight="13.8"/>
  <cols>
    <col min="1" max="1" width="9.3984375" bestFit="1" customWidth="1"/>
    <col min="2" max="2" width="12.09765625" bestFit="1" customWidth="1"/>
    <col min="3" max="3" width="11.8984375" bestFit="1" customWidth="1"/>
    <col min="4" max="4" width="12.8984375" bestFit="1" customWidth="1"/>
    <col min="5" max="5" width="16.19921875" bestFit="1" customWidth="1"/>
    <col min="7" max="7" width="20.3984375" bestFit="1" customWidth="1"/>
    <col min="8" max="8" width="19.796875" customWidth="1"/>
    <col min="9" max="9" width="15.59765625" customWidth="1"/>
    <col min="11" max="11" width="20.3984375" customWidth="1"/>
    <col min="12" max="12" width="23" bestFit="1" customWidth="1"/>
  </cols>
  <sheetData>
    <row r="1" spans="1:12">
      <c r="A1" t="s">
        <v>1360</v>
      </c>
      <c r="B1" t="s">
        <v>1405</v>
      </c>
      <c r="C1" t="s">
        <v>1406</v>
      </c>
      <c r="D1" t="s">
        <v>1407</v>
      </c>
      <c r="E1" t="s">
        <v>1408</v>
      </c>
    </row>
    <row r="2" spans="1:12">
      <c r="A2" s="11">
        <v>45658</v>
      </c>
      <c r="B2">
        <f>SUMIF(Raw_Sales!$AJ$2:$AJ$721,A2,Raw_Sales!$AA$2:$AA$721)</f>
        <v>31702.062999999991</v>
      </c>
      <c r="C2">
        <f>Monthly_Targets!B2</f>
        <v>54900</v>
      </c>
      <c r="D2" s="15">
        <f>B2-C2</f>
        <v>-23197.937000000009</v>
      </c>
      <c r="E2" s="14">
        <f>B2/C2</f>
        <v>0.57745105646630224</v>
      </c>
    </row>
    <row r="3" spans="1:12">
      <c r="A3" s="12">
        <v>45689</v>
      </c>
      <c r="B3">
        <f>SUMIF(Raw_Sales!$AJ$2:$AJ$721,A3,Raw_Sales!$AA$2:$AA$721)</f>
        <v>27095.088500000002</v>
      </c>
      <c r="C3">
        <f>Monthly_Targets!B3</f>
        <v>52400</v>
      </c>
      <c r="D3" s="15">
        <f>B3-C3</f>
        <v>-25304.911499999998</v>
      </c>
      <c r="E3" s="14">
        <f>B3/C3</f>
        <v>0.51708184160305348</v>
      </c>
    </row>
    <row r="4" spans="1:12">
      <c r="A4" s="11">
        <v>45717</v>
      </c>
      <c r="B4">
        <f>SUMIF(Raw_Sales!$AJ$2:$AJ$721,A4,Raw_Sales!$AA$2:$AA$721)</f>
        <v>25880.701999999997</v>
      </c>
      <c r="C4">
        <f>Monthly_Targets!B4</f>
        <v>51000</v>
      </c>
      <c r="D4" s="15">
        <f>B4-C4</f>
        <v>-25119.298000000003</v>
      </c>
      <c r="E4" s="14">
        <f>B4/C4</f>
        <v>0.50746474509803918</v>
      </c>
    </row>
    <row r="5" spans="1:12">
      <c r="A5" s="12">
        <v>45748</v>
      </c>
      <c r="B5">
        <f>SUMIF(Raw_Sales!$AJ$2:$AJ$721,A5,Raw_Sales!$AA$2:$AA$721)</f>
        <v>22955.643500000002</v>
      </c>
      <c r="C5">
        <f>Monthly_Targets!B5</f>
        <v>50800</v>
      </c>
      <c r="D5" s="15">
        <f>B5-C5</f>
        <v>-27844.356499999998</v>
      </c>
      <c r="E5" s="14">
        <f>B5/C5</f>
        <v>0.45188274606299217</v>
      </c>
      <c r="G5" s="19" t="s">
        <v>1411</v>
      </c>
      <c r="H5" t="s">
        <v>1414</v>
      </c>
      <c r="I5" t="s">
        <v>1412</v>
      </c>
      <c r="K5" s="19" t="s">
        <v>1411</v>
      </c>
      <c r="L5" t="s">
        <v>1415</v>
      </c>
    </row>
    <row r="6" spans="1:12">
      <c r="A6" s="11">
        <v>45778</v>
      </c>
      <c r="B6">
        <f>SUMIF(Raw_Sales!$AJ$2:$AJ$721,A6,Raw_Sales!$AA$2:$AA$721)</f>
        <v>27801.915499999999</v>
      </c>
      <c r="C6">
        <f>Monthly_Targets!B6</f>
        <v>54400</v>
      </c>
      <c r="D6" s="15">
        <f>B6-C6</f>
        <v>-26598.084500000001</v>
      </c>
      <c r="E6" s="14">
        <f>B6/C6</f>
        <v>0.51106462316176471</v>
      </c>
      <c r="G6" s="20" t="s">
        <v>1326</v>
      </c>
      <c r="H6" s="8">
        <v>10220.334499999999</v>
      </c>
      <c r="I6" s="8">
        <v>3463.7244999999998</v>
      </c>
      <c r="K6" s="20" t="s">
        <v>1193</v>
      </c>
      <c r="L6" s="22">
        <v>0.10236220472440945</v>
      </c>
    </row>
    <row r="7" spans="1:12">
      <c r="A7" s="12">
        <v>45809</v>
      </c>
      <c r="B7">
        <f>SUMIF(Raw_Sales!$AJ$2:$AJ$721,A7,Raw_Sales!$AA$2:$AA$721)</f>
        <v>19397.3995</v>
      </c>
      <c r="C7">
        <f>Monthly_Targets!B7</f>
        <v>55700</v>
      </c>
      <c r="D7" s="15">
        <f>B7-C7</f>
        <v>-36302.6005</v>
      </c>
      <c r="E7" s="14">
        <f>B7/C7</f>
        <v>0.34824774685816873</v>
      </c>
      <c r="G7" s="20" t="s">
        <v>1285</v>
      </c>
      <c r="H7" s="8">
        <v>13613.973000000002</v>
      </c>
      <c r="I7" s="8">
        <v>5173.9830000000002</v>
      </c>
      <c r="K7" s="20" t="s">
        <v>1180</v>
      </c>
      <c r="L7" s="22">
        <v>0.10135135135135136</v>
      </c>
    </row>
    <row r="8" spans="1:12">
      <c r="A8" s="11">
        <v>45839</v>
      </c>
      <c r="B8">
        <f>SUMIF(Raw_Sales!$AJ$2:$AJ$721,A8,Raw_Sales!$AA$2:$AA$721)</f>
        <v>24262.9035</v>
      </c>
      <c r="C8">
        <f>Monthly_Targets!B8</f>
        <v>58200</v>
      </c>
      <c r="D8" s="15">
        <f>B8-C8</f>
        <v>-33937.0965</v>
      </c>
      <c r="E8" s="14">
        <f>B8/C8</f>
        <v>0.41688837628865982</v>
      </c>
      <c r="G8" s="20" t="s">
        <v>1236</v>
      </c>
      <c r="H8" s="8">
        <v>21377.3295</v>
      </c>
      <c r="I8" s="8">
        <v>8279.1494999999995</v>
      </c>
      <c r="K8" s="20" t="s">
        <v>1203</v>
      </c>
      <c r="L8" s="22">
        <v>7.5342465753424653E-2</v>
      </c>
    </row>
    <row r="9" spans="1:12">
      <c r="A9" s="12">
        <v>45870</v>
      </c>
      <c r="B9">
        <f>SUMIF(Raw_Sales!$AJ$2:$AJ$721,A9,Raw_Sales!$AA$2:$AA$721)</f>
        <v>24991.073499999999</v>
      </c>
      <c r="C9">
        <f>Monthly_Targets!B9</f>
        <v>57000</v>
      </c>
      <c r="D9" s="15">
        <f>B9-C9</f>
        <v>-32008.926500000001</v>
      </c>
      <c r="E9" s="14">
        <f>B9/C9</f>
        <v>0.43843988596491223</v>
      </c>
      <c r="G9" s="20" t="s">
        <v>1250</v>
      </c>
      <c r="H9" s="8">
        <v>39540.695500000031</v>
      </c>
      <c r="I9" s="8">
        <v>14332.8655</v>
      </c>
      <c r="K9" s="20" t="s">
        <v>1221</v>
      </c>
      <c r="L9" s="22">
        <v>6.1224489795918366E-2</v>
      </c>
    </row>
    <row r="10" spans="1:12">
      <c r="A10" s="11">
        <v>45901</v>
      </c>
      <c r="B10">
        <f>SUMIF(Raw_Sales!$AJ$2:$AJ$721,A10,Raw_Sales!$AA$2:$AA$721)</f>
        <v>20135.739000000009</v>
      </c>
      <c r="C10">
        <f>Monthly_Targets!B10</f>
        <v>52100</v>
      </c>
      <c r="D10" s="15">
        <f>B10-C10</f>
        <v>-31964.260999999991</v>
      </c>
      <c r="E10" s="14">
        <f>B10/C10</f>
        <v>0.38648251439539366</v>
      </c>
      <c r="G10" s="20" t="s">
        <v>1244</v>
      </c>
      <c r="H10" s="8">
        <v>55456.890000000021</v>
      </c>
      <c r="I10" s="8">
        <v>20293.149999999994</v>
      </c>
      <c r="K10" s="20" t="s">
        <v>1212</v>
      </c>
      <c r="L10" s="22">
        <v>5.2631578947368418E-2</v>
      </c>
    </row>
    <row r="11" spans="1:12">
      <c r="A11" s="12">
        <v>45931</v>
      </c>
      <c r="B11">
        <f>SUMIF(Raw_Sales!$AJ$2:$AJ$721,A11,Raw_Sales!$AA$2:$AA$721)</f>
        <v>25102.286</v>
      </c>
      <c r="C11">
        <f>Monthly_Targets!B11</f>
        <v>50200</v>
      </c>
      <c r="D11" s="15">
        <f>B11-C11</f>
        <v>-25097.714</v>
      </c>
      <c r="E11" s="14">
        <f>B11/C11</f>
        <v>0.50004553784860561</v>
      </c>
      <c r="G11" s="20" t="s">
        <v>1240</v>
      </c>
      <c r="H11" s="8">
        <v>76281.695499999987</v>
      </c>
      <c r="I11" s="8">
        <v>29358.895499999991</v>
      </c>
      <c r="K11" s="20" t="s">
        <v>1413</v>
      </c>
      <c r="L11" s="21">
        <v>7.7777777777777779E-2</v>
      </c>
    </row>
    <row r="12" spans="1:12">
      <c r="A12" s="11">
        <v>45962</v>
      </c>
      <c r="B12">
        <f>SUMIF(Raw_Sales!$AJ$2:$AJ$721,A12,Raw_Sales!$AA$2:$AA$721)</f>
        <v>27689.658999999996</v>
      </c>
      <c r="C12">
        <f>Monthly_Targets!B12</f>
        <v>60400</v>
      </c>
      <c r="D12" s="15">
        <f>B12-C12</f>
        <v>-32710.341000000004</v>
      </c>
      <c r="E12" s="14">
        <f>B12/C12</f>
        <v>0.45843806291390721</v>
      </c>
      <c r="G12" s="20" t="s">
        <v>1258</v>
      </c>
      <c r="H12" s="8">
        <v>83660.343000000081</v>
      </c>
      <c r="I12" s="8">
        <v>32237.083000000006</v>
      </c>
    </row>
    <row r="13" spans="1:12">
      <c r="A13" s="12">
        <v>45992</v>
      </c>
      <c r="B13">
        <f>SUMIF(Raw_Sales!$AJ$2:$AJ$721,A13,Raw_Sales!$AA$2:$AA$721)</f>
        <v>23136.78799999999</v>
      </c>
      <c r="C13">
        <f>Monthly_Targets!B13</f>
        <v>58800</v>
      </c>
      <c r="D13" s="15">
        <f>B13-C13</f>
        <v>-35663.212000000014</v>
      </c>
      <c r="E13" s="14">
        <f>B13/C13</f>
        <v>0.3934827891156461</v>
      </c>
      <c r="G13" s="20" t="s">
        <v>1413</v>
      </c>
      <c r="H13" s="8">
        <v>300151.26100000017</v>
      </c>
      <c r="I13" s="8">
        <v>113138.851</v>
      </c>
    </row>
    <row r="14" spans="1:12" ht="17.399999999999999">
      <c r="A14" s="27" t="s">
        <v>1410</v>
      </c>
      <c r="B14" s="23">
        <f>SUM(B2:B13)</f>
        <v>300151.261</v>
      </c>
      <c r="C14" s="16">
        <f>SUM(C2:C13)</f>
        <v>655900</v>
      </c>
      <c r="D14" s="17">
        <f>B14-C14</f>
        <v>-355748.739</v>
      </c>
      <c r="E14" s="18">
        <f>B14/C14</f>
        <v>0.45761741271535294</v>
      </c>
    </row>
  </sheetData>
  <sortState ref="E2:E13">
    <sortCondition descending="1" ref="E2"/>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7"/>
  <sheetViews>
    <sheetView showGridLines="0" tabSelected="1" zoomScale="75" zoomScaleNormal="75" workbookViewId="0">
      <selection activeCell="E37" sqref="E37"/>
    </sheetView>
  </sheetViews>
  <sheetFormatPr baseColWidth="10" defaultRowHeight="13.8"/>
  <cols>
    <col min="1" max="1" width="15" bestFit="1" customWidth="1"/>
    <col min="3" max="3" width="15" bestFit="1" customWidth="1"/>
    <col min="5" max="5" width="22.09765625" bestFit="1" customWidth="1"/>
    <col min="7" max="7" width="18.296875" bestFit="1" customWidth="1"/>
  </cols>
  <sheetData>
    <row r="1" spans="1:8" ht="22.8">
      <c r="A1" s="44" t="s">
        <v>1416</v>
      </c>
      <c r="B1" s="44"/>
      <c r="C1" s="44"/>
      <c r="D1" s="44"/>
      <c r="E1" s="44"/>
      <c r="F1" s="44"/>
      <c r="G1" s="44"/>
      <c r="H1" s="44"/>
    </row>
    <row r="2" spans="1:8" ht="17.399999999999999">
      <c r="A2" s="36" t="s">
        <v>1417</v>
      </c>
      <c r="C2" s="38" t="s">
        <v>1418</v>
      </c>
      <c r="E2" s="40" t="s">
        <v>1419</v>
      </c>
      <c r="G2" s="42" t="s">
        <v>1420</v>
      </c>
    </row>
    <row r="3" spans="1:8" ht="20.399999999999999">
      <c r="A3" s="37">
        <f>Analysis!B14</f>
        <v>300151.261</v>
      </c>
      <c r="C3" s="39">
        <f>SUM(RawSalesTable[Profit])</f>
        <v>113138.85100000002</v>
      </c>
      <c r="E3" s="41">
        <f>COUNTA(RawSalesTable[Order_ID])</f>
        <v>720</v>
      </c>
      <c r="G3" s="43">
        <f>Analysis!E14</f>
        <v>0.45761741271535294</v>
      </c>
    </row>
    <row r="22" spans="10:16" ht="14.4" thickBot="1"/>
    <row r="23" spans="10:16">
      <c r="J23" s="45" t="s">
        <v>1421</v>
      </c>
      <c r="K23" s="28"/>
      <c r="L23" s="28"/>
      <c r="M23" s="28"/>
      <c r="N23" s="28"/>
      <c r="O23" s="28"/>
      <c r="P23" s="29"/>
    </row>
    <row r="24" spans="10:16">
      <c r="J24" s="30"/>
      <c r="K24" s="31"/>
      <c r="L24" s="31"/>
      <c r="M24" s="31"/>
      <c r="N24" s="31"/>
      <c r="O24" s="31"/>
      <c r="P24" s="32"/>
    </row>
    <row r="25" spans="10:16">
      <c r="J25" s="30"/>
      <c r="K25" s="31"/>
      <c r="L25" s="31"/>
      <c r="M25" s="31"/>
      <c r="N25" s="31"/>
      <c r="O25" s="31"/>
      <c r="P25" s="32"/>
    </row>
    <row r="26" spans="10:16">
      <c r="J26" s="30"/>
      <c r="K26" s="31"/>
      <c r="L26" s="31"/>
      <c r="M26" s="31"/>
      <c r="N26" s="31"/>
      <c r="O26" s="31"/>
      <c r="P26" s="32"/>
    </row>
    <row r="27" spans="10:16">
      <c r="J27" s="30"/>
      <c r="K27" s="31"/>
      <c r="L27" s="31"/>
      <c r="M27" s="31"/>
      <c r="N27" s="31"/>
      <c r="O27" s="31"/>
      <c r="P27" s="32"/>
    </row>
    <row r="28" spans="10:16">
      <c r="J28" s="30"/>
      <c r="K28" s="31"/>
      <c r="L28" s="31"/>
      <c r="M28" s="31"/>
      <c r="N28" s="31"/>
      <c r="O28" s="31"/>
      <c r="P28" s="32"/>
    </row>
    <row r="29" spans="10:16">
      <c r="J29" s="30"/>
      <c r="K29" s="31"/>
      <c r="L29" s="31"/>
      <c r="M29" s="31"/>
      <c r="N29" s="31"/>
      <c r="O29" s="31"/>
      <c r="P29" s="32"/>
    </row>
    <row r="30" spans="10:16">
      <c r="J30" s="30"/>
      <c r="K30" s="31"/>
      <c r="L30" s="31"/>
      <c r="M30" s="31"/>
      <c r="N30" s="31"/>
      <c r="O30" s="31"/>
      <c r="P30" s="32"/>
    </row>
    <row r="31" spans="10:16">
      <c r="J31" s="30"/>
      <c r="K31" s="31"/>
      <c r="L31" s="31"/>
      <c r="M31" s="31"/>
      <c r="N31" s="31"/>
      <c r="O31" s="31"/>
      <c r="P31" s="32"/>
    </row>
    <row r="32" spans="10:16">
      <c r="J32" s="30"/>
      <c r="K32" s="31"/>
      <c r="L32" s="31"/>
      <c r="M32" s="31"/>
      <c r="N32" s="31"/>
      <c r="O32" s="31"/>
      <c r="P32" s="32"/>
    </row>
    <row r="33" spans="10:16">
      <c r="J33" s="30"/>
      <c r="K33" s="31"/>
      <c r="L33" s="31"/>
      <c r="M33" s="31"/>
      <c r="N33" s="31"/>
      <c r="O33" s="31"/>
      <c r="P33" s="32"/>
    </row>
    <row r="34" spans="10:16">
      <c r="J34" s="30"/>
      <c r="K34" s="31"/>
      <c r="L34" s="31"/>
      <c r="M34" s="31"/>
      <c r="N34" s="31"/>
      <c r="O34" s="31"/>
      <c r="P34" s="32"/>
    </row>
    <row r="35" spans="10:16">
      <c r="J35" s="30"/>
      <c r="K35" s="31"/>
      <c r="L35" s="31"/>
      <c r="M35" s="31"/>
      <c r="N35" s="31"/>
      <c r="O35" s="31"/>
      <c r="P35" s="32"/>
    </row>
    <row r="36" spans="10:16">
      <c r="J36" s="30"/>
      <c r="K36" s="31"/>
      <c r="L36" s="31"/>
      <c r="M36" s="31"/>
      <c r="N36" s="31"/>
      <c r="O36" s="31"/>
      <c r="P36" s="32"/>
    </row>
    <row r="37" spans="10:16" ht="14.4" thickBot="1">
      <c r="J37" s="33"/>
      <c r="K37" s="34"/>
      <c r="L37" s="34"/>
      <c r="M37" s="34"/>
      <c r="N37" s="34"/>
      <c r="O37" s="34"/>
      <c r="P37" s="35"/>
    </row>
  </sheetData>
  <mergeCells count="2">
    <mergeCell ref="J23:P37"/>
    <mergeCell ref="A1:H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workbookViewId="0"/>
  </sheetViews>
  <sheetFormatPr baseColWidth="10" defaultColWidth="8.796875" defaultRowHeight="13.8"/>
  <cols>
    <col min="1" max="1" width="20" customWidth="1"/>
    <col min="2" max="2" width="24" customWidth="1"/>
    <col min="3" max="3" width="70" customWidth="1"/>
  </cols>
  <sheetData>
    <row r="1" spans="1:3">
      <c r="A1" s="1" t="s">
        <v>1364</v>
      </c>
      <c r="B1" s="1" t="s">
        <v>1365</v>
      </c>
      <c r="C1" s="1" t="s">
        <v>1366</v>
      </c>
    </row>
    <row r="2" spans="1:3">
      <c r="A2" s="7" t="s">
        <v>1367</v>
      </c>
      <c r="B2" s="7" t="s">
        <v>69</v>
      </c>
      <c r="C2" s="7" t="s">
        <v>1368</v>
      </c>
    </row>
    <row r="3" spans="1:3">
      <c r="A3" s="7" t="s">
        <v>1367</v>
      </c>
      <c r="B3" s="7" t="s">
        <v>70</v>
      </c>
      <c r="C3" s="7" t="s">
        <v>1369</v>
      </c>
    </row>
    <row r="4" spans="1:3">
      <c r="A4" s="7" t="s">
        <v>1367</v>
      </c>
      <c r="B4" s="7" t="s">
        <v>71</v>
      </c>
      <c r="C4" s="7" t="s">
        <v>1370</v>
      </c>
    </row>
    <row r="5" spans="1:3">
      <c r="A5" s="7" t="s">
        <v>1367</v>
      </c>
      <c r="B5" s="7" t="s">
        <v>72</v>
      </c>
      <c r="C5" s="7" t="s">
        <v>1371</v>
      </c>
    </row>
    <row r="6" spans="1:3">
      <c r="A6" s="7" t="s">
        <v>1367</v>
      </c>
      <c r="B6" s="7" t="s">
        <v>73</v>
      </c>
      <c r="C6" s="7" t="s">
        <v>1372</v>
      </c>
    </row>
    <row r="7" spans="1:3">
      <c r="A7" s="7" t="s">
        <v>1367</v>
      </c>
      <c r="B7" s="7" t="s">
        <v>74</v>
      </c>
      <c r="C7" s="7" t="s">
        <v>1373</v>
      </c>
    </row>
    <row r="8" spans="1:3">
      <c r="A8" s="7" t="s">
        <v>1367</v>
      </c>
      <c r="B8" s="7" t="s">
        <v>76</v>
      </c>
      <c r="C8" s="7" t="s">
        <v>1374</v>
      </c>
    </row>
    <row r="9" spans="1:3">
      <c r="A9" s="7" t="s">
        <v>1367</v>
      </c>
      <c r="B9" s="7" t="s">
        <v>77</v>
      </c>
      <c r="C9" s="7" t="s">
        <v>1375</v>
      </c>
    </row>
    <row r="10" spans="1:3">
      <c r="A10" s="7" t="s">
        <v>1367</v>
      </c>
      <c r="B10" s="7" t="s">
        <v>78</v>
      </c>
      <c r="C10" s="7" t="s">
        <v>1376</v>
      </c>
    </row>
    <row r="11" spans="1:3">
      <c r="A11" s="7" t="s">
        <v>1367</v>
      </c>
      <c r="B11" s="7" t="s">
        <v>79</v>
      </c>
      <c r="C11" s="7" t="s">
        <v>1377</v>
      </c>
    </row>
    <row r="12" spans="1:3">
      <c r="A12" s="7" t="s">
        <v>1367</v>
      </c>
      <c r="B12" s="7" t="s">
        <v>80</v>
      </c>
      <c r="C12" s="7" t="s">
        <v>1378</v>
      </c>
    </row>
    <row r="13" spans="1:3">
      <c r="A13" s="7" t="s">
        <v>1367</v>
      </c>
      <c r="B13" s="7" t="s">
        <v>81</v>
      </c>
      <c r="C13" s="7" t="s">
        <v>1379</v>
      </c>
    </row>
    <row r="14" spans="1:3">
      <c r="A14" s="7" t="s">
        <v>1367</v>
      </c>
      <c r="B14" s="7" t="s">
        <v>82</v>
      </c>
      <c r="C14" s="7" t="s">
        <v>1380</v>
      </c>
    </row>
    <row r="15" spans="1:3">
      <c r="A15" s="7" t="s">
        <v>1381</v>
      </c>
      <c r="B15" s="7" t="s">
        <v>1176</v>
      </c>
      <c r="C15" s="7" t="s">
        <v>1382</v>
      </c>
    </row>
    <row r="16" spans="1:3">
      <c r="A16" s="7" t="s">
        <v>1383</v>
      </c>
      <c r="B16" s="7" t="s">
        <v>1384</v>
      </c>
      <c r="C16" s="7" t="s">
        <v>1385</v>
      </c>
    </row>
    <row r="17" spans="1:3">
      <c r="A17" s="7" t="s">
        <v>1386</v>
      </c>
      <c r="B17" s="7" t="s">
        <v>1387</v>
      </c>
      <c r="C17" s="7" t="s">
        <v>1388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Project_Brief</vt:lpstr>
      <vt:lpstr>Raw_Sales</vt:lpstr>
      <vt:lpstr>Products</vt:lpstr>
      <vt:lpstr>Customers</vt:lpstr>
      <vt:lpstr>Monthly_Targets</vt:lpstr>
      <vt:lpstr>Analysis</vt:lpstr>
      <vt:lpstr>Dashboard</vt:lpstr>
      <vt:lpstr>Data_Dictionary</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2026-09-30T22:32:53Z</dcterms:created>
  <dcterms:modified xsi:type="dcterms:W3CDTF">2026-10-01T11:20:59Z</dcterms:modified>
</cp:coreProperties>
</file>